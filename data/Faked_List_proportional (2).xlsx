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F3FE765B-6471-488A-BF4B-566F7550E2EB}" xr6:coauthVersionLast="47" xr6:coauthVersionMax="47" xr10:uidLastSave="{00000000-0000-0000-0000-000000000000}"/>
  <bookViews>
    <workbookView xWindow="-120" yWindow="-120" windowWidth="38640" windowHeight="21240" tabRatio="814" activeTab="2" xr2:uid="{3C8D2FAB-CF13-4B79-A736-CA1272BEDABF}"/>
  </bookViews>
  <sheets>
    <sheet name="2 блок" sheetId="4" r:id="rId1"/>
    <sheet name="3 блок" sheetId="16" r:id="rId2"/>
    <sheet name="Отклонения от БЮДЖЕТА и ПЛАНА" sheetId="24" r:id="rId3"/>
  </sheets>
  <definedNames>
    <definedName name="_xlnm.Print_Area" localSheetId="0">'2 блок'!$A$1:$Y$154</definedName>
    <definedName name="_xlnm.Print_Area" localSheetId="1">'3 блок'!$A$1:$S$251</definedName>
    <definedName name="_xlnm.Print_Area" localSheetId="2">'Отклонения от БЮДЖЕТА и ПЛАНА'!$A$3:$W$57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61" i="4" l="1"/>
  <c r="Y160" i="16"/>
  <c r="Z160" i="16"/>
  <c r="Y161" i="16"/>
  <c r="Z161" i="16"/>
  <c r="L84" i="4"/>
  <c r="Y145" i="16"/>
  <c r="Z145" i="16"/>
  <c r="Y143" i="16"/>
  <c r="Z143" i="16"/>
  <c r="Y144" i="16"/>
  <c r="Z144" i="16"/>
  <c r="L25" i="4"/>
  <c r="L39" i="4"/>
  <c r="L117" i="4"/>
  <c r="I7" i="24"/>
  <c r="L7" i="24"/>
  <c r="P7" i="24"/>
  <c r="S7" i="24"/>
  <c r="W7" i="24"/>
  <c r="G8" i="24"/>
  <c r="I8" i="24"/>
  <c r="N8" i="24"/>
  <c r="P8" i="24"/>
  <c r="G9" i="24"/>
  <c r="I9" i="24"/>
  <c r="N9" i="24"/>
  <c r="P9" i="24"/>
  <c r="E10" i="24"/>
  <c r="L10" i="24"/>
  <c r="G11" i="24"/>
  <c r="I11" i="24"/>
  <c r="N11" i="24"/>
  <c r="P11" i="24"/>
  <c r="G12" i="24"/>
  <c r="I12" i="24"/>
  <c r="N12" i="24"/>
  <c r="P12" i="24"/>
  <c r="G13" i="24"/>
  <c r="I13" i="24"/>
  <c r="N13" i="24"/>
  <c r="P13" i="24"/>
  <c r="G14" i="24"/>
  <c r="I14" i="24"/>
  <c r="N14" i="24"/>
  <c r="P14" i="24"/>
  <c r="V14" i="24"/>
  <c r="W14" i="24"/>
  <c r="G15" i="24"/>
  <c r="I15" i="24"/>
  <c r="N15" i="24"/>
  <c r="P15" i="24"/>
  <c r="V15" i="24"/>
  <c r="W15" i="24"/>
  <c r="G16" i="24"/>
  <c r="I16" i="24"/>
  <c r="N16" i="24"/>
  <c r="P16" i="24"/>
  <c r="C17" i="24"/>
  <c r="C51" i="24"/>
  <c r="E17" i="24"/>
  <c r="J17" i="24"/>
  <c r="L17" i="24"/>
  <c r="G18" i="24"/>
  <c r="I18" i="24"/>
  <c r="N18" i="24"/>
  <c r="P18" i="24"/>
  <c r="G19" i="24"/>
  <c r="I19" i="24"/>
  <c r="N19" i="24"/>
  <c r="P19" i="24"/>
  <c r="G20" i="24"/>
  <c r="I20" i="24"/>
  <c r="N20" i="24"/>
  <c r="P20" i="24"/>
  <c r="V20" i="24"/>
  <c r="W20" i="24"/>
  <c r="G21" i="24"/>
  <c r="I21" i="24"/>
  <c r="N21" i="24"/>
  <c r="P21" i="24"/>
  <c r="G22" i="24"/>
  <c r="I22" i="24"/>
  <c r="N22" i="24"/>
  <c r="P22" i="24"/>
  <c r="G23" i="24"/>
  <c r="I23" i="24"/>
  <c r="L23" i="24"/>
  <c r="P23" i="24"/>
  <c r="N23" i="24"/>
  <c r="G24" i="24"/>
  <c r="I24" i="24"/>
  <c r="N24" i="24"/>
  <c r="P24" i="24"/>
  <c r="G25" i="24"/>
  <c r="I25" i="24"/>
  <c r="N25" i="24"/>
  <c r="P25" i="24"/>
  <c r="G26" i="24"/>
  <c r="I26" i="24"/>
  <c r="N26" i="24"/>
  <c r="P26" i="24"/>
  <c r="E27" i="24"/>
  <c r="G27" i="24"/>
  <c r="N27" i="24"/>
  <c r="P27" i="24"/>
  <c r="G28" i="24"/>
  <c r="I28" i="24"/>
  <c r="N28" i="24"/>
  <c r="P28" i="24"/>
  <c r="E29" i="24"/>
  <c r="L29" i="24"/>
  <c r="G30" i="24"/>
  <c r="I30" i="24"/>
  <c r="N30" i="24"/>
  <c r="P30" i="24"/>
  <c r="G31" i="24"/>
  <c r="I31" i="24"/>
  <c r="N31" i="24"/>
  <c r="P31" i="24"/>
  <c r="G32" i="24"/>
  <c r="I32" i="24"/>
  <c r="N32" i="24"/>
  <c r="P32" i="24"/>
  <c r="G33" i="24"/>
  <c r="I33" i="24"/>
  <c r="N33" i="24"/>
  <c r="P33" i="24"/>
  <c r="G34" i="24"/>
  <c r="I34" i="24"/>
  <c r="N34" i="24"/>
  <c r="P34" i="24"/>
  <c r="B35" i="24"/>
  <c r="C57" i="24"/>
  <c r="E35" i="24"/>
  <c r="L35" i="24"/>
  <c r="E36" i="24"/>
  <c r="I36" i="24"/>
  <c r="G36" i="24"/>
  <c r="N36" i="24"/>
  <c r="P36" i="24"/>
  <c r="E37" i="24"/>
  <c r="N37" i="24"/>
  <c r="P37" i="24"/>
  <c r="E38" i="24"/>
  <c r="F38" i="24"/>
  <c r="G38" i="24"/>
  <c r="N38" i="24"/>
  <c r="P38" i="24"/>
  <c r="E39" i="24"/>
  <c r="L39" i="24"/>
  <c r="L55" i="24"/>
  <c r="L40" i="24"/>
  <c r="E41" i="24"/>
  <c r="E56" i="24"/>
  <c r="L41" i="24"/>
  <c r="E42" i="24"/>
  <c r="L42" i="24"/>
  <c r="G43" i="24"/>
  <c r="I43" i="24"/>
  <c r="N43" i="24"/>
  <c r="P43" i="24"/>
  <c r="G44" i="24"/>
  <c r="I44" i="24"/>
  <c r="N44" i="24"/>
  <c r="P44" i="24"/>
  <c r="G45" i="24"/>
  <c r="I45" i="24"/>
  <c r="N45" i="24"/>
  <c r="P45" i="24"/>
  <c r="E46" i="24"/>
  <c r="L46" i="24"/>
  <c r="G47" i="24"/>
  <c r="I47" i="24"/>
  <c r="N47" i="24"/>
  <c r="P47" i="24"/>
  <c r="E48" i="24"/>
  <c r="L48" i="24"/>
  <c r="G49" i="24"/>
  <c r="I49" i="24"/>
  <c r="L49" i="24"/>
  <c r="P49" i="24"/>
  <c r="N49" i="24"/>
  <c r="G50" i="24"/>
  <c r="I50" i="24"/>
  <c r="N50" i="24"/>
  <c r="P50" i="24"/>
  <c r="D51" i="24"/>
  <c r="K51" i="24"/>
  <c r="R51" i="24"/>
  <c r="R57" i="24"/>
  <c r="D53" i="24"/>
  <c r="K53" i="24"/>
  <c r="R53" i="24"/>
  <c r="D54" i="24"/>
  <c r="K54" i="24"/>
  <c r="R54" i="24"/>
  <c r="C55" i="24"/>
  <c r="D55" i="24"/>
  <c r="D52" i="24"/>
  <c r="J55" i="24"/>
  <c r="K55" i="24"/>
  <c r="K52" i="24"/>
  <c r="R55" i="24"/>
  <c r="C56" i="24"/>
  <c r="D56" i="24"/>
  <c r="J56" i="24"/>
  <c r="K56" i="24"/>
  <c r="R56" i="24"/>
  <c r="J1" i="16"/>
  <c r="Y6" i="16"/>
  <c r="Z6" i="16"/>
  <c r="Y7" i="16"/>
  <c r="Z7" i="16"/>
  <c r="Y8" i="16"/>
  <c r="Z8" i="16"/>
  <c r="Y9" i="16"/>
  <c r="Z9" i="16"/>
  <c r="Y10" i="16"/>
  <c r="Z10" i="16"/>
  <c r="Y11" i="16"/>
  <c r="Z11" i="16"/>
  <c r="Y12" i="16"/>
  <c r="Z12" i="16"/>
  <c r="Y13" i="16"/>
  <c r="Z13" i="16"/>
  <c r="Y14" i="16"/>
  <c r="Z14" i="16"/>
  <c r="Y15" i="16"/>
  <c r="Z15" i="16"/>
  <c r="Y16" i="16"/>
  <c r="Z16" i="16"/>
  <c r="Y17" i="16"/>
  <c r="Z17" i="16"/>
  <c r="Y18" i="16"/>
  <c r="Z18" i="16"/>
  <c r="Y19" i="16"/>
  <c r="Z19" i="16"/>
  <c r="Y20" i="16"/>
  <c r="Z20" i="16"/>
  <c r="Y21" i="16"/>
  <c r="Z21" i="16"/>
  <c r="Y22" i="16"/>
  <c r="Z22" i="16"/>
  <c r="Y23" i="16"/>
  <c r="Z23" i="16"/>
  <c r="Y24" i="16"/>
  <c r="Z24" i="16"/>
  <c r="Y25" i="16"/>
  <c r="Z25" i="16"/>
  <c r="Y26" i="16"/>
  <c r="Z26" i="16"/>
  <c r="Y27" i="16"/>
  <c r="Z27" i="16"/>
  <c r="Y28" i="16"/>
  <c r="Z28" i="16"/>
  <c r="Y29" i="16"/>
  <c r="Z29" i="16"/>
  <c r="Y30" i="16"/>
  <c r="Z30" i="16"/>
  <c r="Y31" i="16"/>
  <c r="Z31" i="16"/>
  <c r="Y32" i="16"/>
  <c r="Z32" i="16"/>
  <c r="Y33" i="16"/>
  <c r="Z33" i="16"/>
  <c r="Y34" i="16"/>
  <c r="Z34" i="16"/>
  <c r="Y35" i="16"/>
  <c r="Z35" i="16"/>
  <c r="Y36" i="16"/>
  <c r="Z36" i="16"/>
  <c r="Y37" i="16"/>
  <c r="Z37" i="16"/>
  <c r="Y38" i="16"/>
  <c r="Z38" i="16"/>
  <c r="Y39" i="16"/>
  <c r="Z39" i="16"/>
  <c r="Y40" i="16"/>
  <c r="Z40" i="16"/>
  <c r="Y41" i="16"/>
  <c r="Z41" i="16"/>
  <c r="Y42" i="16"/>
  <c r="Z42" i="16"/>
  <c r="Y43" i="16"/>
  <c r="Z43" i="16"/>
  <c r="Y44" i="16"/>
  <c r="Z44" i="16"/>
  <c r="Y45" i="16"/>
  <c r="Z45" i="16"/>
  <c r="Y46" i="16"/>
  <c r="Z46" i="16"/>
  <c r="Y47" i="16"/>
  <c r="Z47" i="16"/>
  <c r="Y48" i="16"/>
  <c r="Z48" i="16"/>
  <c r="Y49" i="16"/>
  <c r="Z49" i="16"/>
  <c r="Y50" i="16"/>
  <c r="Z50" i="16"/>
  <c r="Y51" i="16"/>
  <c r="Z51" i="16"/>
  <c r="Y52" i="16"/>
  <c r="Z52" i="16"/>
  <c r="Y53" i="16"/>
  <c r="Z53" i="16"/>
  <c r="Y54" i="16"/>
  <c r="Z54" i="16"/>
  <c r="Y55" i="16"/>
  <c r="Z55" i="16"/>
  <c r="Y56" i="16"/>
  <c r="Z56" i="16"/>
  <c r="Y57" i="16"/>
  <c r="Z57" i="16"/>
  <c r="Y58" i="16"/>
  <c r="Z58" i="16"/>
  <c r="Y59" i="16"/>
  <c r="Z59" i="16"/>
  <c r="Y60" i="16"/>
  <c r="Z60" i="16"/>
  <c r="Y61" i="16"/>
  <c r="Z61" i="16"/>
  <c r="Y62" i="16"/>
  <c r="Z62" i="16"/>
  <c r="Y63" i="16"/>
  <c r="Z63" i="16"/>
  <c r="Y64" i="16"/>
  <c r="Z64" i="16"/>
  <c r="Y65" i="16"/>
  <c r="Z65" i="16"/>
  <c r="Y66" i="16"/>
  <c r="Z66" i="16"/>
  <c r="Y67" i="16"/>
  <c r="Z67" i="16"/>
  <c r="Y68" i="16"/>
  <c r="Z68" i="16"/>
  <c r="Y69" i="16"/>
  <c r="Z69" i="16"/>
  <c r="Y70" i="16"/>
  <c r="Z70" i="16"/>
  <c r="Y71" i="16"/>
  <c r="Z71" i="16"/>
  <c r="Y72" i="16"/>
  <c r="Z72" i="16"/>
  <c r="Y73" i="16"/>
  <c r="Z73" i="16"/>
  <c r="Y74" i="16"/>
  <c r="Z74" i="16"/>
  <c r="Y75" i="16"/>
  <c r="Z75" i="16"/>
  <c r="Y76" i="16"/>
  <c r="Z76" i="16"/>
  <c r="Y77" i="16"/>
  <c r="Z77" i="16"/>
  <c r="Y78" i="16"/>
  <c r="Z78" i="16"/>
  <c r="Y79" i="16"/>
  <c r="Z79" i="16"/>
  <c r="Y80" i="16"/>
  <c r="Z80" i="16"/>
  <c r="Y81" i="16"/>
  <c r="Z81" i="16"/>
  <c r="Y82" i="16"/>
  <c r="Z82" i="16"/>
  <c r="Y83" i="16"/>
  <c r="Z83" i="16"/>
  <c r="Y84" i="16"/>
  <c r="Z84" i="16"/>
  <c r="Y85" i="16"/>
  <c r="Z85" i="16"/>
  <c r="Y86" i="16"/>
  <c r="Z86" i="16"/>
  <c r="Y87" i="16"/>
  <c r="Z87" i="16"/>
  <c r="Y88" i="16"/>
  <c r="Z88" i="16"/>
  <c r="Y89" i="16"/>
  <c r="Z89" i="16"/>
  <c r="Y90" i="16"/>
  <c r="Z90" i="16"/>
  <c r="Y91" i="16"/>
  <c r="Z91" i="16"/>
  <c r="Y92" i="16"/>
  <c r="Z92" i="16"/>
  <c r="Y93" i="16"/>
  <c r="Z93" i="16"/>
  <c r="Y94" i="16"/>
  <c r="Z94" i="16"/>
  <c r="Y95" i="16"/>
  <c r="Z95" i="16"/>
  <c r="Y96" i="16"/>
  <c r="Z96" i="16"/>
  <c r="Y97" i="16"/>
  <c r="Z97" i="16"/>
  <c r="Y98" i="16"/>
  <c r="Z98" i="16"/>
  <c r="Y99" i="16"/>
  <c r="Z99" i="16"/>
  <c r="Y100" i="16"/>
  <c r="Z100" i="16"/>
  <c r="Y101" i="16"/>
  <c r="Z101" i="16"/>
  <c r="Y102" i="16"/>
  <c r="Z102" i="16"/>
  <c r="Y103" i="16"/>
  <c r="Z103" i="16"/>
  <c r="Y104" i="16"/>
  <c r="Z104" i="16"/>
  <c r="Y105" i="16"/>
  <c r="Z105" i="16"/>
  <c r="Y106" i="16"/>
  <c r="Z106" i="16"/>
  <c r="AS106" i="16"/>
  <c r="AT106" i="16"/>
  <c r="AU106" i="16"/>
  <c r="Y107" i="16"/>
  <c r="Z107" i="16"/>
  <c r="Y108" i="16"/>
  <c r="Z108" i="16"/>
  <c r="Y109" i="16"/>
  <c r="Z109" i="16"/>
  <c r="Y110" i="16"/>
  <c r="Z110" i="16"/>
  <c r="Y111" i="16"/>
  <c r="Z111" i="16"/>
  <c r="Y112" i="16"/>
  <c r="Z112" i="16"/>
  <c r="Y113" i="16"/>
  <c r="Z113" i="16"/>
  <c r="Y114" i="16"/>
  <c r="Z114" i="16"/>
  <c r="Y115" i="16"/>
  <c r="Z115" i="16"/>
  <c r="Y116" i="16"/>
  <c r="Z116" i="16"/>
  <c r="Y117" i="16"/>
  <c r="Z117" i="16"/>
  <c r="Y118" i="16"/>
  <c r="Z118" i="16"/>
  <c r="Y119" i="16"/>
  <c r="Z119" i="16"/>
  <c r="Y120" i="16"/>
  <c r="Z120" i="16"/>
  <c r="Y121" i="16"/>
  <c r="Z121" i="16"/>
  <c r="Y122" i="16"/>
  <c r="Z122" i="16"/>
  <c r="Y123" i="16"/>
  <c r="Z123" i="16"/>
  <c r="Y124" i="16"/>
  <c r="Z124" i="16"/>
  <c r="Y125" i="16"/>
  <c r="Z125" i="16"/>
  <c r="Y126" i="16"/>
  <c r="Z126" i="16"/>
  <c r="Y127" i="16"/>
  <c r="Z127" i="16"/>
  <c r="Y128" i="16"/>
  <c r="Z128" i="16"/>
  <c r="Y129" i="16"/>
  <c r="Z129" i="16"/>
  <c r="Y130" i="16"/>
  <c r="Z130" i="16"/>
  <c r="Y131" i="16"/>
  <c r="Z131" i="16"/>
  <c r="Y132" i="16"/>
  <c r="Z132" i="16"/>
  <c r="Y133" i="16"/>
  <c r="Z133" i="16"/>
  <c r="Y134" i="16"/>
  <c r="Z134" i="16"/>
  <c r="Y135" i="16"/>
  <c r="Z135" i="16"/>
  <c r="Y136" i="16"/>
  <c r="Z136" i="16"/>
  <c r="Y137" i="16"/>
  <c r="Z137" i="16"/>
  <c r="Y138" i="16"/>
  <c r="Z138" i="16"/>
  <c r="Y139" i="16"/>
  <c r="Z139" i="16"/>
  <c r="Y140" i="16"/>
  <c r="Z140" i="16"/>
  <c r="Y141" i="16"/>
  <c r="Z141" i="16"/>
  <c r="Y142" i="16"/>
  <c r="Z142" i="16"/>
  <c r="Y146" i="16"/>
  <c r="Z146" i="16"/>
  <c r="Y147" i="16"/>
  <c r="Z147" i="16"/>
  <c r="Y148" i="16"/>
  <c r="Z148" i="16"/>
  <c r="Y149" i="16"/>
  <c r="Z149" i="16"/>
  <c r="Y150" i="16"/>
  <c r="Z150" i="16"/>
  <c r="Y151" i="16"/>
  <c r="Z151" i="16"/>
  <c r="Y152" i="16"/>
  <c r="Z152" i="16"/>
  <c r="Y153" i="16"/>
  <c r="Z153" i="16"/>
  <c r="Y154" i="16"/>
  <c r="Z154" i="16"/>
  <c r="Y155" i="16"/>
  <c r="Z155" i="16"/>
  <c r="Y156" i="16"/>
  <c r="Z156" i="16"/>
  <c r="Y157" i="16"/>
  <c r="Z157" i="16"/>
  <c r="Y158" i="16"/>
  <c r="Z158" i="16"/>
  <c r="Y159" i="16"/>
  <c r="Z159" i="16"/>
  <c r="Y162" i="16"/>
  <c r="Z162" i="16"/>
  <c r="Y163" i="16"/>
  <c r="Z163" i="16"/>
  <c r="Y164" i="16"/>
  <c r="Z164" i="16"/>
  <c r="Y165" i="16"/>
  <c r="Z165" i="16"/>
  <c r="Y166" i="16"/>
  <c r="Z166" i="16"/>
  <c r="Y167" i="16"/>
  <c r="Z167" i="16"/>
  <c r="Y168" i="16"/>
  <c r="Z168" i="16"/>
  <c r="AO168" i="16"/>
  <c r="AP168" i="16"/>
  <c r="AQ168" i="16"/>
  <c r="Y169" i="16"/>
  <c r="Z169" i="16"/>
  <c r="Y170" i="16"/>
  <c r="Z170" i="16"/>
  <c r="D171" i="16"/>
  <c r="D177" i="16"/>
  <c r="G171" i="16"/>
  <c r="AE43" i="16"/>
  <c r="V175" i="16"/>
  <c r="X175" i="16"/>
  <c r="D178" i="16"/>
  <c r="D180" i="16"/>
  <c r="G178" i="16"/>
  <c r="P180" i="16"/>
  <c r="P181" i="16"/>
  <c r="O182" i="16"/>
  <c r="P182" i="16"/>
  <c r="O258" i="16"/>
  <c r="O256" i="16"/>
  <c r="V258" i="16"/>
  <c r="L259" i="16"/>
  <c r="K260" i="16"/>
  <c r="O260" i="16"/>
  <c r="V256" i="16"/>
  <c r="H15" i="4"/>
  <c r="L15" i="4"/>
  <c r="O16" i="4"/>
  <c r="O17" i="4"/>
  <c r="L18" i="4"/>
  <c r="O19" i="4"/>
  <c r="L21" i="4"/>
  <c r="O21" i="4"/>
  <c r="H22" i="4"/>
  <c r="L22" i="4"/>
  <c r="L23" i="4"/>
  <c r="O23" i="4"/>
  <c r="L24" i="4"/>
  <c r="O24" i="4"/>
  <c r="O25" i="4"/>
  <c r="L26" i="4"/>
  <c r="L27" i="4"/>
  <c r="O27" i="4"/>
  <c r="L28" i="4"/>
  <c r="L29" i="4"/>
  <c r="O29" i="4"/>
  <c r="L30" i="4"/>
  <c r="L31" i="4"/>
  <c r="O31" i="4"/>
  <c r="L32" i="4"/>
  <c r="O33" i="4"/>
  <c r="O34" i="4"/>
  <c r="H35" i="4"/>
  <c r="L35" i="4"/>
  <c r="L36" i="4"/>
  <c r="O36" i="4"/>
  <c r="L37" i="4"/>
  <c r="O37" i="4"/>
  <c r="L38" i="4"/>
  <c r="O38" i="4"/>
  <c r="O40" i="4"/>
  <c r="L41" i="4"/>
  <c r="O41" i="4"/>
  <c r="L42" i="4"/>
  <c r="O42" i="4"/>
  <c r="L43" i="4"/>
  <c r="O43" i="4"/>
  <c r="L44" i="4"/>
  <c r="L45" i="4"/>
  <c r="O45" i="4"/>
  <c r="O46" i="4"/>
  <c r="O48" i="4"/>
  <c r="O49" i="4"/>
  <c r="L50" i="4"/>
  <c r="O50" i="4"/>
  <c r="L51" i="4"/>
  <c r="O53" i="4"/>
  <c r="O55" i="4"/>
  <c r="O56" i="4"/>
  <c r="L57" i="4"/>
  <c r="O57" i="4"/>
  <c r="L58" i="4"/>
  <c r="L59" i="4"/>
  <c r="O59" i="4"/>
  <c r="L60" i="4"/>
  <c r="H61" i="4"/>
  <c r="H62" i="4"/>
  <c r="O62" i="4"/>
  <c r="H63" i="4"/>
  <c r="H125" i="4"/>
  <c r="L63" i="4"/>
  <c r="O63" i="4"/>
  <c r="O64" i="4"/>
  <c r="O65" i="4"/>
  <c r="O66" i="4"/>
  <c r="H67" i="4"/>
  <c r="H68" i="4"/>
  <c r="L68" i="4"/>
  <c r="O68" i="4"/>
  <c r="O69" i="4"/>
  <c r="L70" i="4"/>
  <c r="O70" i="4"/>
  <c r="L71" i="4"/>
  <c r="O71" i="4"/>
  <c r="H72" i="4"/>
  <c r="L72" i="4"/>
  <c r="O73" i="4"/>
  <c r="O75" i="4"/>
  <c r="AV76" i="4"/>
  <c r="AW76" i="4"/>
  <c r="AX76" i="4"/>
  <c r="O77" i="4"/>
  <c r="L78" i="4"/>
  <c r="O78" i="4"/>
  <c r="L79" i="4"/>
  <c r="O80" i="4"/>
  <c r="L81" i="4"/>
  <c r="O81" i="4"/>
  <c r="L82" i="4"/>
  <c r="L83" i="4"/>
  <c r="O83" i="4"/>
  <c r="H84" i="4"/>
  <c r="L85" i="4"/>
  <c r="O85" i="4"/>
  <c r="L86" i="4"/>
  <c r="O86" i="4"/>
  <c r="L87" i="4"/>
  <c r="O87" i="4"/>
  <c r="O88" i="4"/>
  <c r="L89" i="4"/>
  <c r="O89" i="4"/>
  <c r="L90" i="4"/>
  <c r="L91" i="4"/>
  <c r="L92" i="4"/>
  <c r="O92" i="4"/>
  <c r="L93" i="4"/>
  <c r="O93" i="4"/>
  <c r="L94" i="4"/>
  <c r="L97" i="4"/>
  <c r="O97" i="4"/>
  <c r="L98" i="4"/>
  <c r="O98" i="4"/>
  <c r="L99" i="4"/>
  <c r="L100" i="4"/>
  <c r="O100" i="4"/>
  <c r="L101" i="4"/>
  <c r="L102" i="4"/>
  <c r="O102" i="4"/>
  <c r="L103" i="4"/>
  <c r="L104" i="4"/>
  <c r="O104" i="4"/>
  <c r="O106" i="4"/>
  <c r="L107" i="4"/>
  <c r="O107" i="4"/>
  <c r="L108" i="4"/>
  <c r="O108" i="4"/>
  <c r="L109" i="4"/>
  <c r="L110" i="4"/>
  <c r="O110" i="4"/>
  <c r="L111" i="4"/>
  <c r="L112" i="4"/>
  <c r="O112" i="4"/>
  <c r="O114" i="4"/>
  <c r="L115" i="4"/>
  <c r="O116" i="4"/>
  <c r="D125" i="4"/>
  <c r="D131" i="4"/>
  <c r="G125" i="4"/>
  <c r="AK125" i="4"/>
  <c r="AL125" i="4"/>
  <c r="AM125" i="4"/>
  <c r="P126" i="4"/>
  <c r="AC130" i="4"/>
  <c r="D132" i="4"/>
  <c r="G132" i="4"/>
  <c r="O177" i="4"/>
  <c r="C54" i="24"/>
  <c r="J53" i="24"/>
  <c r="J52" i="24"/>
  <c r="H172" i="16"/>
  <c r="L126" i="4"/>
  <c r="L53" i="24"/>
  <c r="C53" i="24"/>
  <c r="C52" i="24"/>
  <c r="E53" i="24"/>
  <c r="R52" i="24"/>
  <c r="J51" i="24"/>
  <c r="J57" i="24"/>
  <c r="J54" i="24"/>
  <c r="L51" i="24"/>
  <c r="L57" i="24"/>
  <c r="E55" i="24"/>
  <c r="E52" i="24"/>
  <c r="I27" i="24"/>
  <c r="E54" i="24"/>
  <c r="L113" i="4"/>
  <c r="K57" i="24"/>
  <c r="D57" i="24"/>
  <c r="L56" i="24"/>
  <c r="L54" i="24"/>
  <c r="M35" i="24"/>
  <c r="N35" i="24"/>
  <c r="F40" i="24"/>
  <c r="AE58" i="4"/>
  <c r="AH24" i="4"/>
  <c r="AC42" i="4"/>
  <c r="AH98" i="4"/>
  <c r="AE17" i="4"/>
  <c r="AC41" i="4"/>
  <c r="AI37" i="4"/>
  <c r="AC112" i="4"/>
  <c r="AG18" i="4"/>
  <c r="AC45" i="4"/>
  <c r="AI35" i="4"/>
  <c r="AB56" i="4"/>
  <c r="AD72" i="4"/>
  <c r="AB23" i="4"/>
  <c r="AD98" i="4"/>
  <c r="AE56" i="4"/>
  <c r="AG103" i="4"/>
  <c r="AI104" i="4"/>
  <c r="AB111" i="4"/>
  <c r="AE115" i="4"/>
  <c r="AF69" i="4"/>
  <c r="AC92" i="4"/>
  <c r="AI27" i="4"/>
  <c r="AE29" i="4"/>
  <c r="AC83" i="4"/>
  <c r="AH89" i="4"/>
  <c r="AH106" i="4"/>
  <c r="AE15" i="4"/>
  <c r="AI101" i="4"/>
  <c r="AG106" i="4"/>
  <c r="AH83" i="4"/>
  <c r="AG90" i="4"/>
  <c r="AI95" i="4"/>
  <c r="AE82" i="4"/>
  <c r="AJ98" i="4"/>
  <c r="AC100" i="4"/>
  <c r="AH39" i="4"/>
  <c r="AH102" i="4"/>
  <c r="AC47" i="4"/>
  <c r="AC22" i="4"/>
  <c r="AH116" i="4"/>
  <c r="AB80" i="4"/>
  <c r="AC23" i="4"/>
  <c r="AG110" i="4"/>
  <c r="AC84" i="4"/>
  <c r="AH84" i="4"/>
  <c r="AE83" i="4"/>
  <c r="AD75" i="4"/>
  <c r="AF99" i="4"/>
  <c r="AH75" i="4"/>
  <c r="AC54" i="4"/>
  <c r="AD32" i="4"/>
  <c r="AG87" i="4"/>
  <c r="AI33" i="4"/>
  <c r="AB106" i="4"/>
  <c r="AJ55" i="4"/>
  <c r="AH88" i="4"/>
  <c r="AB120" i="4"/>
  <c r="AD55" i="4"/>
  <c r="AH52" i="4"/>
  <c r="AC117" i="4"/>
  <c r="AC31" i="4"/>
  <c r="AH96" i="4"/>
  <c r="AE34" i="4"/>
  <c r="AJ119" i="4"/>
  <c r="AJ64" i="4"/>
  <c r="AC17" i="4"/>
  <c r="AF79" i="4"/>
  <c r="AG99" i="4"/>
  <c r="AE96" i="4"/>
  <c r="AB44" i="4"/>
  <c r="AC109" i="4"/>
  <c r="AJ54" i="4"/>
  <c r="AJ99" i="4"/>
  <c r="AJ18" i="4"/>
  <c r="AG63" i="4"/>
  <c r="AE47" i="4"/>
  <c r="AH26" i="4"/>
  <c r="AG82" i="4"/>
  <c r="AH123" i="4"/>
  <c r="AI124" i="4"/>
  <c r="AF48" i="4"/>
  <c r="AE77" i="4"/>
  <c r="AD87" i="4"/>
  <c r="AF93" i="4"/>
  <c r="AG111" i="4"/>
  <c r="AB37" i="4"/>
  <c r="AC33" i="4"/>
  <c r="AH36" i="4"/>
  <c r="AH118" i="4"/>
  <c r="AF28" i="4"/>
  <c r="AH58" i="4"/>
  <c r="AC75" i="4"/>
  <c r="AI31" i="4"/>
  <c r="AC19" i="4"/>
  <c r="AB61" i="4"/>
  <c r="AD57" i="4"/>
  <c r="AC36" i="4"/>
  <c r="AJ33" i="4"/>
  <c r="AF38" i="4"/>
  <c r="AH105" i="4"/>
  <c r="AB24" i="4"/>
  <c r="AJ47" i="4"/>
  <c r="AB101" i="4"/>
  <c r="AE42" i="4"/>
  <c r="AF88" i="4"/>
  <c r="AH66" i="4"/>
  <c r="AF29" i="4"/>
  <c r="AD80" i="4"/>
  <c r="AE102" i="4"/>
  <c r="AD67" i="4"/>
  <c r="AF87" i="4"/>
  <c r="AD65" i="4"/>
  <c r="AI50" i="4"/>
  <c r="AF22" i="4"/>
  <c r="AI61" i="4"/>
  <c r="AC93" i="4"/>
  <c r="AF26" i="4"/>
  <c r="AI77" i="4"/>
  <c r="AI96" i="4"/>
  <c r="AH28" i="4"/>
  <c r="AJ14" i="4"/>
  <c r="AE114" i="4"/>
  <c r="AG24" i="4"/>
  <c r="AF44" i="4"/>
  <c r="AI83" i="4"/>
  <c r="AH38" i="4"/>
  <c r="AH34" i="4"/>
  <c r="AE122" i="4"/>
  <c r="AD43" i="4"/>
  <c r="AJ62" i="4"/>
  <c r="AG31" i="4"/>
  <c r="AC68" i="4"/>
  <c r="AE20" i="4"/>
  <c r="AC76" i="4"/>
  <c r="AD51" i="4"/>
  <c r="AE104" i="4"/>
  <c r="AC103" i="4"/>
  <c r="AJ120" i="4"/>
  <c r="AC118" i="4"/>
  <c r="AD122" i="4"/>
  <c r="AD64" i="4"/>
  <c r="AH41" i="4"/>
  <c r="AH61" i="4"/>
  <c r="AJ117" i="4"/>
  <c r="AF85" i="4"/>
  <c r="AH64" i="4"/>
  <c r="AE21" i="4"/>
  <c r="AE44" i="4"/>
  <c r="AE101" i="4"/>
  <c r="AD36" i="4"/>
  <c r="AC34" i="4"/>
  <c r="AD94" i="4"/>
  <c r="AH49" i="4"/>
  <c r="AG86" i="4"/>
  <c r="AD34" i="4"/>
  <c r="AB54" i="4"/>
  <c r="AC62" i="4"/>
  <c r="AB70" i="4"/>
  <c r="AJ113" i="4"/>
  <c r="L54" i="4"/>
  <c r="L105" i="4"/>
  <c r="H214" i="16"/>
  <c r="F42" i="24"/>
  <c r="G42" i="24"/>
  <c r="M39" i="24"/>
  <c r="P39" i="24"/>
  <c r="F10" i="24"/>
  <c r="M42" i="24"/>
  <c r="M41" i="24"/>
  <c r="N41" i="24"/>
  <c r="P41" i="24"/>
  <c r="F46" i="24"/>
  <c r="I46" i="24"/>
  <c r="M69" i="4"/>
  <c r="L76" i="4"/>
  <c r="L47" i="4"/>
  <c r="M40" i="24"/>
  <c r="P40" i="24"/>
  <c r="L52" i="24"/>
  <c r="AG22" i="4"/>
  <c r="AH33" i="4"/>
  <c r="AF17" i="4"/>
  <c r="AI105" i="4"/>
  <c r="AE62" i="4"/>
  <c r="AD60" i="4"/>
  <c r="AD111" i="4"/>
  <c r="AG85" i="4"/>
  <c r="AI32" i="4"/>
  <c r="AB29" i="4"/>
  <c r="AC73" i="4"/>
  <c r="AH113" i="4"/>
  <c r="AB85" i="4"/>
  <c r="AJ103" i="4"/>
  <c r="AC110" i="4"/>
  <c r="AE118" i="4"/>
  <c r="AH86" i="4"/>
  <c r="AJ81" i="4"/>
  <c r="AF96" i="4"/>
  <c r="AH122" i="4"/>
  <c r="AJ28" i="4"/>
  <c r="AJ43" i="4"/>
  <c r="AF18" i="4"/>
  <c r="AB13" i="4"/>
  <c r="AJ17" i="4"/>
  <c r="AG120" i="4"/>
  <c r="AC20" i="4"/>
  <c r="AE39" i="4"/>
  <c r="AE18" i="4"/>
  <c r="AE43" i="4"/>
  <c r="AD99" i="4"/>
  <c r="AC16" i="4"/>
  <c r="AI75" i="4"/>
  <c r="AC122" i="4"/>
  <c r="AF16" i="4"/>
  <c r="AI55" i="4"/>
  <c r="AD18" i="4"/>
  <c r="AH60" i="4"/>
  <c r="AG56" i="4"/>
  <c r="AF92" i="4"/>
  <c r="AB49" i="4"/>
  <c r="AG124" i="4"/>
  <c r="AJ106" i="4"/>
  <c r="AB90" i="4"/>
  <c r="AC58" i="4"/>
  <c r="AD42" i="4"/>
  <c r="AC24" i="4"/>
  <c r="AG40" i="4"/>
  <c r="AC96" i="4"/>
  <c r="AJ67" i="4"/>
  <c r="AJ93" i="4"/>
  <c r="AF50" i="4"/>
  <c r="AG88" i="4"/>
  <c r="AB116" i="4"/>
  <c r="AD24" i="4"/>
  <c r="AE45" i="4"/>
  <c r="AC52" i="4"/>
  <c r="AI94" i="4"/>
  <c r="AF78" i="4"/>
  <c r="AI102" i="4"/>
  <c r="AG29" i="4"/>
  <c r="AI91" i="4"/>
  <c r="AH110" i="4"/>
  <c r="AD50" i="4"/>
  <c r="AI120" i="4"/>
  <c r="AC105" i="4"/>
  <c r="AG101" i="4"/>
  <c r="AD22" i="4"/>
  <c r="AH44" i="4"/>
  <c r="AH18" i="4"/>
  <c r="AD124" i="4"/>
  <c r="AI123" i="4"/>
  <c r="AB64" i="4"/>
  <c r="AB36" i="4"/>
  <c r="AG38" i="4"/>
  <c r="AD96" i="4"/>
  <c r="AJ80" i="4"/>
  <c r="AC60" i="4"/>
  <c r="AG16" i="4"/>
  <c r="AD93" i="4"/>
  <c r="AF45" i="4"/>
  <c r="AB35" i="4"/>
  <c r="AE27" i="4"/>
  <c r="AE123" i="4"/>
  <c r="AF34" i="4"/>
  <c r="AI63" i="4"/>
  <c r="AC35" i="4"/>
  <c r="AB71" i="4"/>
  <c r="AB51" i="4"/>
  <c r="AF102" i="4"/>
  <c r="AG55" i="4"/>
  <c r="AE73" i="4"/>
  <c r="AH42" i="4"/>
  <c r="AH67" i="4"/>
  <c r="AF71" i="4"/>
  <c r="AH25" i="4"/>
  <c r="AB30" i="4"/>
  <c r="AF68" i="4"/>
  <c r="AG36" i="4"/>
  <c r="AH68" i="4"/>
  <c r="AE106" i="4"/>
  <c r="AE59" i="4"/>
  <c r="AJ65" i="4"/>
  <c r="AE38" i="4"/>
  <c r="AI70" i="4"/>
  <c r="AG37" i="4"/>
  <c r="AJ87" i="4"/>
  <c r="AD19" i="4"/>
  <c r="AD110" i="4"/>
  <c r="AB104" i="4"/>
  <c r="AG76" i="4"/>
  <c r="AH121" i="4"/>
  <c r="AG43" i="4"/>
  <c r="AD16" i="4"/>
  <c r="AJ25" i="4"/>
  <c r="AC40" i="4"/>
  <c r="AB21" i="4"/>
  <c r="AE90" i="4"/>
  <c r="AH15" i="4"/>
  <c r="AE35" i="4"/>
  <c r="AI66" i="4"/>
  <c r="AB99" i="4"/>
  <c r="AB62" i="4"/>
  <c r="AE67" i="4"/>
  <c r="AD21" i="4"/>
  <c r="AD20" i="4"/>
  <c r="AJ53" i="4"/>
  <c r="AJ77" i="4"/>
  <c r="AD26" i="4"/>
  <c r="AG50" i="4"/>
  <c r="AB84" i="4"/>
  <c r="AD40" i="4"/>
  <c r="AH56" i="4"/>
  <c r="AE37" i="4"/>
  <c r="AG94" i="4"/>
  <c r="AG113" i="4"/>
  <c r="AF81" i="4"/>
  <c r="AJ83" i="4"/>
  <c r="AE93" i="4"/>
  <c r="AC94" i="4"/>
  <c r="AD29" i="4"/>
  <c r="AJ59" i="4"/>
  <c r="AF98" i="4"/>
  <c r="AI89" i="4"/>
  <c r="AJ84" i="4"/>
  <c r="AG42" i="4"/>
  <c r="AB72" i="4"/>
  <c r="AC99" i="4"/>
  <c r="AB60" i="4"/>
  <c r="AJ16" i="4"/>
  <c r="AI106" i="4"/>
  <c r="AE32" i="4"/>
  <c r="AB68" i="4"/>
  <c r="AD101" i="4"/>
  <c r="AG47" i="4"/>
  <c r="AE50" i="4"/>
  <c r="AH115" i="4"/>
  <c r="AG46" i="4"/>
  <c r="AJ86" i="4"/>
  <c r="AB124" i="4"/>
  <c r="AC15" i="4"/>
  <c r="AG77" i="4"/>
  <c r="AE70" i="4"/>
  <c r="AJ61" i="4"/>
  <c r="AI108" i="4"/>
  <c r="AF55" i="4"/>
  <c r="AF20" i="4"/>
  <c r="AD79" i="4"/>
  <c r="AH29" i="4"/>
  <c r="AC72" i="4"/>
  <c r="AH99" i="4"/>
  <c r="AE65" i="4"/>
  <c r="AI25" i="4"/>
  <c r="AD71" i="4"/>
  <c r="AE26" i="4"/>
  <c r="AB102" i="4"/>
  <c r="AD49" i="4"/>
  <c r="AC55" i="4"/>
  <c r="AD84" i="4"/>
  <c r="AJ85" i="4"/>
  <c r="AF104" i="4"/>
  <c r="AH13" i="4"/>
  <c r="AH40" i="4"/>
  <c r="AE31" i="4"/>
  <c r="AB32" i="4"/>
  <c r="AJ91" i="4"/>
  <c r="AI21" i="4"/>
  <c r="AD118" i="4"/>
  <c r="AJ104" i="4"/>
  <c r="AI51" i="4"/>
  <c r="AC101" i="4"/>
  <c r="AH109" i="4"/>
  <c r="AJ42" i="4"/>
  <c r="AC66" i="4"/>
  <c r="AG69" i="4"/>
  <c r="AE86" i="4"/>
  <c r="AC81" i="4"/>
  <c r="AG73" i="4"/>
  <c r="AG23" i="4"/>
  <c r="AE55" i="4"/>
  <c r="AD104" i="4"/>
  <c r="AD91" i="4"/>
  <c r="AE13" i="4"/>
  <c r="AJ27" i="4"/>
  <c r="AC65" i="4"/>
  <c r="AC90" i="4"/>
  <c r="AB110" i="4"/>
  <c r="AI109" i="4"/>
  <c r="AJ102" i="4"/>
  <c r="AB41" i="4"/>
  <c r="AD66" i="4"/>
  <c r="AH30" i="4"/>
  <c r="AF101" i="4"/>
  <c r="AI39" i="4"/>
  <c r="AE16" i="4"/>
  <c r="AJ63" i="4"/>
  <c r="AB107" i="4"/>
  <c r="AD25" i="4"/>
  <c r="AF89" i="4"/>
  <c r="AG33" i="4"/>
  <c r="AI92" i="4"/>
  <c r="AG35" i="4"/>
  <c r="AG98" i="4"/>
  <c r="AI57" i="4"/>
  <c r="AD33" i="4"/>
  <c r="AD70" i="4"/>
  <c r="AF33" i="4"/>
  <c r="AJ37" i="4"/>
  <c r="AF15" i="4"/>
  <c r="AJ72" i="4"/>
  <c r="AI115" i="4"/>
  <c r="AF111" i="4"/>
  <c r="AH72" i="4"/>
  <c r="AF100" i="4"/>
  <c r="AB115" i="4"/>
  <c r="AF117" i="4"/>
  <c r="AE63" i="4"/>
  <c r="AE98" i="4"/>
  <c r="AD120" i="4"/>
  <c r="AJ58" i="4"/>
  <c r="AF42" i="4"/>
  <c r="AE53" i="4"/>
  <c r="AJ71" i="4"/>
  <c r="AI56" i="4"/>
  <c r="AC77" i="4"/>
  <c r="AG58" i="4"/>
  <c r="AJ13" i="4"/>
  <c r="AB87" i="4"/>
  <c r="AD61" i="4"/>
  <c r="AE68" i="4"/>
  <c r="AH59" i="4"/>
  <c r="AF106" i="4"/>
  <c r="AF40" i="4"/>
  <c r="AC120" i="4"/>
  <c r="AJ56" i="4"/>
  <c r="AG65" i="4"/>
  <c r="AI36" i="4"/>
  <c r="AI67" i="4"/>
  <c r="AB26" i="4"/>
  <c r="AI58" i="4"/>
  <c r="AF103" i="4"/>
  <c r="AB67" i="4"/>
  <c r="AI59" i="4"/>
  <c r="AD28" i="4"/>
  <c r="AE97" i="4"/>
  <c r="AB122" i="4"/>
  <c r="AE24" i="4"/>
  <c r="AH50" i="4"/>
  <c r="AD41" i="4"/>
  <c r="AJ108" i="4"/>
  <c r="AF32" i="4"/>
  <c r="AB15" i="4"/>
  <c r="AD17" i="4"/>
  <c r="AG123" i="4"/>
  <c r="AB19" i="4"/>
  <c r="AI54" i="4"/>
  <c r="AG66" i="4"/>
  <c r="AH23" i="4"/>
  <c r="AC14" i="4"/>
  <c r="AD38" i="4"/>
  <c r="AF13" i="4"/>
  <c r="AI107" i="4"/>
  <c r="AG83" i="4"/>
  <c r="AD63" i="4"/>
  <c r="AF54" i="4"/>
  <c r="AH85" i="4"/>
  <c r="AF43" i="4"/>
  <c r="AC106" i="4"/>
  <c r="G131" i="4"/>
  <c r="O130" i="4"/>
  <c r="AJ69" i="4"/>
  <c r="AC27" i="4"/>
  <c r="AB96" i="4"/>
  <c r="AG21" i="4"/>
  <c r="AB42" i="4"/>
  <c r="AC56" i="4"/>
  <c r="AB76" i="4"/>
  <c r="AH51" i="4"/>
  <c r="AJ70" i="4"/>
  <c r="AD115" i="4"/>
  <c r="AG114" i="4"/>
  <c r="AC63" i="4"/>
  <c r="AI119" i="4"/>
  <c r="AH114" i="4"/>
  <c r="AE124" i="4"/>
  <c r="AJ15" i="4"/>
  <c r="AE22" i="4"/>
  <c r="AH87" i="4"/>
  <c r="AG62" i="4"/>
  <c r="AE120" i="4"/>
  <c r="AH93" i="4"/>
  <c r="AJ82" i="4"/>
  <c r="AD15" i="4"/>
  <c r="AF46" i="4"/>
  <c r="AC39" i="4"/>
  <c r="AG105" i="4"/>
  <c r="AB46" i="4"/>
  <c r="AJ39" i="4"/>
  <c r="AB95" i="4"/>
  <c r="AG118" i="4"/>
  <c r="AF23" i="4"/>
  <c r="AE81" i="4"/>
  <c r="AJ116" i="4"/>
  <c r="AF72" i="4"/>
  <c r="AD48" i="4"/>
  <c r="AH48" i="4"/>
  <c r="AE116" i="4"/>
  <c r="AF74" i="4"/>
  <c r="AH117" i="4"/>
  <c r="AG100" i="4"/>
  <c r="AG70" i="4"/>
  <c r="AH45" i="4"/>
  <c r="AE49" i="4"/>
  <c r="AH27" i="4"/>
  <c r="AD76" i="4"/>
  <c r="AI28" i="4"/>
  <c r="AE28" i="4"/>
  <c r="AJ121" i="4"/>
  <c r="AE121" i="4"/>
  <c r="AJ105" i="4"/>
  <c r="AB34" i="4"/>
  <c r="AF118" i="4"/>
  <c r="AC88" i="4"/>
  <c r="AC18" i="4"/>
  <c r="AB58" i="4"/>
  <c r="AI111" i="4"/>
  <c r="AF14" i="4"/>
  <c r="AG34" i="4"/>
  <c r="AB47" i="4"/>
  <c r="AB69" i="4"/>
  <c r="AB112" i="4"/>
  <c r="AG28" i="4"/>
  <c r="AB78" i="4"/>
  <c r="AD13" i="4"/>
  <c r="AB89" i="4"/>
  <c r="AE41" i="4"/>
  <c r="AD47" i="4"/>
  <c r="AI47" i="4"/>
  <c r="AH103" i="4"/>
  <c r="AG27" i="4"/>
  <c r="AJ38" i="4"/>
  <c r="AF109" i="4"/>
  <c r="AD37" i="4"/>
  <c r="AH32" i="4"/>
  <c r="AI72" i="4"/>
  <c r="AD44" i="4"/>
  <c r="AG81" i="4"/>
  <c r="AH46" i="4"/>
  <c r="AG71" i="4"/>
  <c r="AG102" i="4"/>
  <c r="AF49" i="4"/>
  <c r="AG67" i="4"/>
  <c r="AI116" i="4"/>
  <c r="AF105" i="4"/>
  <c r="AG17" i="4"/>
  <c r="AH94" i="4"/>
  <c r="AH95" i="4"/>
  <c r="AB94" i="4"/>
  <c r="AB66" i="4"/>
  <c r="AI112" i="4"/>
  <c r="AE19" i="4"/>
  <c r="AB20" i="4"/>
  <c r="AB59" i="4"/>
  <c r="AI76" i="4"/>
  <c r="AH77" i="4"/>
  <c r="AH20" i="4"/>
  <c r="AB109" i="4"/>
  <c r="AF30" i="4"/>
  <c r="AH54" i="4"/>
  <c r="AF39" i="4"/>
  <c r="AG60" i="4"/>
  <c r="AC37" i="4"/>
  <c r="AC48" i="4"/>
  <c r="AI87" i="4"/>
  <c r="AB117" i="4"/>
  <c r="AC79" i="4"/>
  <c r="AI46" i="4"/>
  <c r="AJ94" i="4"/>
  <c r="AJ35" i="4"/>
  <c r="AF82" i="4"/>
  <c r="AH97" i="4"/>
  <c r="AH120" i="4"/>
  <c r="AF86" i="4"/>
  <c r="AF76" i="4"/>
  <c r="AC46" i="4"/>
  <c r="AI82" i="4"/>
  <c r="AG121" i="4"/>
  <c r="AF97" i="4"/>
  <c r="AG96" i="4"/>
  <c r="AB50" i="4"/>
  <c r="AI110" i="4"/>
  <c r="AE99" i="4"/>
  <c r="AI48" i="4"/>
  <c r="AC107" i="4"/>
  <c r="AG92" i="4"/>
  <c r="AD108" i="4"/>
  <c r="AJ107" i="4"/>
  <c r="AB17" i="4"/>
  <c r="AH107" i="4"/>
  <c r="AD89" i="4"/>
  <c r="AF24" i="4"/>
  <c r="AF83" i="4"/>
  <c r="AH101" i="4"/>
  <c r="AE108" i="4"/>
  <c r="AC49" i="4"/>
  <c r="AB22" i="4"/>
  <c r="AB14" i="4"/>
  <c r="AE52" i="4"/>
  <c r="M117" i="4"/>
  <c r="AD103" i="4"/>
  <c r="AI44" i="4"/>
  <c r="AH111" i="4"/>
  <c r="AF41" i="4"/>
  <c r="AF107" i="4"/>
  <c r="AC113" i="4"/>
  <c r="AH22" i="4"/>
  <c r="AI122" i="4"/>
  <c r="AG112" i="4"/>
  <c r="AB33" i="4"/>
  <c r="AG48" i="4"/>
  <c r="AC98" i="4"/>
  <c r="AG91" i="4"/>
  <c r="AD116" i="4"/>
  <c r="AE88" i="4"/>
  <c r="AH17" i="4"/>
  <c r="AF108" i="4"/>
  <c r="AG53" i="4"/>
  <c r="AD82" i="4"/>
  <c r="AB52" i="4"/>
  <c r="AF59" i="4"/>
  <c r="AD88" i="4"/>
  <c r="AD97" i="4"/>
  <c r="AF25" i="4"/>
  <c r="AJ21" i="4"/>
  <c r="AG97" i="4"/>
  <c r="AF53" i="4"/>
  <c r="AH81" i="4"/>
  <c r="AE78" i="4"/>
  <c r="AB93" i="4"/>
  <c r="AB108" i="4"/>
  <c r="AF90" i="4"/>
  <c r="AD39" i="4"/>
  <c r="AG75" i="4"/>
  <c r="AF116" i="4"/>
  <c r="AF51" i="4"/>
  <c r="AD105" i="4"/>
  <c r="AJ76" i="4"/>
  <c r="AB28" i="4"/>
  <c r="AB88" i="4"/>
  <c r="AH69" i="4"/>
  <c r="AI23" i="4"/>
  <c r="AG41" i="4"/>
  <c r="AB57" i="4"/>
  <c r="AG117" i="4"/>
  <c r="AF19" i="4"/>
  <c r="AH92" i="4"/>
  <c r="AI78" i="4"/>
  <c r="AH90" i="4"/>
  <c r="AE119" i="4"/>
  <c r="AB86" i="4"/>
  <c r="AI113" i="4"/>
  <c r="AF58" i="4"/>
  <c r="AE105" i="4"/>
  <c r="AI68" i="4"/>
  <c r="AE61" i="4"/>
  <c r="AF52" i="4"/>
  <c r="AC102" i="4"/>
  <c r="AF113" i="4"/>
  <c r="AC28" i="4"/>
  <c r="AF95" i="4"/>
  <c r="AG52" i="4"/>
  <c r="AJ40" i="4"/>
  <c r="AH19" i="4"/>
  <c r="AF47" i="4"/>
  <c r="AG119" i="4"/>
  <c r="AG108" i="4"/>
  <c r="AI49" i="4"/>
  <c r="AE80" i="4"/>
  <c r="AF121" i="4"/>
  <c r="AH79" i="4"/>
  <c r="AC91" i="4"/>
  <c r="AC67" i="4"/>
  <c r="AE33" i="4"/>
  <c r="AB40" i="4"/>
  <c r="AG80" i="4"/>
  <c r="AE46" i="4"/>
  <c r="AF67" i="4"/>
  <c r="AC51" i="4"/>
  <c r="AE107" i="4"/>
  <c r="AI60" i="4"/>
  <c r="AI85" i="4"/>
  <c r="AB92" i="4"/>
  <c r="AB16" i="4"/>
  <c r="AC53" i="4"/>
  <c r="AJ112" i="4"/>
  <c r="AE36" i="4"/>
  <c r="AC25" i="4"/>
  <c r="AB73" i="4"/>
  <c r="AD81" i="4"/>
  <c r="AD62" i="4"/>
  <c r="AC50" i="4"/>
  <c r="AI97" i="4"/>
  <c r="AJ51" i="4"/>
  <c r="AJ73" i="4"/>
  <c r="AD90" i="4"/>
  <c r="AF65" i="4"/>
  <c r="AE14" i="4"/>
  <c r="AD95" i="4"/>
  <c r="AH21" i="4"/>
  <c r="AC95" i="4"/>
  <c r="AG122" i="4"/>
  <c r="AG116" i="4"/>
  <c r="AF80" i="4"/>
  <c r="AJ31" i="4"/>
  <c r="AE100" i="4"/>
  <c r="AI69" i="4"/>
  <c r="AD109" i="4"/>
  <c r="AI118" i="4"/>
  <c r="AJ97" i="4"/>
  <c r="AI40" i="4"/>
  <c r="AG107" i="4"/>
  <c r="AH35" i="4"/>
  <c r="AF123" i="4"/>
  <c r="AD14" i="4"/>
  <c r="AB53" i="4"/>
  <c r="AH16" i="4"/>
  <c r="AD31" i="4"/>
  <c r="AC64" i="4"/>
  <c r="AG44" i="4"/>
  <c r="AJ79" i="4"/>
  <c r="AE84" i="4"/>
  <c r="AH74" i="4"/>
  <c r="AI73" i="4"/>
  <c r="AE89" i="4"/>
  <c r="AJ19" i="4"/>
  <c r="AF37" i="4"/>
  <c r="AB103" i="4"/>
  <c r="AI71" i="4"/>
  <c r="AD83" i="4"/>
  <c r="AJ32" i="4"/>
  <c r="AI42" i="4"/>
  <c r="AB74" i="4"/>
  <c r="AE79" i="4"/>
  <c r="AC116" i="4"/>
  <c r="AC71" i="4"/>
  <c r="AF115" i="4"/>
  <c r="AJ29" i="4"/>
  <c r="AJ30" i="4"/>
  <c r="AJ111" i="4"/>
  <c r="AB98" i="4"/>
  <c r="AF91" i="4"/>
  <c r="AB82" i="4"/>
  <c r="AD73" i="4"/>
  <c r="AD53" i="4"/>
  <c r="AB65" i="4"/>
  <c r="AE40" i="4"/>
  <c r="AD117" i="4"/>
  <c r="AD27" i="4"/>
  <c r="AB31" i="4"/>
  <c r="AG68" i="4"/>
  <c r="AE74" i="4"/>
  <c r="AE25" i="4"/>
  <c r="AI117" i="4"/>
  <c r="AI84" i="4"/>
  <c r="AD121" i="4"/>
  <c r="AI64" i="4"/>
  <c r="AF94" i="4"/>
  <c r="AB83" i="4"/>
  <c r="AG115" i="4"/>
  <c r="AD52" i="4"/>
  <c r="AH65" i="4"/>
  <c r="AH91" i="4"/>
  <c r="AH53" i="4"/>
  <c r="AG49" i="4"/>
  <c r="AE51" i="4"/>
  <c r="AE30" i="4"/>
  <c r="AH43" i="4"/>
  <c r="AI88" i="4"/>
  <c r="AJ41" i="4"/>
  <c r="AE66" i="4"/>
  <c r="AG64" i="4"/>
  <c r="AF63" i="4"/>
  <c r="AH124" i="4"/>
  <c r="AJ44" i="4"/>
  <c r="AJ57" i="4"/>
  <c r="AH14" i="4"/>
  <c r="AC115" i="4"/>
  <c r="AB55" i="4"/>
  <c r="AG51" i="4"/>
  <c r="AB38" i="4"/>
  <c r="AG30" i="4"/>
  <c r="AJ109" i="4"/>
  <c r="AH62" i="4"/>
  <c r="AD78" i="4"/>
  <c r="AJ24" i="4"/>
  <c r="AH63" i="4"/>
  <c r="AC85" i="4"/>
  <c r="AC108" i="4"/>
  <c r="AD123" i="4"/>
  <c r="AE91" i="4"/>
  <c r="AH37" i="4"/>
  <c r="AH55" i="4"/>
  <c r="AC80" i="4"/>
  <c r="AI45" i="4"/>
  <c r="AJ115" i="4"/>
  <c r="AF36" i="4"/>
  <c r="AJ75" i="4"/>
  <c r="AC74" i="4"/>
  <c r="AB77" i="4"/>
  <c r="AI24" i="4"/>
  <c r="AJ118" i="4"/>
  <c r="AI30" i="4"/>
  <c r="AI103" i="4"/>
  <c r="AE103" i="4"/>
  <c r="AJ23" i="4"/>
  <c r="AE110" i="4"/>
  <c r="AI52" i="4"/>
  <c r="AB105" i="4"/>
  <c r="S10" i="24"/>
  <c r="Q15" i="24"/>
  <c r="U15" i="24"/>
  <c r="M10" i="24"/>
  <c r="P10" i="24"/>
  <c r="Q37" i="24"/>
  <c r="I42" i="24"/>
  <c r="F48" i="24"/>
  <c r="F37" i="24"/>
  <c r="G37" i="24"/>
  <c r="I37" i="24"/>
  <c r="AE169" i="16"/>
  <c r="AE116" i="16"/>
  <c r="N10" i="24"/>
  <c r="N154" i="4"/>
  <c r="L67" i="4"/>
  <c r="T40" i="24"/>
  <c r="N40" i="24"/>
  <c r="F35" i="24"/>
  <c r="G35" i="24"/>
  <c r="G46" i="24"/>
  <c r="M17" i="4"/>
  <c r="M95" i="4"/>
  <c r="M78" i="4"/>
  <c r="M82" i="4"/>
  <c r="M75" i="4"/>
  <c r="M23" i="4"/>
  <c r="M106" i="4"/>
  <c r="M111" i="4"/>
  <c r="M62" i="4"/>
  <c r="M87" i="4"/>
  <c r="M67" i="4"/>
  <c r="M38" i="4"/>
  <c r="M71" i="4"/>
  <c r="M37" i="4"/>
  <c r="M83" i="4"/>
  <c r="M116" i="4"/>
  <c r="M56" i="4"/>
  <c r="M25" i="4"/>
  <c r="M13" i="4"/>
  <c r="O13" i="4"/>
  <c r="M80" i="4"/>
  <c r="M97" i="4"/>
  <c r="M73" i="4"/>
  <c r="M72" i="4"/>
  <c r="M61" i="4"/>
  <c r="F41" i="24"/>
  <c r="I41" i="24"/>
  <c r="I67" i="4"/>
  <c r="I84" i="4"/>
  <c r="AB67" i="16"/>
  <c r="AE49" i="16"/>
  <c r="Z171" i="16"/>
  <c r="P172" i="16"/>
  <c r="Y171" i="16"/>
  <c r="O172" i="16"/>
  <c r="I139" i="16"/>
  <c r="X102" i="16"/>
  <c r="AB113" i="16"/>
  <c r="I160" i="16"/>
  <c r="I125" i="16"/>
  <c r="X131" i="16"/>
  <c r="V41" i="16"/>
  <c r="W86" i="16"/>
  <c r="X16" i="16"/>
  <c r="W119" i="16"/>
  <c r="V101" i="16"/>
  <c r="AB36" i="16"/>
  <c r="P35" i="24"/>
  <c r="AA138" i="16"/>
  <c r="AA32" i="16"/>
  <c r="AB58" i="16"/>
  <c r="AB17" i="16"/>
  <c r="I152" i="16"/>
  <c r="J152" i="16"/>
  <c r="K152" i="16"/>
  <c r="AD24" i="16"/>
  <c r="AC96" i="16"/>
  <c r="I130" i="16"/>
  <c r="V103" i="16"/>
  <c r="I26" i="16"/>
  <c r="AE103" i="16"/>
  <c r="AC95" i="16"/>
  <c r="I15" i="16"/>
  <c r="AA79" i="16"/>
  <c r="W99" i="16"/>
  <c r="AC67" i="16"/>
  <c r="D262" i="16"/>
  <c r="AC102" i="16"/>
  <c r="I77" i="16"/>
  <c r="X52" i="16"/>
  <c r="X71" i="16"/>
  <c r="V142" i="16"/>
  <c r="AD118" i="16"/>
  <c r="I151" i="16"/>
  <c r="W30" i="16"/>
  <c r="X12" i="16"/>
  <c r="AD161" i="16"/>
  <c r="I110" i="16"/>
  <c r="AC117" i="16"/>
  <c r="X121" i="16"/>
  <c r="X117" i="16"/>
  <c r="AA139" i="16"/>
  <c r="AC31" i="16"/>
  <c r="X17" i="16"/>
  <c r="AC34" i="16"/>
  <c r="AD158" i="16"/>
  <c r="X42" i="16"/>
  <c r="I17" i="16"/>
  <c r="AD105" i="16"/>
  <c r="AC10" i="16"/>
  <c r="X135" i="16"/>
  <c r="I40" i="16"/>
  <c r="V64" i="16"/>
  <c r="AD141" i="16"/>
  <c r="AC143" i="16"/>
  <c r="AA82" i="16"/>
  <c r="W114" i="16"/>
  <c r="AE72" i="16"/>
  <c r="W159" i="16"/>
  <c r="G174" i="16"/>
  <c r="J259" i="16"/>
  <c r="AA112" i="16"/>
  <c r="V79" i="16"/>
  <c r="AA167" i="16"/>
  <c r="AA55" i="16"/>
  <c r="AE140" i="16"/>
  <c r="AB10" i="16"/>
  <c r="AB88" i="16"/>
  <c r="X51" i="16"/>
  <c r="X123" i="16"/>
  <c r="X130" i="16"/>
  <c r="AE35" i="16"/>
  <c r="V71" i="16"/>
  <c r="AA46" i="16"/>
  <c r="V139" i="16"/>
  <c r="AB75" i="16"/>
  <c r="I163" i="16"/>
  <c r="I22" i="16"/>
  <c r="I78" i="16"/>
  <c r="I149" i="16"/>
  <c r="I136" i="16"/>
  <c r="AB77" i="16"/>
  <c r="V141" i="16"/>
  <c r="AA21" i="16"/>
  <c r="W147" i="16"/>
  <c r="X140" i="16"/>
  <c r="V31" i="16"/>
  <c r="W92" i="16"/>
  <c r="AC66" i="16"/>
  <c r="I102" i="16"/>
  <c r="I154" i="16"/>
  <c r="AC157" i="16"/>
  <c r="AA151" i="16"/>
  <c r="V127" i="16"/>
  <c r="I49" i="16"/>
  <c r="I142" i="16"/>
  <c r="I9" i="16"/>
  <c r="I99" i="16"/>
  <c r="I39" i="16"/>
  <c r="J39" i="16"/>
  <c r="K39" i="16"/>
  <c r="AE68" i="16"/>
  <c r="AB25" i="16"/>
  <c r="AA59" i="16"/>
  <c r="W167" i="16"/>
  <c r="AA115" i="16"/>
  <c r="X43" i="16"/>
  <c r="AB169" i="16"/>
  <c r="AB164" i="16"/>
  <c r="AC89" i="16"/>
  <c r="AE131" i="16"/>
  <c r="I54" i="16"/>
  <c r="AA54" i="16"/>
  <c r="AC98" i="16"/>
  <c r="AC165" i="16"/>
  <c r="V156" i="16"/>
  <c r="AE77" i="16"/>
  <c r="AB92" i="16"/>
  <c r="V25" i="16"/>
  <c r="AC72" i="16"/>
  <c r="W56" i="16"/>
  <c r="AE139" i="16"/>
  <c r="AC115" i="16"/>
  <c r="AD115" i="16"/>
  <c r="AD120" i="16"/>
  <c r="AE87" i="16"/>
  <c r="AC132" i="16"/>
  <c r="AD59" i="16"/>
  <c r="X84" i="16"/>
  <c r="X72" i="16"/>
  <c r="AE123" i="16"/>
  <c r="X144" i="16"/>
  <c r="I140" i="16"/>
  <c r="I166" i="16"/>
  <c r="J165" i="16"/>
  <c r="K165" i="16"/>
  <c r="X111" i="16"/>
  <c r="AE105" i="16"/>
  <c r="X36" i="16"/>
  <c r="AE127" i="16"/>
  <c r="W81" i="16"/>
  <c r="AE9" i="16"/>
  <c r="I89" i="16"/>
  <c r="AB144" i="16"/>
  <c r="X87" i="16"/>
  <c r="AA93" i="16"/>
  <c r="I115" i="16"/>
  <c r="I133" i="16"/>
  <c r="I167" i="16"/>
  <c r="I131" i="16"/>
  <c r="I80" i="16"/>
  <c r="J80" i="16"/>
  <c r="K80" i="16"/>
  <c r="X138" i="16"/>
  <c r="AC82" i="16"/>
  <c r="AC152" i="16"/>
  <c r="X18" i="16"/>
  <c r="X26" i="16"/>
  <c r="AD45" i="16"/>
  <c r="AE24" i="16"/>
  <c r="AD63" i="16"/>
  <c r="X128" i="16"/>
  <c r="W117" i="16"/>
  <c r="X91" i="16"/>
  <c r="AA164" i="16"/>
  <c r="AC142" i="16"/>
  <c r="AD57" i="16"/>
  <c r="AE34" i="16"/>
  <c r="W94" i="16"/>
  <c r="AB24" i="16"/>
  <c r="X70" i="16"/>
  <c r="AB34" i="16"/>
  <c r="AB110" i="16"/>
  <c r="X99" i="16"/>
  <c r="AB84" i="16"/>
  <c r="AD99" i="16"/>
  <c r="W49" i="16"/>
  <c r="AE23" i="16"/>
  <c r="W17" i="16"/>
  <c r="V119" i="16"/>
  <c r="X104" i="16"/>
  <c r="W91" i="16"/>
  <c r="W22" i="16"/>
  <c r="AA117" i="16"/>
  <c r="AE114" i="16"/>
  <c r="AA11" i="16"/>
  <c r="AB154" i="16"/>
  <c r="V131" i="16"/>
  <c r="AD36" i="16"/>
  <c r="AB73" i="16"/>
  <c r="V113" i="16"/>
  <c r="AE134" i="16"/>
  <c r="AD54" i="16"/>
  <c r="W166" i="16"/>
  <c r="AB6" i="16"/>
  <c r="AD85" i="16"/>
  <c r="V138" i="16"/>
  <c r="I76" i="16"/>
  <c r="I73" i="16"/>
  <c r="I170" i="16"/>
  <c r="AA40" i="16"/>
  <c r="AC73" i="16"/>
  <c r="AC69" i="16"/>
  <c r="AC140" i="16"/>
  <c r="X25" i="16"/>
  <c r="X77" i="16"/>
  <c r="I116" i="16"/>
  <c r="I159" i="16"/>
  <c r="AC94" i="16"/>
  <c r="W153" i="16"/>
  <c r="V35" i="16"/>
  <c r="X166" i="16"/>
  <c r="AE160" i="16"/>
  <c r="AB132" i="16"/>
  <c r="AE163" i="16"/>
  <c r="W74" i="16"/>
  <c r="AC16" i="16"/>
  <c r="AA64" i="16"/>
  <c r="AB149" i="16"/>
  <c r="W161" i="16"/>
  <c r="I79" i="16"/>
  <c r="I153" i="16"/>
  <c r="I30" i="16"/>
  <c r="I122" i="16"/>
  <c r="I33" i="16"/>
  <c r="I19" i="16"/>
  <c r="I37" i="16"/>
  <c r="J37" i="16"/>
  <c r="K37" i="16"/>
  <c r="AC93" i="16"/>
  <c r="AA94" i="16"/>
  <c r="AB108" i="16"/>
  <c r="AC131" i="16"/>
  <c r="AD126" i="16"/>
  <c r="AB30" i="16"/>
  <c r="W64" i="16"/>
  <c r="X83" i="16"/>
  <c r="AD148" i="16"/>
  <c r="AD73" i="16"/>
  <c r="V56" i="16"/>
  <c r="X120" i="16"/>
  <c r="AA99" i="16"/>
  <c r="AB112" i="16"/>
  <c r="W67" i="16"/>
  <c r="V67" i="16"/>
  <c r="AA70" i="16"/>
  <c r="AD142" i="16"/>
  <c r="AC76" i="16"/>
  <c r="AA161" i="16"/>
  <c r="AE27" i="16"/>
  <c r="AD80" i="16"/>
  <c r="AA53" i="16"/>
  <c r="AE155" i="16"/>
  <c r="V163" i="16"/>
  <c r="AC161" i="16"/>
  <c r="V76" i="16"/>
  <c r="AB101" i="16"/>
  <c r="AE18" i="16"/>
  <c r="AB39" i="16"/>
  <c r="AB79" i="16"/>
  <c r="W77" i="16"/>
  <c r="AE14" i="16"/>
  <c r="AD121" i="16"/>
  <c r="AE76" i="16"/>
  <c r="AA78" i="16"/>
  <c r="AC126" i="16"/>
  <c r="AC106" i="16"/>
  <c r="V144" i="16"/>
  <c r="X34" i="16"/>
  <c r="X153" i="16"/>
  <c r="AD76" i="16"/>
  <c r="X10" i="16"/>
  <c r="W73" i="16"/>
  <c r="AB121" i="16"/>
  <c r="AA165" i="16"/>
  <c r="AB9" i="16"/>
  <c r="AA166" i="16"/>
  <c r="AB37" i="16"/>
  <c r="AB45" i="16"/>
  <c r="AC79" i="16"/>
  <c r="AB100" i="16"/>
  <c r="AC14" i="16"/>
  <c r="AA88" i="16"/>
  <c r="I51" i="16"/>
  <c r="I134" i="16"/>
  <c r="AC18" i="16"/>
  <c r="AC6" i="16"/>
  <c r="AD123" i="16"/>
  <c r="AB56" i="16"/>
  <c r="I156" i="16"/>
  <c r="I132" i="16"/>
  <c r="I137" i="16"/>
  <c r="AE109" i="16"/>
  <c r="AC136" i="16"/>
  <c r="AC78" i="16"/>
  <c r="AA134" i="16"/>
  <c r="W155" i="16"/>
  <c r="AA158" i="16"/>
  <c r="AC83" i="16"/>
  <c r="AD130" i="16"/>
  <c r="AE122" i="16"/>
  <c r="AC58" i="16"/>
  <c r="AB31" i="16"/>
  <c r="I44" i="16"/>
  <c r="I68" i="16"/>
  <c r="J68" i="16"/>
  <c r="K68" i="16"/>
  <c r="I31" i="16"/>
  <c r="I38" i="16"/>
  <c r="I164" i="16"/>
  <c r="I92" i="16"/>
  <c r="I85" i="16"/>
  <c r="I123" i="16"/>
  <c r="X79" i="16"/>
  <c r="V150" i="16"/>
  <c r="V93" i="16"/>
  <c r="W84" i="16"/>
  <c r="W72" i="16"/>
  <c r="AD100" i="16"/>
  <c r="AC90" i="16"/>
  <c r="W140" i="16"/>
  <c r="AA6" i="16"/>
  <c r="AE37" i="16"/>
  <c r="AA28" i="16"/>
  <c r="W80" i="16"/>
  <c r="W135" i="16"/>
  <c r="AB35" i="16"/>
  <c r="V23" i="16"/>
  <c r="V160" i="16"/>
  <c r="X81" i="16"/>
  <c r="V128" i="16"/>
  <c r="W68" i="16"/>
  <c r="X169" i="16"/>
  <c r="AE39" i="16"/>
  <c r="AB147" i="16"/>
  <c r="X55" i="16"/>
  <c r="AC54" i="16"/>
  <c r="AE21" i="16"/>
  <c r="AC71" i="16"/>
  <c r="AC80" i="16"/>
  <c r="AC51" i="16"/>
  <c r="AE22" i="16"/>
  <c r="AC108" i="16"/>
  <c r="W139" i="16"/>
  <c r="AD31" i="16"/>
  <c r="X22" i="16"/>
  <c r="AB159" i="16"/>
  <c r="V55" i="16"/>
  <c r="I97" i="16"/>
  <c r="I13" i="16"/>
  <c r="I24" i="16"/>
  <c r="W108" i="16"/>
  <c r="W59" i="16"/>
  <c r="V89" i="16"/>
  <c r="AE65" i="16"/>
  <c r="AE102" i="16"/>
  <c r="I60" i="16"/>
  <c r="I128" i="16"/>
  <c r="W125" i="16"/>
  <c r="X58" i="16"/>
  <c r="AD67" i="16"/>
  <c r="I95" i="16"/>
  <c r="X137" i="16"/>
  <c r="W31" i="16"/>
  <c r="AE137" i="16"/>
  <c r="AB78" i="16"/>
  <c r="AA7" i="16"/>
  <c r="X116" i="16"/>
  <c r="AC57" i="16"/>
  <c r="V168" i="16"/>
  <c r="I117" i="16"/>
  <c r="I57" i="16"/>
  <c r="I20" i="16"/>
  <c r="I62" i="16"/>
  <c r="I146" i="16"/>
  <c r="I161" i="16"/>
  <c r="W122" i="16"/>
  <c r="AC141" i="16"/>
  <c r="X139" i="16"/>
  <c r="AA125" i="16"/>
  <c r="AB157" i="16"/>
  <c r="AB95" i="16"/>
  <c r="AE10" i="16"/>
  <c r="AB141" i="16"/>
  <c r="AD165" i="16"/>
  <c r="AA50" i="16"/>
  <c r="AD128" i="16"/>
  <c r="AE115" i="16"/>
  <c r="AE54" i="16"/>
  <c r="AE51" i="16"/>
  <c r="AD122" i="16"/>
  <c r="AE129" i="16"/>
  <c r="X156" i="16"/>
  <c r="AA25" i="16"/>
  <c r="AE89" i="16"/>
  <c r="AD160" i="16"/>
  <c r="AB148" i="16"/>
  <c r="AD53" i="16"/>
  <c r="AD104" i="16"/>
  <c r="X103" i="16"/>
  <c r="AB143" i="16"/>
  <c r="W15" i="16"/>
  <c r="X161" i="16"/>
  <c r="V52" i="16"/>
  <c r="AD93" i="16"/>
  <c r="AD79" i="16"/>
  <c r="W156" i="16"/>
  <c r="AB86" i="16"/>
  <c r="AE94" i="16"/>
  <c r="AD58" i="16"/>
  <c r="AE112" i="16"/>
  <c r="W89" i="16"/>
  <c r="AB102" i="16"/>
  <c r="W124" i="16"/>
  <c r="AC105" i="16"/>
  <c r="AD65" i="16"/>
  <c r="I84" i="16"/>
  <c r="I105" i="16"/>
  <c r="AE78" i="16"/>
  <c r="AE157" i="16"/>
  <c r="AA98" i="16"/>
  <c r="X49" i="16"/>
  <c r="I63" i="16"/>
  <c r="AC24" i="16"/>
  <c r="V75" i="16"/>
  <c r="W32" i="16"/>
  <c r="AD46" i="16"/>
  <c r="AB54" i="16"/>
  <c r="AD82" i="16"/>
  <c r="AB81" i="16"/>
  <c r="X118" i="16"/>
  <c r="AC81" i="16"/>
  <c r="AB161" i="16"/>
  <c r="AA103" i="16"/>
  <c r="W130" i="16"/>
  <c r="W33" i="16"/>
  <c r="V78" i="16"/>
  <c r="AB153" i="16"/>
  <c r="AA71" i="16"/>
  <c r="W113" i="16"/>
  <c r="AA120" i="16"/>
  <c r="AB111" i="16"/>
  <c r="W95" i="16"/>
  <c r="AA41" i="16"/>
  <c r="AA109" i="16"/>
  <c r="V151" i="16"/>
  <c r="AC35" i="16"/>
  <c r="AA95" i="16"/>
  <c r="V45" i="16"/>
  <c r="X6" i="16"/>
  <c r="X171" i="16"/>
  <c r="AC27" i="16"/>
  <c r="AB133" i="16"/>
  <c r="AB105" i="16"/>
  <c r="AE90" i="16"/>
  <c r="W97" i="16"/>
  <c r="AD103" i="16"/>
  <c r="AD169" i="16"/>
  <c r="AC120" i="16"/>
  <c r="X92" i="16"/>
  <c r="V77" i="16"/>
  <c r="AD166" i="16"/>
  <c r="AE117" i="16"/>
  <c r="AA14" i="16"/>
  <c r="V74" i="16"/>
  <c r="V166" i="16"/>
  <c r="V136" i="16"/>
  <c r="V153" i="16"/>
  <c r="AB41" i="16"/>
  <c r="V61" i="16"/>
  <c r="AD81" i="16"/>
  <c r="AA12" i="16"/>
  <c r="W34" i="16"/>
  <c r="AD84" i="16"/>
  <c r="X165" i="16"/>
  <c r="AC74" i="16"/>
  <c r="AE128" i="16"/>
  <c r="X150" i="16"/>
  <c r="AB90" i="16"/>
  <c r="V92" i="16"/>
  <c r="AC50" i="16"/>
  <c r="V43" i="16"/>
  <c r="V49" i="16"/>
  <c r="V18" i="16"/>
  <c r="AB71" i="16"/>
  <c r="AB91" i="16"/>
  <c r="AE25" i="16"/>
  <c r="AB44" i="16"/>
  <c r="W120" i="16"/>
  <c r="W37" i="16"/>
  <c r="W60" i="16"/>
  <c r="W19" i="16"/>
  <c r="V115" i="16"/>
  <c r="AB65" i="16"/>
  <c r="AA31" i="16"/>
  <c r="AD34" i="16"/>
  <c r="AD108" i="16"/>
  <c r="AD97" i="16"/>
  <c r="AC134" i="16"/>
  <c r="AA75" i="16"/>
  <c r="X59" i="16"/>
  <c r="W39" i="16"/>
  <c r="V157" i="16"/>
  <c r="V68" i="16"/>
  <c r="AE113" i="16"/>
  <c r="X23" i="16"/>
  <c r="AA163" i="16"/>
  <c r="AC52" i="16"/>
  <c r="AD22" i="16"/>
  <c r="I165" i="16"/>
  <c r="I16" i="16"/>
  <c r="AC135" i="16"/>
  <c r="AC70" i="16"/>
  <c r="AA74" i="16"/>
  <c r="V169" i="16"/>
  <c r="V11" i="16"/>
  <c r="AC43" i="16"/>
  <c r="AA113" i="16"/>
  <c r="X86" i="16"/>
  <c r="AB26" i="16"/>
  <c r="AE7" i="16"/>
  <c r="AB158" i="16"/>
  <c r="X65" i="16"/>
  <c r="AD95" i="16"/>
  <c r="AD135" i="16"/>
  <c r="AD112" i="16"/>
  <c r="V158" i="16"/>
  <c r="AA77" i="16"/>
  <c r="V99" i="16"/>
  <c r="X167" i="16"/>
  <c r="AE132" i="16"/>
  <c r="AE154" i="16"/>
  <c r="W134" i="16"/>
  <c r="V34" i="16"/>
  <c r="AA156" i="16"/>
  <c r="X48" i="16"/>
  <c r="V137" i="16"/>
  <c r="V121" i="16"/>
  <c r="AE63" i="16"/>
  <c r="X149" i="16"/>
  <c r="X27" i="16"/>
  <c r="AB16" i="16"/>
  <c r="AC41" i="16"/>
  <c r="AD91" i="16"/>
  <c r="V39" i="16"/>
  <c r="AA142" i="16"/>
  <c r="X21" i="16"/>
  <c r="AB42" i="16"/>
  <c r="AC139" i="16"/>
  <c r="AD33" i="16"/>
  <c r="AA23" i="16"/>
  <c r="AC148" i="16"/>
  <c r="AC28" i="16"/>
  <c r="X143" i="16"/>
  <c r="AC87" i="16"/>
  <c r="X93" i="16"/>
  <c r="W105" i="16"/>
  <c r="AA24" i="16"/>
  <c r="I29" i="16"/>
  <c r="AB122" i="16"/>
  <c r="I64" i="16"/>
  <c r="AE16" i="16"/>
  <c r="V47" i="16"/>
  <c r="AE167" i="16"/>
  <c r="I41" i="16"/>
  <c r="I82" i="16"/>
  <c r="V102" i="16"/>
  <c r="AC133" i="16"/>
  <c r="W23" i="16"/>
  <c r="AC119" i="16"/>
  <c r="AD143" i="16"/>
  <c r="AB138" i="16"/>
  <c r="AA92" i="16"/>
  <c r="AA15" i="16"/>
  <c r="AD117" i="16"/>
  <c r="AC151" i="16"/>
  <c r="X60" i="16"/>
  <c r="V60" i="16"/>
  <c r="W52" i="16"/>
  <c r="AC158" i="16"/>
  <c r="AD78" i="16"/>
  <c r="AA35" i="16"/>
  <c r="X57" i="16"/>
  <c r="AB120" i="16"/>
  <c r="AD83" i="16"/>
  <c r="AB118" i="16"/>
  <c r="AA8" i="16"/>
  <c r="AC91" i="16"/>
  <c r="V114" i="16"/>
  <c r="X119" i="16"/>
  <c r="AD23" i="16"/>
  <c r="W160" i="16"/>
  <c r="AC123" i="16"/>
  <c r="AD114" i="16"/>
  <c r="V30" i="16"/>
  <c r="W13" i="16"/>
  <c r="AC169" i="16"/>
  <c r="X76" i="16"/>
  <c r="X106" i="16"/>
  <c r="AB69" i="16"/>
  <c r="W116" i="16"/>
  <c r="AD116" i="16"/>
  <c r="AE47" i="16"/>
  <c r="AC162" i="16"/>
  <c r="W149" i="16"/>
  <c r="AB142" i="16"/>
  <c r="AE156" i="16"/>
  <c r="V29" i="16"/>
  <c r="AE53" i="16"/>
  <c r="V123" i="16"/>
  <c r="W150" i="16"/>
  <c r="AC114" i="16"/>
  <c r="V125" i="16"/>
  <c r="AE92" i="16"/>
  <c r="X112" i="16"/>
  <c r="W137" i="16"/>
  <c r="AB165" i="16"/>
  <c r="AB150" i="16"/>
  <c r="X88" i="16"/>
  <c r="AC46" i="16"/>
  <c r="V87" i="16"/>
  <c r="AE99" i="16"/>
  <c r="X78" i="16"/>
  <c r="AE56" i="16"/>
  <c r="AE79" i="16"/>
  <c r="AC49" i="16"/>
  <c r="X133" i="16"/>
  <c r="AD151" i="16"/>
  <c r="V88" i="16"/>
  <c r="W38" i="16"/>
  <c r="AE133" i="16"/>
  <c r="AD125" i="16"/>
  <c r="AE74" i="16"/>
  <c r="AC59" i="16"/>
  <c r="AB127" i="16"/>
  <c r="V105" i="16"/>
  <c r="AD89" i="16"/>
  <c r="AA162" i="16"/>
  <c r="AE62" i="16"/>
  <c r="W45" i="16"/>
  <c r="AE81" i="16"/>
  <c r="X110" i="16"/>
  <c r="W36" i="16"/>
  <c r="W66" i="16"/>
  <c r="X122" i="16"/>
  <c r="X100" i="16"/>
  <c r="AB98" i="16"/>
  <c r="AA150" i="16"/>
  <c r="AD26" i="16"/>
  <c r="AA148" i="16"/>
  <c r="AA30" i="16"/>
  <c r="AD77" i="16"/>
  <c r="W6" i="16"/>
  <c r="W168" i="16"/>
  <c r="AC38" i="16"/>
  <c r="AD132" i="16"/>
  <c r="AA121" i="16"/>
  <c r="AB46" i="16"/>
  <c r="AD49" i="16"/>
  <c r="X82" i="16"/>
  <c r="W42" i="16"/>
  <c r="W16" i="16"/>
  <c r="AE125" i="16"/>
  <c r="AD109" i="16"/>
  <c r="V112" i="16"/>
  <c r="AD159" i="16"/>
  <c r="W28" i="16"/>
  <c r="X160" i="16"/>
  <c r="V28" i="16"/>
  <c r="AB85" i="16"/>
  <c r="AA97" i="16"/>
  <c r="AA26" i="16"/>
  <c r="AE146" i="16"/>
  <c r="AE88" i="16"/>
  <c r="W170" i="16"/>
  <c r="AA104" i="16"/>
  <c r="V8" i="16"/>
  <c r="AD163" i="16"/>
  <c r="AE45" i="16"/>
  <c r="AC149" i="16"/>
  <c r="V84" i="16"/>
  <c r="I83" i="16"/>
  <c r="V12" i="16"/>
  <c r="X101" i="16"/>
  <c r="V80" i="16"/>
  <c r="AB29" i="16"/>
  <c r="AC153" i="16"/>
  <c r="AC64" i="16"/>
  <c r="AB167" i="16"/>
  <c r="AC101" i="16"/>
  <c r="AD25" i="16"/>
  <c r="W100" i="16"/>
  <c r="AD131" i="16"/>
  <c r="AE158" i="16"/>
  <c r="AA96" i="16"/>
  <c r="AC127" i="16"/>
  <c r="W115" i="16"/>
  <c r="AB43" i="16"/>
  <c r="AA111" i="16"/>
  <c r="AE61" i="16"/>
  <c r="AB160" i="16"/>
  <c r="V96" i="16"/>
  <c r="AB55" i="16"/>
  <c r="AC145" i="16"/>
  <c r="X168" i="16"/>
  <c r="AE31" i="16"/>
  <c r="AE100" i="16"/>
  <c r="AB52" i="16"/>
  <c r="AB13" i="16"/>
  <c r="AC60" i="16"/>
  <c r="X54" i="16"/>
  <c r="AB115" i="16"/>
  <c r="W63" i="16"/>
  <c r="W106" i="16"/>
  <c r="W40" i="16"/>
  <c r="AC42" i="16"/>
  <c r="AA108" i="16"/>
  <c r="AA56" i="16"/>
  <c r="W87" i="16"/>
  <c r="V165" i="16"/>
  <c r="AB106" i="16"/>
  <c r="V133" i="16"/>
  <c r="W103" i="16"/>
  <c r="X113" i="16"/>
  <c r="AA51" i="16"/>
  <c r="AE48" i="16"/>
  <c r="AE15" i="16"/>
  <c r="AE75" i="16"/>
  <c r="AD154" i="16"/>
  <c r="AE33" i="16"/>
  <c r="AC163" i="16"/>
  <c r="AD106" i="16"/>
  <c r="AC103" i="16"/>
  <c r="X53" i="16"/>
  <c r="V148" i="16"/>
  <c r="AA38" i="16"/>
  <c r="W79" i="16"/>
  <c r="AA33" i="16"/>
  <c r="V36" i="16"/>
  <c r="AC112" i="16"/>
  <c r="V19" i="16"/>
  <c r="AA119" i="16"/>
  <c r="AC88" i="16"/>
  <c r="V50" i="16"/>
  <c r="X47" i="16"/>
  <c r="W29" i="16"/>
  <c r="AB12" i="16"/>
  <c r="AA107" i="16"/>
  <c r="AA76" i="16"/>
  <c r="V57" i="16"/>
  <c r="AA130" i="16"/>
  <c r="AD60" i="16"/>
  <c r="W82" i="16"/>
  <c r="AC118" i="16"/>
  <c r="AC12" i="16"/>
  <c r="AE136" i="16"/>
  <c r="W128" i="16"/>
  <c r="V132" i="16"/>
  <c r="AE96" i="16"/>
  <c r="W118" i="16"/>
  <c r="AA105" i="16"/>
  <c r="AE20" i="16"/>
  <c r="AA65" i="16"/>
  <c r="AA147" i="16"/>
  <c r="AB11" i="16"/>
  <c r="AA131" i="16"/>
  <c r="AA43" i="16"/>
  <c r="AB61" i="16"/>
  <c r="X85" i="16"/>
  <c r="I94" i="16"/>
  <c r="AA135" i="16"/>
  <c r="V161" i="16"/>
  <c r="X24" i="16"/>
  <c r="V91" i="16"/>
  <c r="AC44" i="16"/>
  <c r="X67" i="16"/>
  <c r="W96" i="16"/>
  <c r="AE110" i="16"/>
  <c r="W18" i="16"/>
  <c r="AB156" i="16"/>
  <c r="X97" i="16"/>
  <c r="AB107" i="16"/>
  <c r="AB119" i="16"/>
  <c r="AC29" i="16"/>
  <c r="AA143" i="16"/>
  <c r="AB136" i="16"/>
  <c r="X114" i="16"/>
  <c r="AD156" i="16"/>
  <c r="AD47" i="16"/>
  <c r="V147" i="16"/>
  <c r="AE32" i="16"/>
  <c r="V63" i="16"/>
  <c r="AB22" i="16"/>
  <c r="AD124" i="16"/>
  <c r="AA18" i="16"/>
  <c r="AA37" i="16"/>
  <c r="X127" i="16"/>
  <c r="V143" i="16"/>
  <c r="W133" i="16"/>
  <c r="V149" i="16"/>
  <c r="AA124" i="16"/>
  <c r="AE166" i="16"/>
  <c r="X7" i="16"/>
  <c r="W12" i="16"/>
  <c r="AE6" i="16"/>
  <c r="AD50" i="16"/>
  <c r="X15" i="16"/>
  <c r="AE86" i="16"/>
  <c r="AC137" i="16"/>
  <c r="V73" i="16"/>
  <c r="AD119" i="16"/>
  <c r="AB48" i="16"/>
  <c r="AE38" i="16"/>
  <c r="AC124" i="16"/>
  <c r="X13" i="16"/>
  <c r="AD68" i="16"/>
  <c r="V110" i="16"/>
  <c r="AD88" i="16"/>
  <c r="AC159" i="16"/>
  <c r="AA13" i="16"/>
  <c r="AB27" i="16"/>
  <c r="AB20" i="16"/>
  <c r="X163" i="16"/>
  <c r="AD87" i="16"/>
  <c r="AE95" i="16"/>
  <c r="AA118" i="16"/>
  <c r="AB28" i="16"/>
  <c r="AD44" i="16"/>
  <c r="V51" i="16"/>
  <c r="AA141" i="16"/>
  <c r="W43" i="16"/>
  <c r="AB47" i="16"/>
  <c r="AE26" i="16"/>
  <c r="AD56" i="16"/>
  <c r="AA137" i="16"/>
  <c r="AB32" i="16"/>
  <c r="AD69" i="16"/>
  <c r="W107" i="16"/>
  <c r="W25" i="16"/>
  <c r="W123" i="16"/>
  <c r="AC23" i="16"/>
  <c r="X109" i="16"/>
  <c r="AB170" i="16"/>
  <c r="V54" i="16"/>
  <c r="AC75" i="16"/>
  <c r="AE138" i="16"/>
  <c r="X148" i="16"/>
  <c r="X142" i="16"/>
  <c r="AE120" i="16"/>
  <c r="AE29" i="16"/>
  <c r="W162" i="16"/>
  <c r="AB23" i="16"/>
  <c r="AA45" i="16"/>
  <c r="W142" i="16"/>
  <c r="I90" i="16"/>
  <c r="AB146" i="16"/>
  <c r="W21" i="16"/>
  <c r="AB168" i="16"/>
  <c r="W27" i="16"/>
  <c r="AD42" i="16"/>
  <c r="AB99" i="16"/>
  <c r="X96" i="16"/>
  <c r="AD66" i="16"/>
  <c r="V7" i="16"/>
  <c r="AD162" i="16"/>
  <c r="W154" i="16"/>
  <c r="AD38" i="16"/>
  <c r="AA160" i="16"/>
  <c r="V20" i="16"/>
  <c r="AC45" i="16"/>
  <c r="AB94" i="16"/>
  <c r="AA133" i="16"/>
  <c r="AB117" i="16"/>
  <c r="AB72" i="16"/>
  <c r="AE12" i="16"/>
  <c r="X159" i="16"/>
  <c r="AE50" i="16"/>
  <c r="W58" i="16"/>
  <c r="AB83" i="16"/>
  <c r="X132" i="16"/>
  <c r="AB134" i="16"/>
  <c r="AB82" i="16"/>
  <c r="AE98" i="16"/>
  <c r="AE19" i="16"/>
  <c r="V134" i="16"/>
  <c r="AA16" i="16"/>
  <c r="X32" i="16"/>
  <c r="V40" i="16"/>
  <c r="V46" i="16"/>
  <c r="AB8" i="16"/>
  <c r="V83" i="16"/>
  <c r="W61" i="16"/>
  <c r="AD149" i="16"/>
  <c r="W55" i="16"/>
  <c r="V82" i="16"/>
  <c r="AE170" i="16"/>
  <c r="AA42" i="16"/>
  <c r="AE135" i="16"/>
  <c r="AB14" i="16"/>
  <c r="X44" i="16"/>
  <c r="AA90" i="16"/>
  <c r="AA110" i="16"/>
  <c r="V109" i="16"/>
  <c r="AD40" i="16"/>
  <c r="AD113" i="16"/>
  <c r="W76" i="16"/>
  <c r="AE28" i="16"/>
  <c r="AA68" i="16"/>
  <c r="AB109" i="16"/>
  <c r="W54" i="16"/>
  <c r="AC84" i="16"/>
  <c r="AA29" i="16"/>
  <c r="V95" i="16"/>
  <c r="AC104" i="16"/>
  <c r="AE36" i="16"/>
  <c r="AE70" i="16"/>
  <c r="AB80" i="16"/>
  <c r="AC125" i="16"/>
  <c r="AD168" i="16"/>
  <c r="AA85" i="16"/>
  <c r="W148" i="16"/>
  <c r="AE142" i="16"/>
  <c r="AC146" i="16"/>
  <c r="V24" i="16"/>
  <c r="X74" i="16"/>
  <c r="W169" i="16"/>
  <c r="V15" i="16"/>
  <c r="AA168" i="16"/>
  <c r="AE67" i="16"/>
  <c r="W9" i="16"/>
  <c r="W165" i="16"/>
  <c r="AE130" i="16"/>
  <c r="AC164" i="16"/>
  <c r="V17" i="16"/>
  <c r="AD35" i="16"/>
  <c r="AC156" i="16"/>
  <c r="X151" i="16"/>
  <c r="AD101" i="16"/>
  <c r="AC25" i="16"/>
  <c r="W88" i="16"/>
  <c r="W126" i="16"/>
  <c r="AE85" i="16"/>
  <c r="X73" i="16"/>
  <c r="AA57" i="16"/>
  <c r="W144" i="16"/>
  <c r="X124" i="16"/>
  <c r="AB15" i="16"/>
  <c r="I104" i="16"/>
  <c r="AD157" i="16"/>
  <c r="W143" i="16"/>
  <c r="X147" i="16"/>
  <c r="W8" i="16"/>
  <c r="AE148" i="16"/>
  <c r="V72" i="16"/>
  <c r="V53" i="16"/>
  <c r="AD155" i="16"/>
  <c r="V98" i="16"/>
  <c r="AC100" i="16"/>
  <c r="V94" i="16"/>
  <c r="X37" i="16"/>
  <c r="AB62" i="16"/>
  <c r="AA169" i="16"/>
  <c r="AD41" i="16"/>
  <c r="AE17" i="16"/>
  <c r="W78" i="16"/>
  <c r="W132" i="16"/>
  <c r="AB140" i="16"/>
  <c r="AD29" i="16"/>
  <c r="AA101" i="16"/>
  <c r="V145" i="16"/>
  <c r="AD37" i="16"/>
  <c r="W109" i="16"/>
  <c r="AB18" i="16"/>
  <c r="AA87" i="16"/>
  <c r="AA47" i="16"/>
  <c r="V9" i="16"/>
  <c r="AE55" i="16"/>
  <c r="W65" i="16"/>
  <c r="AB76" i="16"/>
  <c r="I50" i="16"/>
  <c r="X56" i="16"/>
  <c r="AB124" i="16"/>
  <c r="AE141" i="16"/>
  <c r="AD21" i="16"/>
  <c r="AE162" i="16"/>
  <c r="AC68" i="16"/>
  <c r="AD96" i="16"/>
  <c r="AA127" i="16"/>
  <c r="X80" i="16"/>
  <c r="AE64" i="16"/>
  <c r="AD39" i="16"/>
  <c r="V38" i="16"/>
  <c r="AD64" i="16"/>
  <c r="AE97" i="16"/>
  <c r="AD134" i="16"/>
  <c r="AC36" i="16"/>
  <c r="AA126" i="16"/>
  <c r="AC168" i="16"/>
  <c r="X45" i="16"/>
  <c r="AE159" i="16"/>
  <c r="AD86" i="16"/>
  <c r="X66" i="16"/>
  <c r="W46" i="16"/>
  <c r="AC128" i="16"/>
  <c r="AD32" i="16"/>
  <c r="W127" i="16"/>
  <c r="AE73" i="16"/>
  <c r="AB139" i="16"/>
  <c r="AB103" i="16"/>
  <c r="V81" i="16"/>
  <c r="X29" i="16"/>
  <c r="AB33" i="16"/>
  <c r="AA84" i="16"/>
  <c r="X141" i="16"/>
  <c r="AE59" i="16"/>
  <c r="AA129" i="16"/>
  <c r="W158" i="16"/>
  <c r="AE46" i="16"/>
  <c r="W110" i="16"/>
  <c r="W152" i="16"/>
  <c r="X62" i="16"/>
  <c r="AC85" i="16"/>
  <c r="W71" i="16"/>
  <c r="X38" i="16"/>
  <c r="AB114" i="16"/>
  <c r="V111" i="16"/>
  <c r="AC7" i="16"/>
  <c r="AC171" i="16"/>
  <c r="S172" i="16"/>
  <c r="S173" i="16"/>
  <c r="AA136" i="16"/>
  <c r="AD138" i="16"/>
  <c r="W35" i="16"/>
  <c r="V14" i="16"/>
  <c r="AD94" i="16"/>
  <c r="W51" i="16"/>
  <c r="AA152" i="16"/>
  <c r="AD133" i="16"/>
  <c r="AC21" i="16"/>
  <c r="V90" i="16"/>
  <c r="AD43" i="16"/>
  <c r="I121" i="16"/>
  <c r="I52" i="16"/>
  <c r="I59" i="16"/>
  <c r="I120" i="16"/>
  <c r="AC154" i="16"/>
  <c r="X75" i="16"/>
  <c r="AD27" i="16"/>
  <c r="AC77" i="16"/>
  <c r="X90" i="16"/>
  <c r="X33" i="16"/>
  <c r="V152" i="16"/>
  <c r="W20" i="16"/>
  <c r="W136" i="16"/>
  <c r="AD136" i="16"/>
  <c r="AD137" i="16"/>
  <c r="AA66" i="16"/>
  <c r="AC61" i="16"/>
  <c r="AB50" i="16"/>
  <c r="AB131" i="16"/>
  <c r="V104" i="16"/>
  <c r="AC33" i="16"/>
  <c r="W85" i="16"/>
  <c r="AE147" i="16"/>
  <c r="AA63" i="16"/>
  <c r="AC121" i="16"/>
  <c r="AD71" i="16"/>
  <c r="W26" i="16"/>
  <c r="AC109" i="16"/>
  <c r="AA116" i="16"/>
  <c r="V162" i="16"/>
  <c r="AD167" i="16"/>
  <c r="X95" i="16"/>
  <c r="I93" i="16"/>
  <c r="AB21" i="16"/>
  <c r="V44" i="16"/>
  <c r="AC32" i="16"/>
  <c r="AC65" i="16"/>
  <c r="AC53" i="16"/>
  <c r="V16" i="16"/>
  <c r="V164" i="16"/>
  <c r="V42" i="16"/>
  <c r="V106" i="16"/>
  <c r="AA153" i="16"/>
  <c r="I162" i="16"/>
  <c r="I46" i="16"/>
  <c r="I55" i="16"/>
  <c r="J55" i="16"/>
  <c r="K55" i="16"/>
  <c r="I141" i="16"/>
  <c r="I8" i="16"/>
  <c r="I11" i="16"/>
  <c r="J9" i="16"/>
  <c r="I53" i="16"/>
  <c r="I74" i="16"/>
  <c r="I118" i="16"/>
  <c r="I61" i="16"/>
  <c r="AE126" i="16"/>
  <c r="AE121" i="16"/>
  <c r="AE71" i="16"/>
  <c r="AD152" i="16"/>
  <c r="AB38" i="16"/>
  <c r="V32" i="16"/>
  <c r="AA128" i="16"/>
  <c r="AC9" i="16"/>
  <c r="I88" i="16"/>
  <c r="I71" i="16"/>
  <c r="J71" i="16"/>
  <c r="K71" i="16"/>
  <c r="I106" i="16"/>
  <c r="AB116" i="16"/>
  <c r="AC86" i="16"/>
  <c r="AD62" i="16"/>
  <c r="W10" i="16"/>
  <c r="AB135" i="16"/>
  <c r="X31" i="16"/>
  <c r="AA73" i="16"/>
  <c r="AC13" i="16"/>
  <c r="V85" i="16"/>
  <c r="AA60" i="16"/>
  <c r="V124" i="16"/>
  <c r="W53" i="16"/>
  <c r="AA159" i="16"/>
  <c r="X146" i="16"/>
  <c r="X14" i="16"/>
  <c r="I109" i="16"/>
  <c r="I119" i="16"/>
  <c r="I65" i="16"/>
  <c r="I135" i="16"/>
  <c r="I45" i="16"/>
  <c r="I138" i="16"/>
  <c r="J138" i="16"/>
  <c r="K138" i="16"/>
  <c r="I114" i="16"/>
  <c r="AC22" i="16"/>
  <c r="AA154" i="16"/>
  <c r="X162" i="16"/>
  <c r="AA61" i="16"/>
  <c r="AD170" i="16"/>
  <c r="AA67" i="16"/>
  <c r="AA69" i="16"/>
  <c r="W102" i="16"/>
  <c r="AC47" i="16"/>
  <c r="AC15" i="16"/>
  <c r="AB162" i="16"/>
  <c r="AA36" i="16"/>
  <c r="AD102" i="16"/>
  <c r="AC26" i="16"/>
  <c r="W50" i="16"/>
  <c r="X164" i="16"/>
  <c r="AA122" i="16"/>
  <c r="AB64" i="16"/>
  <c r="AE165" i="16"/>
  <c r="I28" i="16"/>
  <c r="AD150" i="16"/>
  <c r="AE80" i="16"/>
  <c r="X68" i="16"/>
  <c r="X19" i="16"/>
  <c r="AC110" i="16"/>
  <c r="AC130" i="16"/>
  <c r="AA19" i="16"/>
  <c r="AE41" i="16"/>
  <c r="V155" i="16"/>
  <c r="X170" i="16"/>
  <c r="AC170" i="16"/>
  <c r="W57" i="16"/>
  <c r="AD98" i="16"/>
  <c r="V120" i="16"/>
  <c r="AE82" i="16"/>
  <c r="AE57" i="16"/>
  <c r="AA22" i="16"/>
  <c r="AD127" i="16"/>
  <c r="AB129" i="16"/>
  <c r="W157" i="16"/>
  <c r="AC116" i="16"/>
  <c r="AC62" i="16"/>
  <c r="X155" i="16"/>
  <c r="X126" i="16"/>
  <c r="X115" i="16"/>
  <c r="AD129" i="16"/>
  <c r="AA100" i="16"/>
  <c r="AB53" i="16"/>
  <c r="AC99" i="16"/>
  <c r="V48" i="16"/>
  <c r="AC17" i="16"/>
  <c r="W129" i="16"/>
  <c r="W83" i="16"/>
  <c r="X89" i="16"/>
  <c r="AC113" i="16"/>
  <c r="AA170" i="16"/>
  <c r="AC122" i="16"/>
  <c r="X46" i="16"/>
  <c r="V69" i="16"/>
  <c r="AE150" i="16"/>
  <c r="X129" i="16"/>
  <c r="AA44" i="16"/>
  <c r="V37" i="16"/>
  <c r="AB59" i="16"/>
  <c r="X11" i="16"/>
  <c r="AD72" i="16"/>
  <c r="AE52" i="16"/>
  <c r="AB125" i="16"/>
  <c r="AA81" i="16"/>
  <c r="W62" i="16"/>
  <c r="AD144" i="16"/>
  <c r="AB151" i="16"/>
  <c r="V22" i="16"/>
  <c r="AC155" i="16"/>
  <c r="AD61" i="16"/>
  <c r="AC107" i="16"/>
  <c r="W41" i="16"/>
  <c r="X30" i="16"/>
  <c r="W11" i="16"/>
  <c r="W171" i="16"/>
  <c r="M172" i="16"/>
  <c r="M173" i="16"/>
  <c r="AC147" i="16"/>
  <c r="AC55" i="16"/>
  <c r="AE124" i="16"/>
  <c r="I107" i="16"/>
  <c r="I147" i="16"/>
  <c r="I96" i="16"/>
  <c r="I43" i="16"/>
  <c r="AE149" i="16"/>
  <c r="AB145" i="16"/>
  <c r="AD70" i="16"/>
  <c r="X125" i="16"/>
  <c r="X134" i="16"/>
  <c r="AD75" i="16"/>
  <c r="AB63" i="16"/>
  <c r="AB163" i="16"/>
  <c r="AD55" i="16"/>
  <c r="AB93" i="16"/>
  <c r="AD52" i="16"/>
  <c r="V118" i="16"/>
  <c r="X64" i="16"/>
  <c r="AE104" i="16"/>
  <c r="V10" i="16"/>
  <c r="AA80" i="16"/>
  <c r="W98" i="16"/>
  <c r="AB155" i="16"/>
  <c r="AB51" i="16"/>
  <c r="AB70" i="16"/>
  <c r="AA102" i="16"/>
  <c r="AA10" i="16"/>
  <c r="AC144" i="16"/>
  <c r="W151" i="16"/>
  <c r="AA17" i="16"/>
  <c r="AA171" i="16"/>
  <c r="Q172" i="16"/>
  <c r="AC11" i="16"/>
  <c r="AE106" i="16"/>
  <c r="X41" i="16"/>
  <c r="AB123" i="16"/>
  <c r="AB60" i="16"/>
  <c r="AB104" i="16"/>
  <c r="AC37" i="16"/>
  <c r="AE69" i="16"/>
  <c r="W121" i="16"/>
  <c r="V116" i="16"/>
  <c r="V27" i="16"/>
  <c r="AD110" i="16"/>
  <c r="AB74" i="16"/>
  <c r="V97" i="16"/>
  <c r="I157" i="16"/>
  <c r="I7" i="16"/>
  <c r="J6" i="16"/>
  <c r="I87" i="16"/>
  <c r="I158" i="16"/>
  <c r="I58" i="16"/>
  <c r="I113" i="16"/>
  <c r="I14" i="16"/>
  <c r="I103" i="16"/>
  <c r="J102" i="16"/>
  <c r="K102" i="16"/>
  <c r="I124" i="16"/>
  <c r="I56" i="16"/>
  <c r="AA91" i="16"/>
  <c r="AC39" i="16"/>
  <c r="X69" i="16"/>
  <c r="AB126" i="16"/>
  <c r="AB152" i="16"/>
  <c r="W93" i="16"/>
  <c r="X157" i="16"/>
  <c r="I100" i="16"/>
  <c r="J100" i="16"/>
  <c r="I6" i="16"/>
  <c r="I91" i="16"/>
  <c r="I150" i="16"/>
  <c r="X63" i="16"/>
  <c r="AD164" i="16"/>
  <c r="X158" i="16"/>
  <c r="AE164" i="16"/>
  <c r="W48" i="16"/>
  <c r="W146" i="16"/>
  <c r="AD48" i="16"/>
  <c r="AA48" i="16"/>
  <c r="AD111" i="16"/>
  <c r="AD140" i="16"/>
  <c r="V154" i="16"/>
  <c r="AD28" i="16"/>
  <c r="V13" i="16"/>
  <c r="AB89" i="16"/>
  <c r="AA140" i="16"/>
  <c r="AA132" i="16"/>
  <c r="W131" i="16"/>
  <c r="X35" i="16"/>
  <c r="AD90" i="16"/>
  <c r="AA72" i="16"/>
  <c r="AA146" i="16"/>
  <c r="V70" i="16"/>
  <c r="AC19" i="16"/>
  <c r="AB96" i="16"/>
  <c r="X107" i="16"/>
  <c r="AE8" i="16"/>
  <c r="W141" i="16"/>
  <c r="AC30" i="16"/>
  <c r="V6" i="16"/>
  <c r="V171" i="16"/>
  <c r="L172" i="16"/>
  <c r="V170" i="16"/>
  <c r="AA52" i="16"/>
  <c r="AA149" i="16"/>
  <c r="AD107" i="16"/>
  <c r="AC166" i="16"/>
  <c r="AC56" i="16"/>
  <c r="AD74" i="16"/>
  <c r="AA20" i="16"/>
  <c r="AC150" i="16"/>
  <c r="AC111" i="16"/>
  <c r="X61" i="16"/>
  <c r="AA114" i="16"/>
  <c r="V126" i="16"/>
  <c r="W14" i="16"/>
  <c r="W70" i="16"/>
  <c r="W24" i="16"/>
  <c r="AE83" i="16"/>
  <c r="AE118" i="16"/>
  <c r="AD51" i="16"/>
  <c r="X98" i="16"/>
  <c r="AD139" i="16"/>
  <c r="AB87" i="16"/>
  <c r="AC167" i="16"/>
  <c r="V100" i="16"/>
  <c r="AB19" i="16"/>
  <c r="AA27" i="16"/>
  <c r="AC97" i="16"/>
  <c r="X105" i="16"/>
  <c r="W44" i="16"/>
  <c r="AE153" i="16"/>
  <c r="AA157" i="16"/>
  <c r="AA155" i="16"/>
  <c r="AE93" i="16"/>
  <c r="AA83" i="16"/>
  <c r="AA89" i="16"/>
  <c r="V26" i="16"/>
  <c r="AE168" i="16"/>
  <c r="W111" i="16"/>
  <c r="AC63" i="16"/>
  <c r="I48" i="16"/>
  <c r="J48" i="16"/>
  <c r="K48" i="16"/>
  <c r="I168" i="16"/>
  <c r="I69" i="16"/>
  <c r="W69" i="16"/>
  <c r="AE101" i="16"/>
  <c r="AB66" i="16"/>
  <c r="V146" i="16"/>
  <c r="AD92" i="16"/>
  <c r="G177" i="16"/>
  <c r="K176" i="16"/>
  <c r="AC20" i="16"/>
  <c r="V122" i="16"/>
  <c r="V108" i="16"/>
  <c r="AC138" i="16"/>
  <c r="AA58" i="16"/>
  <c r="W75" i="16"/>
  <c r="V107" i="16"/>
  <c r="AC48" i="16"/>
  <c r="X40" i="16"/>
  <c r="V140" i="16"/>
  <c r="AE84" i="16"/>
  <c r="I70" i="16"/>
  <c r="AE152" i="16"/>
  <c r="X108" i="16"/>
  <c r="AD145" i="16"/>
  <c r="AE119" i="16"/>
  <c r="AA62" i="16"/>
  <c r="AB130" i="16"/>
  <c r="X154" i="16"/>
  <c r="AB137" i="16"/>
  <c r="V129" i="16"/>
  <c r="W112" i="16"/>
  <c r="AA86" i="16"/>
  <c r="X28" i="16"/>
  <c r="W104" i="16"/>
  <c r="AC40" i="16"/>
  <c r="V167" i="16"/>
  <c r="AB128" i="16"/>
  <c r="W7" i="16"/>
  <c r="AD153" i="16"/>
  <c r="AD147" i="16"/>
  <c r="X94" i="16"/>
  <c r="W138" i="16"/>
  <c r="X50" i="16"/>
  <c r="I81" i="16"/>
  <c r="I23" i="16"/>
  <c r="W101" i="16"/>
  <c r="AC92" i="16"/>
  <c r="AA49" i="16"/>
  <c r="AB7" i="16"/>
  <c r="AB171" i="16"/>
  <c r="R172" i="16"/>
  <c r="AB49" i="16"/>
  <c r="AA123" i="16"/>
  <c r="AB40" i="16"/>
  <c r="X8" i="16"/>
  <c r="W145" i="16"/>
  <c r="I112" i="16"/>
  <c r="I32" i="16"/>
  <c r="I25" i="16"/>
  <c r="AE111" i="16"/>
  <c r="W163" i="16"/>
  <c r="AB97" i="16"/>
  <c r="V86" i="16"/>
  <c r="AE60" i="16"/>
  <c r="AE42" i="16"/>
  <c r="AC8" i="16"/>
  <c r="AB166" i="16"/>
  <c r="AE40" i="16"/>
  <c r="AB68" i="16"/>
  <c r="V135" i="16"/>
  <c r="AE58" i="16"/>
  <c r="X136" i="16"/>
  <c r="V33" i="16"/>
  <c r="X9" i="16"/>
  <c r="AA34" i="16"/>
  <c r="I67" i="16"/>
  <c r="I36" i="16"/>
  <c r="J35" i="16"/>
  <c r="K35" i="16"/>
  <c r="I145" i="16"/>
  <c r="I35" i="16"/>
  <c r="I86" i="16"/>
  <c r="AC160" i="16"/>
  <c r="X152" i="16"/>
  <c r="AA145" i="16"/>
  <c r="AE108" i="16"/>
  <c r="V58" i="16"/>
  <c r="AD146" i="16"/>
  <c r="AD30" i="16"/>
  <c r="V66" i="16"/>
  <c r="I72" i="16"/>
  <c r="I148" i="16"/>
  <c r="AE11" i="16"/>
  <c r="AE171" i="16"/>
  <c r="U172" i="16"/>
  <c r="U173" i="16"/>
  <c r="AA106" i="16"/>
  <c r="V65" i="16"/>
  <c r="I21" i="16"/>
  <c r="I108" i="16"/>
  <c r="I10" i="16"/>
  <c r="I129" i="16"/>
  <c r="J128" i="16"/>
  <c r="K128" i="16"/>
  <c r="AE30" i="16"/>
  <c r="AE151" i="16"/>
  <c r="AE44" i="16"/>
  <c r="X145" i="16"/>
  <c r="V130" i="16"/>
  <c r="AE107" i="16"/>
  <c r="V21" i="16"/>
  <c r="V59" i="16"/>
  <c r="V62" i="16"/>
  <c r="AE66" i="16"/>
  <c r="I126" i="16"/>
  <c r="V159" i="16"/>
  <c r="AC129" i="16"/>
  <c r="AA39" i="16"/>
  <c r="W164" i="16"/>
  <c r="X39" i="16"/>
  <c r="W90" i="16"/>
  <c r="AA144" i="16"/>
  <c r="AE13" i="16"/>
  <c r="AE91" i="16"/>
  <c r="V117" i="16"/>
  <c r="W47" i="16"/>
  <c r="AA9" i="16"/>
  <c r="X20" i="16"/>
  <c r="AB57" i="16"/>
  <c r="I98" i="16"/>
  <c r="N82" i="4"/>
  <c r="O82" i="4"/>
  <c r="F39" i="24"/>
  <c r="E132" i="4"/>
  <c r="F29" i="24"/>
  <c r="L52" i="4"/>
  <c r="J125" i="4"/>
  <c r="H180" i="16"/>
  <c r="M29" i="24"/>
  <c r="M51" i="24"/>
  <c r="M57" i="24"/>
  <c r="M17" i="24"/>
  <c r="E171" i="16"/>
  <c r="E177" i="16"/>
  <c r="S9" i="24"/>
  <c r="S49" i="24"/>
  <c r="Q9" i="24"/>
  <c r="S21" i="24"/>
  <c r="W21" i="24"/>
  <c r="S39" i="24"/>
  <c r="T30" i="24"/>
  <c r="S41" i="24"/>
  <c r="Q46" i="24"/>
  <c r="Q50" i="24"/>
  <c r="S45" i="24"/>
  <c r="T34" i="24"/>
  <c r="T13" i="24"/>
  <c r="U13" i="24"/>
  <c r="S37" i="24"/>
  <c r="S50" i="24"/>
  <c r="S28" i="24"/>
  <c r="Q41" i="24"/>
  <c r="U41" i="24"/>
  <c r="S43" i="24"/>
  <c r="S13" i="24"/>
  <c r="S38" i="24"/>
  <c r="S19" i="24"/>
  <c r="S44" i="24"/>
  <c r="S25" i="24"/>
  <c r="T26" i="24"/>
  <c r="Q17" i="24"/>
  <c r="S18" i="24"/>
  <c r="Q34" i="24"/>
  <c r="S17" i="24"/>
  <c r="T8" i="24"/>
  <c r="S47" i="24"/>
  <c r="T9" i="24"/>
  <c r="V9" i="24"/>
  <c r="S48" i="24"/>
  <c r="S31" i="24"/>
  <c r="T31" i="24"/>
  <c r="Q21" i="24"/>
  <c r="U21" i="24"/>
  <c r="S36" i="24"/>
  <c r="Q36" i="24"/>
  <c r="Q56" i="24"/>
  <c r="S24" i="24"/>
  <c r="Q26" i="24"/>
  <c r="T25" i="24"/>
  <c r="Q44" i="24"/>
  <c r="Q35" i="24"/>
  <c r="Q43" i="24"/>
  <c r="Q10" i="24"/>
  <c r="T43" i="24"/>
  <c r="U43" i="24"/>
  <c r="Q45" i="24"/>
  <c r="Q31" i="24"/>
  <c r="Q30" i="24"/>
  <c r="T36" i="24"/>
  <c r="V36" i="24"/>
  <c r="T16" i="24"/>
  <c r="W16" i="24"/>
  <c r="S22" i="24"/>
  <c r="Q16" i="24"/>
  <c r="S23" i="24"/>
  <c r="W23" i="24"/>
  <c r="Q25" i="24"/>
  <c r="S29" i="24"/>
  <c r="Q22" i="24"/>
  <c r="Q42" i="24"/>
  <c r="S34" i="24"/>
  <c r="Q28" i="24"/>
  <c r="T47" i="24"/>
  <c r="S35" i="24"/>
  <c r="S56" i="24"/>
  <c r="T23" i="24"/>
  <c r="T24" i="24"/>
  <c r="V24" i="24"/>
  <c r="S27" i="24"/>
  <c r="T19" i="24"/>
  <c r="U19" i="24"/>
  <c r="Q19" i="24"/>
  <c r="Q32" i="24"/>
  <c r="S11" i="24"/>
  <c r="Q48" i="24"/>
  <c r="U48" i="24"/>
  <c r="S12" i="24"/>
  <c r="Q38" i="24"/>
  <c r="T18" i="24"/>
  <c r="T22" i="24"/>
  <c r="U22" i="24"/>
  <c r="T50" i="24"/>
  <c r="S30" i="24"/>
  <c r="S40" i="24"/>
  <c r="W40" i="24"/>
  <c r="T45" i="24"/>
  <c r="T41" i="24"/>
  <c r="Q47" i="24"/>
  <c r="S46" i="24"/>
  <c r="Q12" i="24"/>
  <c r="T12" i="24"/>
  <c r="S16" i="24"/>
  <c r="Q33" i="24"/>
  <c r="T21" i="24"/>
  <c r="S32" i="24"/>
  <c r="Q23" i="24"/>
  <c r="U23" i="24"/>
  <c r="T33" i="24"/>
  <c r="W33" i="24"/>
  <c r="T27" i="24"/>
  <c r="T37" i="24"/>
  <c r="Q13" i="24"/>
  <c r="S33" i="24"/>
  <c r="T32" i="24"/>
  <c r="Q14" i="24"/>
  <c r="U14" i="24"/>
  <c r="T44" i="24"/>
  <c r="U44" i="24"/>
  <c r="Q39" i="24"/>
  <c r="S26" i="24"/>
  <c r="Q49" i="24"/>
  <c r="Q24" i="24"/>
  <c r="Q29" i="24"/>
  <c r="Q11" i="24"/>
  <c r="Q18" i="24"/>
  <c r="U18" i="24"/>
  <c r="T38" i="24"/>
  <c r="V38" i="24"/>
  <c r="Q20" i="24"/>
  <c r="U20" i="24"/>
  <c r="T49" i="24"/>
  <c r="T11" i="24"/>
  <c r="W11" i="24"/>
  <c r="V40" i="24"/>
  <c r="E125" i="4"/>
  <c r="E131" i="4"/>
  <c r="E262" i="16"/>
  <c r="F262" i="16"/>
  <c r="S42" i="24"/>
  <c r="S8" i="24"/>
  <c r="Q27" i="24"/>
  <c r="T35" i="24"/>
  <c r="E178" i="16"/>
  <c r="Q8" i="24"/>
  <c r="Q53" i="24"/>
  <c r="T28" i="24"/>
  <c r="U28" i="24"/>
  <c r="Q40" i="24"/>
  <c r="U40" i="24"/>
  <c r="M46" i="24"/>
  <c r="N39" i="24"/>
  <c r="I48" i="24"/>
  <c r="G48" i="24"/>
  <c r="G40" i="24"/>
  <c r="I40" i="24"/>
  <c r="F17" i="24"/>
  <c r="G180" i="16"/>
  <c r="M48" i="24"/>
  <c r="N48" i="24"/>
  <c r="L20" i="4"/>
  <c r="T10" i="24"/>
  <c r="V10" i="24"/>
  <c r="M107" i="4"/>
  <c r="M53" i="4"/>
  <c r="M113" i="4"/>
  <c r="I143" i="16"/>
  <c r="I101" i="16"/>
  <c r="I66" i="16"/>
  <c r="I42" i="16"/>
  <c r="I12" i="16"/>
  <c r="I111" i="16"/>
  <c r="J111" i="16"/>
  <c r="K111" i="16"/>
  <c r="I127" i="16"/>
  <c r="J125" i="16"/>
  <c r="K125" i="16"/>
  <c r="I47" i="16"/>
  <c r="I169" i="16"/>
  <c r="I34" i="16"/>
  <c r="I75" i="16"/>
  <c r="I27" i="16"/>
  <c r="I18" i="16"/>
  <c r="I144" i="16"/>
  <c r="I155" i="16"/>
  <c r="J17" i="16"/>
  <c r="K17" i="16"/>
  <c r="J157" i="16"/>
  <c r="K157" i="16"/>
  <c r="J150" i="16"/>
  <c r="K150" i="16"/>
  <c r="J109" i="16"/>
  <c r="K109" i="16"/>
  <c r="J106" i="16"/>
  <c r="K106" i="16"/>
  <c r="J136" i="16"/>
  <c r="K136" i="16"/>
  <c r="J51" i="16"/>
  <c r="K51" i="16"/>
  <c r="J148" i="16"/>
  <c r="K148" i="16"/>
  <c r="K9" i="16"/>
  <c r="J76" i="16"/>
  <c r="K76" i="16"/>
  <c r="K100" i="16"/>
  <c r="J160" i="16"/>
  <c r="K160" i="16"/>
  <c r="J169" i="16"/>
  <c r="K169" i="16"/>
  <c r="K6" i="16"/>
  <c r="J167" i="16"/>
  <c r="K167" i="16"/>
  <c r="J163" i="16"/>
  <c r="K163" i="16"/>
  <c r="J154" i="16"/>
  <c r="K154" i="16"/>
  <c r="V12" i="24"/>
  <c r="U12" i="24"/>
  <c r="W12" i="24"/>
  <c r="W24" i="24"/>
  <c r="U24" i="24"/>
  <c r="J142" i="16"/>
  <c r="K142" i="16"/>
  <c r="P48" i="24"/>
  <c r="T48" i="24"/>
  <c r="T46" i="24"/>
  <c r="N46" i="24"/>
  <c r="P46" i="24"/>
  <c r="V28" i="24"/>
  <c r="U32" i="24"/>
  <c r="V32" i="24"/>
  <c r="W32" i="24"/>
  <c r="U27" i="24"/>
  <c r="V21" i="24"/>
  <c r="U45" i="24"/>
  <c r="W45" i="24"/>
  <c r="V45" i="24"/>
  <c r="V23" i="24"/>
  <c r="V16" i="24"/>
  <c r="U16" i="24"/>
  <c r="P29" i="24"/>
  <c r="N29" i="24"/>
  <c r="I39" i="24"/>
  <c r="T39" i="24"/>
  <c r="G39" i="24"/>
  <c r="F55" i="24"/>
  <c r="U37" i="24"/>
  <c r="W37" i="24"/>
  <c r="V37" i="24"/>
  <c r="W41" i="24"/>
  <c r="V41" i="24"/>
  <c r="Q55" i="24"/>
  <c r="U9" i="24"/>
  <c r="W30" i="24"/>
  <c r="U30" i="24"/>
  <c r="V30" i="24"/>
  <c r="F62" i="24"/>
  <c r="V11" i="24"/>
  <c r="U11" i="24"/>
  <c r="U33" i="24"/>
  <c r="W22" i="24"/>
  <c r="V19" i="24"/>
  <c r="W19" i="24"/>
  <c r="W8" i="24"/>
  <c r="V13" i="24"/>
  <c r="G29" i="24"/>
  <c r="T29" i="24"/>
  <c r="V29" i="24"/>
  <c r="F56" i="24"/>
  <c r="I29" i="24"/>
  <c r="W10" i="24"/>
  <c r="U10" i="24"/>
  <c r="U35" i="24"/>
  <c r="V35" i="24"/>
  <c r="W49" i="24"/>
  <c r="V49" i="24"/>
  <c r="U38" i="24"/>
  <c r="W38" i="24"/>
  <c r="W44" i="24"/>
  <c r="W18" i="24"/>
  <c r="V18" i="24"/>
  <c r="V47" i="24"/>
  <c r="U47" i="24"/>
  <c r="W47" i="24"/>
  <c r="U25" i="24"/>
  <c r="V25" i="24"/>
  <c r="W25" i="24"/>
  <c r="U26" i="24"/>
  <c r="V26" i="24"/>
  <c r="W26" i="24"/>
  <c r="U34" i="24"/>
  <c r="W34" i="24"/>
  <c r="V34" i="24"/>
  <c r="P17" i="24"/>
  <c r="M54" i="24"/>
  <c r="M53" i="24"/>
  <c r="N17" i="24"/>
  <c r="E180" i="16"/>
  <c r="W48" i="24"/>
  <c r="V48" i="24"/>
  <c r="U46" i="24"/>
  <c r="V46" i="24"/>
  <c r="W39" i="24"/>
  <c r="V39" i="24"/>
  <c r="U39" i="24"/>
  <c r="E176" i="16"/>
  <c r="P57" i="24"/>
  <c r="K177" i="16"/>
  <c r="N57" i="24"/>
  <c r="Q52" i="24"/>
  <c r="W13" i="24"/>
  <c r="M56" i="24"/>
  <c r="G17" i="24"/>
  <c r="F51" i="24"/>
  <c r="F57" i="24"/>
  <c r="F54" i="24"/>
  <c r="G130" i="4"/>
  <c r="G129" i="4"/>
  <c r="J84" i="16"/>
  <c r="K84" i="16"/>
  <c r="AD171" i="16"/>
  <c r="T172" i="16"/>
  <c r="J140" i="16"/>
  <c r="K140" i="16"/>
  <c r="S55" i="24"/>
  <c r="V44" i="24"/>
  <c r="W35" i="24"/>
  <c r="V43" i="24"/>
  <c r="V22" i="24"/>
  <c r="W28" i="24"/>
  <c r="Q54" i="24"/>
  <c r="U49" i="24"/>
  <c r="U8" i="24"/>
  <c r="V8" i="24"/>
  <c r="J44" i="16"/>
  <c r="K44" i="16"/>
  <c r="N72" i="4"/>
  <c r="O72" i="4"/>
  <c r="U29" i="24"/>
  <c r="W43" i="24"/>
  <c r="T17" i="24"/>
  <c r="T51" i="24"/>
  <c r="T57" i="24"/>
  <c r="N202" i="16"/>
  <c r="S54" i="24"/>
  <c r="V27" i="24"/>
  <c r="W27" i="24"/>
  <c r="V50" i="24"/>
  <c r="U50" i="24"/>
  <c r="W31" i="24"/>
  <c r="U31" i="24"/>
  <c r="V31" i="24"/>
  <c r="S51" i="24"/>
  <c r="S57" i="24"/>
  <c r="W9" i="24"/>
  <c r="S53" i="24"/>
  <c r="E175" i="16"/>
  <c r="W29" i="24"/>
  <c r="Q51" i="24"/>
  <c r="Q57" i="24"/>
  <c r="U36" i="24"/>
  <c r="I17" i="24"/>
  <c r="J28" i="16"/>
  <c r="K28" i="16"/>
  <c r="J62" i="16"/>
  <c r="K62" i="16"/>
  <c r="J21" i="16"/>
  <c r="K21" i="16"/>
  <c r="J92" i="16"/>
  <c r="K92" i="16"/>
  <c r="T42" i="24"/>
  <c r="T56" i="24"/>
  <c r="M55" i="24"/>
  <c r="M52" i="24"/>
  <c r="M62" i="24"/>
  <c r="N42" i="24"/>
  <c r="P42" i="24"/>
  <c r="M43" i="4"/>
  <c r="M118" i="4"/>
  <c r="N117" i="4"/>
  <c r="O117" i="4"/>
  <c r="M84" i="4"/>
  <c r="M88" i="4"/>
  <c r="M46" i="4"/>
  <c r="M21" i="4"/>
  <c r="M57" i="4"/>
  <c r="M94" i="4"/>
  <c r="N94" i="4"/>
  <c r="O94" i="4"/>
  <c r="M32" i="4"/>
  <c r="M119" i="4"/>
  <c r="M101" i="4"/>
  <c r="M108" i="4"/>
  <c r="M63" i="4"/>
  <c r="N61" i="4"/>
  <c r="O61" i="4"/>
  <c r="M65" i="4"/>
  <c r="M92" i="4"/>
  <c r="M103" i="4"/>
  <c r="M39" i="4"/>
  <c r="N39" i="4"/>
  <c r="O39" i="4"/>
  <c r="M114" i="4"/>
  <c r="N113" i="4"/>
  <c r="O113" i="4"/>
  <c r="M100" i="4"/>
  <c r="M51" i="4"/>
  <c r="N51" i="4"/>
  <c r="O51" i="4"/>
  <c r="M77" i="4"/>
  <c r="M66" i="4"/>
  <c r="M19" i="4"/>
  <c r="M122" i="4"/>
  <c r="M60" i="4"/>
  <c r="N60" i="4"/>
  <c r="O60" i="4"/>
  <c r="M102" i="4"/>
  <c r="M93" i="4"/>
  <c r="M44" i="4"/>
  <c r="M98" i="4"/>
  <c r="M52" i="4"/>
  <c r="N52" i="4"/>
  <c r="O52" i="4"/>
  <c r="M42" i="4"/>
  <c r="M29" i="4"/>
  <c r="M120" i="4"/>
  <c r="M36" i="4"/>
  <c r="M96" i="4"/>
  <c r="M31" i="4"/>
  <c r="M86" i="4"/>
  <c r="M105" i="4"/>
  <c r="N105" i="4"/>
  <c r="O105" i="4"/>
  <c r="M90" i="4"/>
  <c r="M20" i="4"/>
  <c r="N20" i="4"/>
  <c r="O20" i="4"/>
  <c r="M76" i="4"/>
  <c r="N76" i="4"/>
  <c r="O76" i="4"/>
  <c r="M91" i="4"/>
  <c r="N91" i="4"/>
  <c r="O91" i="4"/>
  <c r="M81" i="4"/>
  <c r="M28" i="4"/>
  <c r="M79" i="4"/>
  <c r="N79" i="4"/>
  <c r="O79" i="4"/>
  <c r="M74" i="4"/>
  <c r="M41" i="4"/>
  <c r="M16" i="4"/>
  <c r="M112" i="4"/>
  <c r="N111" i="4"/>
  <c r="O111" i="4"/>
  <c r="M24" i="4"/>
  <c r="M30" i="4"/>
  <c r="N30" i="4"/>
  <c r="O30" i="4"/>
  <c r="M121" i="4"/>
  <c r="M27" i="4"/>
  <c r="M59" i="4"/>
  <c r="M26" i="4"/>
  <c r="M110" i="4"/>
  <c r="M99" i="4"/>
  <c r="N99" i="4"/>
  <c r="O99" i="4"/>
  <c r="M58" i="4"/>
  <c r="N58" i="4"/>
  <c r="O58" i="4"/>
  <c r="M115" i="4"/>
  <c r="N115" i="4"/>
  <c r="O115" i="4"/>
  <c r="M123" i="4"/>
  <c r="M34" i="4"/>
  <c r="M22" i="4"/>
  <c r="M85" i="4"/>
  <c r="M55" i="4"/>
  <c r="M33" i="4"/>
  <c r="M47" i="4"/>
  <c r="N47" i="4"/>
  <c r="O47" i="4"/>
  <c r="M49" i="4"/>
  <c r="M64" i="4"/>
  <c r="M109" i="4"/>
  <c r="M15" i="4"/>
  <c r="M40" i="4"/>
  <c r="M124" i="4"/>
  <c r="M104" i="4"/>
  <c r="M50" i="4"/>
  <c r="M70" i="4"/>
  <c r="M54" i="4"/>
  <c r="M35" i="4"/>
  <c r="M18" i="4"/>
  <c r="N18" i="4"/>
  <c r="O18" i="4"/>
  <c r="M48" i="4"/>
  <c r="M45" i="4"/>
  <c r="M68" i="4"/>
  <c r="N67" i="4"/>
  <c r="O67" i="4"/>
  <c r="M14" i="4"/>
  <c r="N13" i="4"/>
  <c r="M89" i="4"/>
  <c r="T55" i="24"/>
  <c r="W36" i="24"/>
  <c r="V33" i="24"/>
  <c r="F53" i="24"/>
  <c r="F52" i="24"/>
  <c r="W50" i="24"/>
  <c r="W46" i="24"/>
  <c r="I35" i="4"/>
  <c r="I72" i="4"/>
  <c r="I15" i="4"/>
  <c r="I22" i="4"/>
  <c r="I63" i="4"/>
  <c r="I62" i="4"/>
  <c r="I61" i="4"/>
  <c r="I68" i="4"/>
  <c r="G10" i="24"/>
  <c r="I10" i="24"/>
  <c r="G41" i="24"/>
  <c r="W155" i="4"/>
  <c r="E174" i="16"/>
  <c r="E51" i="24"/>
  <c r="E57" i="24"/>
  <c r="I38" i="24"/>
  <c r="E128" i="4"/>
  <c r="E257" i="16"/>
  <c r="G128" i="4"/>
  <c r="M168" i="4"/>
  <c r="I35" i="24"/>
  <c r="D128" i="4"/>
  <c r="AG59" i="4"/>
  <c r="AC87" i="4"/>
  <c r="AH70" i="4"/>
  <c r="AI74" i="4"/>
  <c r="AD59" i="4"/>
  <c r="AD102" i="4"/>
  <c r="AF31" i="4"/>
  <c r="AG109" i="4"/>
  <c r="AJ122" i="4"/>
  <c r="AD30" i="4"/>
  <c r="AE113" i="4"/>
  <c r="AJ124" i="4"/>
  <c r="AC124" i="4"/>
  <c r="AC43" i="4"/>
  <c r="AJ110" i="4"/>
  <c r="AC123" i="4"/>
  <c r="AE92" i="4"/>
  <c r="AD112" i="4"/>
  <c r="AC97" i="4"/>
  <c r="AG93" i="4"/>
  <c r="AC114" i="4"/>
  <c r="AF62" i="4"/>
  <c r="AD54" i="4"/>
  <c r="AG45" i="4"/>
  <c r="AE71" i="4"/>
  <c r="AB113" i="4"/>
  <c r="AF124" i="4"/>
  <c r="AJ68" i="4"/>
  <c r="AE48" i="4"/>
  <c r="AC104" i="4"/>
  <c r="AJ78" i="4"/>
  <c r="AG79" i="4"/>
  <c r="AD45" i="4"/>
  <c r="AH78" i="4"/>
  <c r="AG74" i="4"/>
  <c r="AI26" i="4"/>
  <c r="AD86" i="4"/>
  <c r="AC86" i="4"/>
  <c r="AD69" i="4"/>
  <c r="AC38" i="4"/>
  <c r="AF35" i="4"/>
  <c r="AD77" i="4"/>
  <c r="AB123" i="4"/>
  <c r="AD100" i="4"/>
  <c r="AF56" i="4"/>
  <c r="AH119" i="4"/>
  <c r="AE109" i="4"/>
  <c r="AB63" i="4"/>
  <c r="AH73" i="4"/>
  <c r="AG15" i="4"/>
  <c r="AJ101" i="4"/>
  <c r="AF120" i="4"/>
  <c r="AJ114" i="4"/>
  <c r="AJ34" i="4"/>
  <c r="AC13" i="4"/>
  <c r="AI99" i="4"/>
  <c r="AB121" i="4"/>
  <c r="AG95" i="4"/>
  <c r="AB91" i="4"/>
  <c r="AJ66" i="4"/>
  <c r="AF112" i="4"/>
  <c r="AB39" i="4"/>
  <c r="AC111" i="4"/>
  <c r="AI81" i="4"/>
  <c r="AF27" i="4"/>
  <c r="AE23" i="4"/>
  <c r="AD68" i="4"/>
  <c r="AJ26" i="4"/>
  <c r="AG104" i="4"/>
  <c r="AG61" i="4"/>
  <c r="AE57" i="4"/>
  <c r="AB114" i="4"/>
  <c r="AG54" i="4"/>
  <c r="AI20" i="4"/>
  <c r="AF64" i="4"/>
  <c r="AC44" i="4"/>
  <c r="AG26" i="4"/>
  <c r="AH100" i="4"/>
  <c r="AF60" i="4"/>
  <c r="AJ22" i="4"/>
  <c r="AJ36" i="4"/>
  <c r="AI38" i="4"/>
  <c r="AJ50" i="4"/>
  <c r="AD56" i="4"/>
  <c r="AJ45" i="4"/>
  <c r="AI90" i="4"/>
  <c r="AF75" i="4"/>
  <c r="AI80" i="4"/>
  <c r="AD74" i="4"/>
  <c r="AE85" i="4"/>
  <c r="AH31" i="4"/>
  <c r="AH125" i="4"/>
  <c r="Y126" i="4"/>
  <c r="Y127" i="4"/>
  <c r="AG78" i="4"/>
  <c r="AI100" i="4"/>
  <c r="AB79" i="4"/>
  <c r="AB45" i="4"/>
  <c r="AJ123" i="4"/>
  <c r="AI121" i="4"/>
  <c r="AF77" i="4"/>
  <c r="AH80" i="4"/>
  <c r="AE87" i="4"/>
  <c r="AB43" i="4"/>
  <c r="AE95" i="4"/>
  <c r="AH108" i="4"/>
  <c r="AE64" i="4"/>
  <c r="AF21" i="4"/>
  <c r="AF125" i="4"/>
  <c r="W126" i="4"/>
  <c r="AH76" i="4"/>
  <c r="AC78" i="4"/>
  <c r="AC61" i="4"/>
  <c r="AI53" i="4"/>
  <c r="AC121" i="4"/>
  <c r="AG20" i="4"/>
  <c r="AI41" i="4"/>
  <c r="AJ52" i="4"/>
  <c r="AB97" i="4"/>
  <c r="AI98" i="4"/>
  <c r="AD119" i="4"/>
  <c r="AB118" i="4"/>
  <c r="AD23" i="4"/>
  <c r="AD125" i="4"/>
  <c r="U126" i="4"/>
  <c r="AC26" i="4"/>
  <c r="AI62" i="4"/>
  <c r="AD106" i="4"/>
  <c r="AH71" i="4"/>
  <c r="AF110" i="4"/>
  <c r="AJ20" i="4"/>
  <c r="AJ60" i="4"/>
  <c r="AB48" i="4"/>
  <c r="AE94" i="4"/>
  <c r="AF61" i="4"/>
  <c r="AC59" i="4"/>
  <c r="AD113" i="4"/>
  <c r="AB100" i="4"/>
  <c r="AI86" i="4"/>
  <c r="AG32" i="4"/>
  <c r="AC82" i="4"/>
  <c r="AG72" i="4"/>
  <c r="AJ90" i="4"/>
  <c r="AG57" i="4"/>
  <c r="AB18" i="4"/>
  <c r="AF122" i="4"/>
  <c r="AH82" i="4"/>
  <c r="AC119" i="4"/>
  <c r="AD46" i="4"/>
  <c r="AD35" i="4"/>
  <c r="AH47" i="4"/>
  <c r="AG84" i="4"/>
  <c r="AC30" i="4"/>
  <c r="AI65" i="4"/>
  <c r="AC21" i="4"/>
  <c r="AD85" i="4"/>
  <c r="AD58" i="4"/>
  <c r="AF73" i="4"/>
  <c r="AF70" i="4"/>
  <c r="AI114" i="4"/>
  <c r="AI29" i="4"/>
  <c r="AE76" i="4"/>
  <c r="AE54" i="4"/>
  <c r="AE75" i="4"/>
  <c r="AB27" i="4"/>
  <c r="AG19" i="4"/>
  <c r="AF84" i="4"/>
  <c r="AI34" i="4"/>
  <c r="AB119" i="4"/>
  <c r="AC69" i="4"/>
  <c r="AJ89" i="4"/>
  <c r="AB75" i="4"/>
  <c r="AF57" i="4"/>
  <c r="AI43" i="4"/>
  <c r="AD114" i="4"/>
  <c r="AE112" i="4"/>
  <c r="AC29" i="4"/>
  <c r="AE111" i="4"/>
  <c r="AC70" i="4"/>
  <c r="AC57" i="4"/>
  <c r="AH112" i="4"/>
  <c r="AG39" i="4"/>
  <c r="AB81" i="4"/>
  <c r="AF119" i="4"/>
  <c r="AD107" i="4"/>
  <c r="AD92" i="4"/>
  <c r="AH104" i="4"/>
  <c r="AI93" i="4"/>
  <c r="AC32" i="4"/>
  <c r="AE72" i="4"/>
  <c r="AE117" i="4"/>
  <c r="AF114" i="4"/>
  <c r="AJ100" i="4"/>
  <c r="AG25" i="4"/>
  <c r="AJ46" i="4"/>
  <c r="AE60" i="4"/>
  <c r="AG89" i="4"/>
  <c r="AI79" i="4"/>
  <c r="AC89" i="4"/>
  <c r="AF66" i="4"/>
  <c r="AH57" i="4"/>
  <c r="AJ92" i="4"/>
  <c r="AB25" i="4"/>
  <c r="AG13" i="4"/>
  <c r="AG125" i="4"/>
  <c r="X126" i="4"/>
  <c r="AI22" i="4"/>
  <c r="AE69" i="4"/>
  <c r="D174" i="16"/>
  <c r="D257" i="16"/>
  <c r="U57" i="24"/>
  <c r="W57" i="24"/>
  <c r="V57" i="24"/>
  <c r="E130" i="4"/>
  <c r="E129" i="4"/>
  <c r="T62" i="24"/>
  <c r="D175" i="16"/>
  <c r="D172" i="16"/>
  <c r="AB125" i="4"/>
  <c r="Q126" i="4"/>
  <c r="AI125" i="4"/>
  <c r="Z126" i="4"/>
  <c r="AE125" i="4"/>
  <c r="V126" i="4"/>
  <c r="E173" i="16"/>
  <c r="E172" i="16"/>
  <c r="N26" i="4"/>
  <c r="O26" i="4"/>
  <c r="N90" i="4"/>
  <c r="O90" i="4"/>
  <c r="M169" i="4"/>
  <c r="U169" i="4"/>
  <c r="O119" i="4"/>
  <c r="N119" i="4"/>
  <c r="W17" i="24"/>
  <c r="T54" i="24"/>
  <c r="U17" i="24"/>
  <c r="V17" i="24"/>
  <c r="E127" i="4"/>
  <c r="E256" i="16"/>
  <c r="F256" i="16"/>
  <c r="N103" i="4"/>
  <c r="O103" i="4"/>
  <c r="G176" i="16"/>
  <c r="I260" i="16"/>
  <c r="G175" i="16"/>
  <c r="AB130" i="4"/>
  <c r="D127" i="4"/>
  <c r="D256" i="16"/>
  <c r="AA130" i="4"/>
  <c r="I125" i="4"/>
  <c r="N15" i="4"/>
  <c r="O15" i="4"/>
  <c r="N22" i="4"/>
  <c r="O22" i="4"/>
  <c r="T53" i="24"/>
  <c r="T52" i="24"/>
  <c r="N35" i="4"/>
  <c r="O35" i="4"/>
  <c r="N109" i="4"/>
  <c r="O109" i="4"/>
  <c r="I57" i="24"/>
  <c r="O131" i="4"/>
  <c r="G57" i="24"/>
  <c r="AJ125" i="4"/>
  <c r="AA126" i="4"/>
  <c r="AA127" i="4"/>
  <c r="AB129" i="4"/>
  <c r="AC129" i="4"/>
  <c r="N32" i="4"/>
  <c r="O32" i="4"/>
  <c r="G173" i="16"/>
  <c r="S258" i="16"/>
  <c r="S256" i="16"/>
  <c r="D173" i="16"/>
  <c r="D129" i="4"/>
  <c r="D126" i="4"/>
  <c r="AC125" i="4"/>
  <c r="S126" i="4"/>
  <c r="S127" i="4"/>
  <c r="D130" i="4"/>
  <c r="D259" i="16"/>
  <c r="N54" i="4"/>
  <c r="O54" i="4"/>
  <c r="O123" i="4"/>
  <c r="N123" i="4"/>
  <c r="O121" i="4"/>
  <c r="N121" i="4"/>
  <c r="N28" i="4"/>
  <c r="O28" i="4"/>
  <c r="N44" i="4"/>
  <c r="O44" i="4"/>
  <c r="V42" i="24"/>
  <c r="W42" i="24"/>
  <c r="U42" i="24"/>
  <c r="N101" i="4"/>
  <c r="O101" i="4"/>
  <c r="N84" i="4"/>
  <c r="O84" i="4"/>
  <c r="D176" i="16"/>
  <c r="S52" i="24"/>
  <c r="J171" i="16"/>
  <c r="M258" i="16"/>
  <c r="N260" i="16"/>
  <c r="E258" i="16"/>
  <c r="N125" i="4"/>
  <c r="M256" i="16"/>
  <c r="F257" i="16"/>
  <c r="G172" i="16"/>
  <c r="E259" i="16"/>
  <c r="F259" i="16"/>
  <c r="D258" i="16"/>
  <c r="F258" i="16"/>
  <c r="E126" i="4"/>
  <c r="G127" i="4"/>
  <c r="G126" i="4"/>
  <c r="U167" i="4"/>
  <c r="U165" i="4"/>
  <c r="M167" i="4"/>
  <c r="M165" i="4"/>
</calcChain>
</file>

<file path=xl/sharedStrings.xml><?xml version="1.0" encoding="utf-8"?>
<sst xmlns="http://schemas.openxmlformats.org/spreadsheetml/2006/main" count="1006" uniqueCount="406">
  <si>
    <t xml:space="preserve"> </t>
  </si>
  <si>
    <t>У.мм</t>
  </si>
  <si>
    <t>сера</t>
  </si>
  <si>
    <t>%</t>
  </si>
  <si>
    <t>Ж</t>
  </si>
  <si>
    <t>КС</t>
  </si>
  <si>
    <t>М10</t>
  </si>
  <si>
    <t>расчет показателей качества</t>
  </si>
  <si>
    <t>зола</t>
  </si>
  <si>
    <t>лет</t>
  </si>
  <si>
    <t>Ив</t>
  </si>
  <si>
    <t>Остаток</t>
  </si>
  <si>
    <t>на складе,т</t>
  </si>
  <si>
    <t>ГЖ</t>
  </si>
  <si>
    <t>ОС</t>
  </si>
  <si>
    <t>К</t>
  </si>
  <si>
    <t>мм</t>
  </si>
  <si>
    <t>2 блок</t>
  </si>
  <si>
    <t>Поставщики</t>
  </si>
  <si>
    <t xml:space="preserve">Расход в </t>
  </si>
  <si>
    <t>сутки, т</t>
  </si>
  <si>
    <t>Запас</t>
  </si>
  <si>
    <t>угля, сут</t>
  </si>
  <si>
    <t xml:space="preserve"> Зола,</t>
  </si>
  <si>
    <t>У,</t>
  </si>
  <si>
    <t xml:space="preserve">                            </t>
  </si>
  <si>
    <r>
      <t>R</t>
    </r>
    <r>
      <rPr>
        <b/>
        <i/>
        <vertAlign val="subscript"/>
        <sz val="10"/>
        <rFont val="Arial Cyr"/>
        <family val="2"/>
        <charset val="204"/>
      </rPr>
      <t>о</t>
    </r>
  </si>
  <si>
    <t>Rо</t>
  </si>
  <si>
    <t>Участ.</t>
  </si>
  <si>
    <t>летучие</t>
  </si>
  <si>
    <t>Vt</t>
  </si>
  <si>
    <t>Расчетное</t>
  </si>
  <si>
    <t>пр-во кокса, т</t>
  </si>
  <si>
    <t>смена</t>
  </si>
  <si>
    <t>силосов, т</t>
  </si>
  <si>
    <t>Суточное</t>
  </si>
  <si>
    <t>произв-во</t>
  </si>
  <si>
    <t>Расход из</t>
  </si>
  <si>
    <t>М 25</t>
  </si>
  <si>
    <t>факт</t>
  </si>
  <si>
    <t>Заданный оборот печей, час</t>
  </si>
  <si>
    <t>Показатели качества кокса, %</t>
  </si>
  <si>
    <t>расчет</t>
  </si>
  <si>
    <t>Стоимость,</t>
  </si>
  <si>
    <t>∆</t>
  </si>
  <si>
    <r>
      <t xml:space="preserve">распределение по цехам в </t>
    </r>
    <r>
      <rPr>
        <sz val="11"/>
        <rFont val="Calibri"/>
        <family val="2"/>
        <charset val="204"/>
      </rPr>
      <t>предыдущем месяце</t>
    </r>
    <r>
      <rPr>
        <sz val="12"/>
        <rFont val="Franklin Gothic Book"/>
        <family val="2"/>
        <charset val="204"/>
      </rPr>
      <t>:</t>
    </r>
  </si>
  <si>
    <t>Распадская ОС (р-з Коксовый)</t>
  </si>
  <si>
    <t xml:space="preserve">          ШИХТОВОЧНЫЙ    ЛИСТ   </t>
  </si>
  <si>
    <t>Распадская ГЖ</t>
  </si>
  <si>
    <t>Абашевская ГЖ+Ж</t>
  </si>
  <si>
    <t xml:space="preserve">3 блок </t>
  </si>
  <si>
    <t>3 - 0 мм</t>
  </si>
  <si>
    <t>0,5 - 0 мм</t>
  </si>
  <si>
    <t>Кузнецкая ГЖ+Ж</t>
  </si>
  <si>
    <t>Барзасское товарищество ОС</t>
  </si>
  <si>
    <t>Кузнецкая (ш.Осинниковская)</t>
  </si>
  <si>
    <t>КЖ</t>
  </si>
  <si>
    <t>Распадская КС (ш. Алардинская)</t>
  </si>
  <si>
    <t>Краснокаменская КЖ</t>
  </si>
  <si>
    <t>ШИХТОВОЧНЫЙ ЛИСТ</t>
  </si>
  <si>
    <t>Уголь + добавки</t>
  </si>
  <si>
    <t xml:space="preserve"> Распадская ГЖ</t>
  </si>
  <si>
    <t>Стоимость шихты (факт - Утв. План на месяц),  руб.т</t>
  </si>
  <si>
    <t>х,</t>
  </si>
  <si>
    <t>у,</t>
  </si>
  <si>
    <t>х, мм</t>
  </si>
  <si>
    <t>Краснокаменская Ж</t>
  </si>
  <si>
    <r>
      <t xml:space="preserve">воспроизводимость по ГОСТ ( </t>
    </r>
    <r>
      <rPr>
        <sz val="11"/>
        <rFont val="Calibri"/>
        <family val="2"/>
        <charset val="204"/>
      </rPr>
      <t>+</t>
    </r>
    <r>
      <rPr>
        <b/>
        <sz val="11"/>
        <rFont val="Arial"/>
        <family val="2"/>
        <charset val="204"/>
      </rPr>
      <t xml:space="preserve"> )</t>
    </r>
  </si>
  <si>
    <t>помол</t>
  </si>
  <si>
    <t>пыль</t>
  </si>
  <si>
    <t xml:space="preserve">4 м/др </t>
  </si>
  <si>
    <t>+6 мм</t>
  </si>
  <si>
    <r>
      <t>Летучие (V</t>
    </r>
    <r>
      <rPr>
        <sz val="11"/>
        <rFont val="Calibri"/>
        <family val="2"/>
        <charset val="204"/>
      </rPr>
      <t>d</t>
    </r>
    <r>
      <rPr>
        <b/>
        <i/>
        <sz val="12"/>
        <rFont val="Arial"/>
        <family val="2"/>
        <charset val="204"/>
      </rPr>
      <t>), %</t>
    </r>
  </si>
  <si>
    <t>1 смена</t>
  </si>
  <si>
    <t>2 смена</t>
  </si>
  <si>
    <t>Уголь + остатки углеродсодержащие</t>
  </si>
  <si>
    <t>Х,мм</t>
  </si>
  <si>
    <t>Распадская ГЖ+Ж</t>
  </si>
  <si>
    <t>ГОСТ 1186</t>
  </si>
  <si>
    <t>ГОСТ 55659</t>
  </si>
  <si>
    <t>ГОСТ 55660</t>
  </si>
  <si>
    <t>Щедрухинская (ш. Юбилейная)</t>
  </si>
  <si>
    <t>фосфор</t>
  </si>
  <si>
    <t xml:space="preserve">фосфор </t>
  </si>
  <si>
    <r>
      <t xml:space="preserve">воспроизводимость по ГОСТ ( </t>
    </r>
    <r>
      <rPr>
        <b/>
        <u/>
        <sz val="10"/>
        <rFont val="Arial"/>
        <family val="2"/>
        <charset val="204"/>
      </rPr>
      <t>+</t>
    </r>
    <r>
      <rPr>
        <b/>
        <sz val="10"/>
        <rFont val="Arial"/>
        <family val="2"/>
        <charset val="204"/>
      </rPr>
      <t xml:space="preserve"> )</t>
    </r>
  </si>
  <si>
    <t>План PRM</t>
  </si>
  <si>
    <t>Кузнецкая (ш. Ерунаковская 8) Ж</t>
  </si>
  <si>
    <t>Порядок отбора экспресс-анализа шихты 3 блока - после запуска участка в дневную и ночную смену - 2 раза в сутки</t>
  </si>
  <si>
    <t>Щедрухинская ГЖ (ш.Есаульская)</t>
  </si>
  <si>
    <r>
      <t xml:space="preserve"> Зола (A</t>
    </r>
    <r>
      <rPr>
        <sz val="11"/>
        <rFont val="Calibri"/>
        <family val="2"/>
        <charset val="204"/>
      </rPr>
      <t>d</t>
    </r>
    <r>
      <rPr>
        <b/>
        <i/>
        <sz val="12"/>
        <rFont val="Arial"/>
        <family val="2"/>
        <charset val="204"/>
      </rPr>
      <t>), %</t>
    </r>
  </si>
  <si>
    <t>Абашевская / Кузнецкая ГЖ (ш.Есаульская)</t>
  </si>
  <si>
    <t>75,0 + 1%</t>
  </si>
  <si>
    <t>(диапазон 74,0-76,0%)</t>
  </si>
  <si>
    <t>ВСЕГО</t>
  </si>
  <si>
    <t>Остаток угля на открытом угольном складе, т</t>
  </si>
  <si>
    <t>Кузнецкая Ж (ш. Юбилейная)</t>
  </si>
  <si>
    <t>12 шт</t>
  </si>
  <si>
    <t>Щедрухинская Ж (ш.Юбилейная)</t>
  </si>
  <si>
    <t>факт
(средн за период)</t>
  </si>
  <si>
    <t>Кузнецкая (ш. Юбилейная)</t>
  </si>
  <si>
    <t>Междуреченская КС</t>
  </si>
  <si>
    <r>
      <t>Влага
(W</t>
    </r>
    <r>
      <rPr>
        <sz val="11"/>
        <rFont val="Calibri"/>
        <family val="2"/>
        <charset val="204"/>
      </rPr>
      <t>r</t>
    </r>
    <r>
      <rPr>
        <b/>
        <i/>
        <sz val="12"/>
        <rFont val="Arial"/>
        <family val="2"/>
        <charset val="204"/>
      </rPr>
      <t>), %</t>
    </r>
  </si>
  <si>
    <t>CSR</t>
  </si>
  <si>
    <t>Печорская К (р-з Юньягинский)</t>
  </si>
  <si>
    <t>на текущие сутки</t>
  </si>
  <si>
    <t>ГОСТ 
55659</t>
  </si>
  <si>
    <t>УПЦ - Выгрузку углей производить с учетом расхода углей и обеспечения 5-суточного запаса</t>
  </si>
  <si>
    <t>3 с/с (прямой парк, 11 шт. от 12)</t>
  </si>
  <si>
    <t>Б2025</t>
  </si>
  <si>
    <r>
      <t>R</t>
    </r>
    <r>
      <rPr>
        <sz val="11"/>
        <rFont val="Arial"/>
        <family val="2"/>
        <charset val="204"/>
      </rPr>
      <t>о</t>
    </r>
  </si>
  <si>
    <t xml:space="preserve">По выходу Распадская К - </t>
  </si>
  <si>
    <t>Распадская К+ОС</t>
  </si>
  <si>
    <t>К, ОС</t>
  </si>
  <si>
    <t>Сибирь ОС</t>
  </si>
  <si>
    <t>75,0 - 1%</t>
  </si>
  <si>
    <t>(диапазон 74,0 - 76,0%)</t>
  </si>
  <si>
    <t>%  
участия 
(ф. в.)</t>
  </si>
  <si>
    <t>Утв. План</t>
  </si>
  <si>
    <t>К9</t>
  </si>
  <si>
    <t>Распадская ГЖ+остатки углеродсодержащие</t>
  </si>
  <si>
    <t>Сибирь К9 (Нерюнгринская)</t>
  </si>
  <si>
    <t>м.д. фосфора в золе, %</t>
  </si>
  <si>
    <r>
      <t xml:space="preserve">Отклонение </t>
    </r>
    <r>
      <rPr>
        <b/>
        <sz val="12"/>
        <color indexed="8"/>
        <rFont val="Arial"/>
        <family val="2"/>
        <charset val="204"/>
      </rPr>
      <t xml:space="preserve">стоимости </t>
    </r>
    <r>
      <rPr>
        <sz val="12"/>
        <color indexed="8"/>
        <rFont val="Arial"/>
        <family val="2"/>
        <charset val="204"/>
      </rPr>
      <t>шихты 
от Утв. плана, руб/т:</t>
    </r>
  </si>
  <si>
    <t>ЗАПРЕЩАЕТСЯ брать в работу уголь с первичных штабелей и прямым парком</t>
  </si>
  <si>
    <t>Усиленный контроль за работой шибера силосов  №6 и №7</t>
  </si>
  <si>
    <t>Печерская 2Ж</t>
  </si>
  <si>
    <t xml:space="preserve">Запас угля, сут
</t>
  </si>
  <si>
    <t>12 шт от 13 первичный</t>
  </si>
  <si>
    <t>8,5 ± 0,5</t>
  </si>
  <si>
    <t>Порядок отбора экспресс-анализа шихты 2 блока - после запуска участка в дневную и ночную смену - 2 раза в сутки</t>
  </si>
  <si>
    <t>ГОК Денисовский К9</t>
  </si>
  <si>
    <t>Барзасская ОС</t>
  </si>
  <si>
    <t>По выходу Печерская 2Ж (9%) - перейти на Щедрухинская Ж (28 с/с)</t>
  </si>
  <si>
    <t>Б2026</t>
  </si>
  <si>
    <t>Стоимость в январе, руб./т</t>
  </si>
  <si>
    <t>9 с/с (11 шт)</t>
  </si>
  <si>
    <t>Усиленный контроль угля из силосов 2 блока Краснокаменская КЖ (силоса № 4, 7 и 11). Отбор проб - 2 раза в сутки</t>
  </si>
  <si>
    <t>Сибирь КС</t>
  </si>
  <si>
    <t>56,5 ± 1,0</t>
  </si>
  <si>
    <t>Отобрать пробы "угля +остатков углеродсодержащих" с 17 штабеля от 18 (гибкая опора) для проведения технического анализа и определения пластометрических показателей.</t>
  </si>
  <si>
    <t>УПЦ начать загрузку силоса № 27 смесью "остатков углеродсодержащих + уголь" с 17 штабеля от 18 гибкая опора</t>
  </si>
  <si>
    <t>13 шт</t>
  </si>
  <si>
    <t>Состав шихты на АПРЕЛЬ, %</t>
  </si>
  <si>
    <t>Произвести перекачку Распадская КС (1 700 т) на 3 блок</t>
  </si>
  <si>
    <t>Выгрузка Кузнецкая ш. Юбилейная 100 % на 2 блок</t>
  </si>
  <si>
    <t>Выгрузка Сибирь К9: 100 % - на 2 блок</t>
  </si>
  <si>
    <t>Выгрузка Барзасское товарищество ОС: 1/2 на 2 блок, 1/2 - на 3 блок</t>
  </si>
  <si>
    <t>Состав шихты на МАЙ, %</t>
  </si>
  <si>
    <t>58,0 ± 1,0</t>
  </si>
  <si>
    <t>Выгрузка Распадская ГЖ под потребность: 1/3 - на 2 блок, 2/3 - на 3 блок</t>
  </si>
  <si>
    <t>При получении сменных значений шихты по выходу летучих веществ 25,7% - произвести  корректировку шихты, экспресс анализ шихты</t>
  </si>
  <si>
    <t>Выгрузка  Барзасское товарищество ОС: 1/2 на 2 блок, 1/2 - на 3 блок</t>
  </si>
  <si>
    <t>II</t>
  </si>
  <si>
    <t>Выгрузка Распадская ОС: 1/2 на 2 блок (14 штабель), 1/2 - на 3 блок.</t>
  </si>
  <si>
    <t>ЦОФ Восточная Казахстан КЖ+К - 100 % опробование с вагонов. Выгрузка до получения рнзультатов опробования ЗАПРЕЩЕНА
После снятия ареста: 4 400 на 3 блок, остальное на 16 табель.</t>
  </si>
  <si>
    <t xml:space="preserve">Выгрузка смешанного маршрута Сибирь:  ОС (26 вагонов) - 100 % на 2 блок, КС (41 вагон) - 100 % на 3 блок </t>
  </si>
  <si>
    <t>Выгрузка Краснокаменская  КЖ под потребность: 2/3 - на 2 блок, 1/3 - на 3 блок</t>
  </si>
  <si>
    <t>41.055</t>
  </si>
  <si>
    <t>212.313</t>
  </si>
  <si>
    <t>180.642</t>
  </si>
  <si>
    <t>419.934</t>
  </si>
  <si>
    <t>59.823</t>
  </si>
  <si>
    <t>16.422</t>
  </si>
  <si>
    <t>262.752</t>
  </si>
  <si>
    <t>63.342</t>
  </si>
  <si>
    <t>174.777</t>
  </si>
  <si>
    <t>52.785</t>
  </si>
  <si>
    <t>182.988</t>
  </si>
  <si>
    <t>170.085</t>
  </si>
  <si>
    <t>60.996</t>
  </si>
  <si>
    <t>86.802</t>
  </si>
  <si>
    <t>246.33</t>
  </si>
  <si>
    <t>3.519</t>
  </si>
  <si>
    <t>324.921</t>
  </si>
  <si>
    <t>17.595</t>
  </si>
  <si>
    <t>184.161</t>
  </si>
  <si>
    <t>144.279</t>
  </si>
  <si>
    <t>231.081</t>
  </si>
  <si>
    <t>232.254</t>
  </si>
  <si>
    <t>290.904</t>
  </si>
  <si>
    <t>152.49</t>
  </si>
  <si>
    <t>112.608</t>
  </si>
  <si>
    <t>37.536</t>
  </si>
  <si>
    <t>72.726</t>
  </si>
  <si>
    <t>5.865</t>
  </si>
  <si>
    <t>124.338</t>
  </si>
  <si>
    <t>147.798</t>
  </si>
  <si>
    <t>100.878</t>
  </si>
  <si>
    <t>186.507</t>
  </si>
  <si>
    <t>125.511</t>
  </si>
  <si>
    <t>4.692</t>
  </si>
  <si>
    <t>294.423</t>
  </si>
  <si>
    <t>201.756</t>
  </si>
  <si>
    <t>226.389</t>
  </si>
  <si>
    <t>265.098</t>
  </si>
  <si>
    <t>195.891</t>
  </si>
  <si>
    <t>263.925</t>
  </si>
  <si>
    <t>73.899</t>
  </si>
  <si>
    <t>253.368</t>
  </si>
  <si>
    <t>194.718</t>
  </si>
  <si>
    <t>356.592</t>
  </si>
  <si>
    <t>121.992</t>
  </si>
  <si>
    <t>362.457</t>
  </si>
  <si>
    <t>259.233</t>
  </si>
  <si>
    <t>119.646</t>
  </si>
  <si>
    <t>137.241</t>
  </si>
  <si>
    <t>266.271</t>
  </si>
  <si>
    <t>141.933</t>
  </si>
  <si>
    <t>348.381</t>
  </si>
  <si>
    <t>148.971</t>
  </si>
  <si>
    <t>337.824</t>
  </si>
  <si>
    <t>129.03</t>
  </si>
  <si>
    <t>185.334</t>
  </si>
  <si>
    <t>163.047</t>
  </si>
  <si>
    <t>388.263</t>
  </si>
  <si>
    <t>138.414</t>
  </si>
  <si>
    <t>389.436</t>
  </si>
  <si>
    <t>123.165</t>
  </si>
  <si>
    <t>390.609</t>
  </si>
  <si>
    <t>350.727</t>
  </si>
  <si>
    <t>346.035</t>
  </si>
  <si>
    <t>114.954</t>
  </si>
  <si>
    <t>373.014</t>
  </si>
  <si>
    <t>19.941</t>
  </si>
  <si>
    <t>273.309</t>
  </si>
  <si>
    <t>116.127</t>
  </si>
  <si>
    <t>399.993</t>
  </si>
  <si>
    <t>139.587</t>
  </si>
  <si>
    <t>312.018</t>
  </si>
  <si>
    <t>308.499</t>
  </si>
  <si>
    <t>387.09</t>
  </si>
  <si>
    <t>360.111</t>
  </si>
  <si>
    <t>197.064</t>
  </si>
  <si>
    <t>316.71</t>
  </si>
  <si>
    <t>160.701</t>
  </si>
  <si>
    <t>309.672</t>
  </si>
  <si>
    <t>304.98</t>
  </si>
  <si>
    <t>151.317</t>
  </si>
  <si>
    <t>358.938</t>
  </si>
  <si>
    <t>130.203</t>
  </si>
  <si>
    <t>416.415</t>
  </si>
  <si>
    <t>95.013</t>
  </si>
  <si>
    <t>411.723</t>
  </si>
  <si>
    <t>18.768</t>
  </si>
  <si>
    <t>340.17</t>
  </si>
  <si>
    <t>292.077</t>
  </si>
  <si>
    <t>363.63</t>
  </si>
  <si>
    <t>293.25</t>
  </si>
  <si>
    <t>71.553</t>
  </si>
  <si>
    <t>299.115</t>
  </si>
  <si>
    <t>117.3</t>
  </si>
  <si>
    <t>375.36</t>
  </si>
  <si>
    <t>368.322</t>
  </si>
  <si>
    <t>349.554</t>
  </si>
  <si>
    <t>75.072</t>
  </si>
  <si>
    <t>126.684</t>
  </si>
  <si>
    <t>164.22</t>
  </si>
  <si>
    <t>120.819</t>
  </si>
  <si>
    <t>132.549</t>
  </si>
  <si>
    <t>296.769</t>
  </si>
  <si>
    <t>133.722</t>
  </si>
  <si>
    <t>369.495</t>
  </si>
  <si>
    <t>297.942</t>
  </si>
  <si>
    <t>134.895</t>
  </si>
  <si>
    <t>211.14</t>
  </si>
  <si>
    <t>7.038</t>
  </si>
  <si>
    <t>198.237</t>
  </si>
  <si>
    <t>131.376</t>
  </si>
  <si>
    <t>392.955</t>
  </si>
  <si>
    <t>258.06</t>
  </si>
  <si>
    <t>405.858</t>
  </si>
  <si>
    <t>407.031</t>
  </si>
  <si>
    <t>99.705</t>
  </si>
  <si>
    <t>98.532</t>
  </si>
  <si>
    <t>78.591</t>
  </si>
  <si>
    <t>207.621</t>
  </si>
  <si>
    <t>83.283</t>
  </si>
  <si>
    <t>31.671</t>
  </si>
  <si>
    <t>51.612</t>
  </si>
  <si>
    <t>187.68</t>
  </si>
  <si>
    <t>193.545</t>
  </si>
  <si>
    <t>191.199</t>
  </si>
  <si>
    <t>188.853</t>
  </si>
  <si>
    <t>205.275</t>
  </si>
  <si>
    <t>32.844</t>
  </si>
  <si>
    <t>68.034</t>
  </si>
  <si>
    <t>171.258</t>
  </si>
  <si>
    <t>34.017</t>
  </si>
  <si>
    <t>87.975</t>
  </si>
  <si>
    <t>278.001</t>
  </si>
  <si>
    <t>327.267</t>
  </si>
  <si>
    <t>248.676</t>
  </si>
  <si>
    <t>260.406</t>
  </si>
  <si>
    <t>329.613</t>
  </si>
  <si>
    <t>274.482</t>
  </si>
  <si>
    <t>334.305</t>
  </si>
  <si>
    <t>153.663</t>
  </si>
  <si>
    <t>333.132</t>
  </si>
  <si>
    <t>335.478</t>
  </si>
  <si>
    <t>364.803</t>
  </si>
  <si>
    <t>365.976</t>
  </si>
  <si>
    <t>410.55</t>
  </si>
  <si>
    <t>396.474</t>
  </si>
  <si>
    <t>395.301</t>
  </si>
  <si>
    <t>48.093</t>
  </si>
  <si>
    <t>53.958</t>
  </si>
  <si>
    <t>43.401</t>
  </si>
  <si>
    <t>44.574</t>
  </si>
  <si>
    <t>45.747</t>
  </si>
  <si>
    <t>208.794</t>
  </si>
  <si>
    <t>202.929</t>
  </si>
  <si>
    <t>10.557</t>
  </si>
  <si>
    <t>229.908</t>
  </si>
  <si>
    <t>146.625</t>
  </si>
  <si>
    <t>97.359</t>
  </si>
  <si>
    <t>50.439</t>
  </si>
  <si>
    <t>161.874</t>
  </si>
  <si>
    <t>200.583</t>
  </si>
  <si>
    <t>118.473</t>
  </si>
  <si>
    <t>199.41</t>
  </si>
  <si>
    <t>251.022</t>
  </si>
  <si>
    <t>268.617</t>
  </si>
  <si>
    <t>255.714</t>
  </si>
  <si>
    <t>92.667</t>
  </si>
  <si>
    <t>140.76</t>
  </si>
  <si>
    <t>267.444</t>
  </si>
  <si>
    <t>150.144</t>
  </si>
  <si>
    <t>113.781</t>
  </si>
  <si>
    <t>306.153</t>
  </si>
  <si>
    <t>272.136</t>
  </si>
  <si>
    <t>275.655</t>
  </si>
  <si>
    <t>338.997</t>
  </si>
  <si>
    <t>127.857</t>
  </si>
  <si>
    <t>209.967</t>
  </si>
  <si>
    <t>93.84</t>
  </si>
  <si>
    <t>136.068</t>
  </si>
  <si>
    <t>79.764</t>
  </si>
  <si>
    <t>89.148</t>
  </si>
  <si>
    <t>381.225</t>
  </si>
  <si>
    <t>328.44</t>
  </si>
  <si>
    <t>382.398</t>
  </si>
  <si>
    <t>383.571</t>
  </si>
  <si>
    <t>247.503</t>
  </si>
  <si>
    <t>384.744</t>
  </si>
  <si>
    <t>178.296</t>
  </si>
  <si>
    <t>103.224</t>
  </si>
  <si>
    <t>104.397</t>
  </si>
  <si>
    <t>240.465</t>
  </si>
  <si>
    <t>105.57</t>
  </si>
  <si>
    <t>106.743</t>
  </si>
  <si>
    <t>107.916</t>
  </si>
  <si>
    <t>109.089</t>
  </si>
  <si>
    <t>22.287</t>
  </si>
  <si>
    <t>62.169</t>
  </si>
  <si>
    <t>166.566</t>
  </si>
  <si>
    <t>49.266</t>
  </si>
  <si>
    <t>55.131</t>
  </si>
  <si>
    <t>56.304</t>
  </si>
  <si>
    <t>35.19</t>
  </si>
  <si>
    <t>415.242</t>
  </si>
  <si>
    <t>403.512</t>
  </si>
  <si>
    <t>286.212</t>
  </si>
  <si>
    <t>315.537</t>
  </si>
  <si>
    <t>367.149</t>
  </si>
  <si>
    <t>270.963</t>
  </si>
  <si>
    <t>404.685</t>
  </si>
  <si>
    <t>313.191</t>
  </si>
  <si>
    <t>320.229</t>
  </si>
  <si>
    <t>317.883</t>
  </si>
  <si>
    <t>319.056</t>
  </si>
  <si>
    <t>321.402</t>
  </si>
  <si>
    <t>322.575</t>
  </si>
  <si>
    <t>323.748</t>
  </si>
  <si>
    <t>249.849</t>
  </si>
  <si>
    <t>374.187</t>
  </si>
  <si>
    <t>238.119</t>
  </si>
  <si>
    <t>82.11</t>
  </si>
  <si>
    <t>239.292</t>
  </si>
  <si>
    <t>385.917</t>
  </si>
  <si>
    <t>36.363</t>
  </si>
  <si>
    <t>23.46</t>
  </si>
  <si>
    <t>221.697</t>
  </si>
  <si>
    <t>225.216</t>
  </si>
  <si>
    <t>354.246</t>
  </si>
  <si>
    <t>234.6</t>
  </si>
  <si>
    <t>215.832</t>
  </si>
  <si>
    <t>214.659</t>
  </si>
  <si>
    <t>227.562</t>
  </si>
  <si>
    <t>307.326</t>
  </si>
  <si>
    <t>285.039</t>
  </si>
  <si>
    <t>224.043</t>
  </si>
  <si>
    <t>217.005</t>
  </si>
  <si>
    <t>218.178</t>
  </si>
  <si>
    <t>219.351</t>
  </si>
  <si>
    <t>220.524</t>
  </si>
  <si>
    <t>288.558</t>
  </si>
  <si>
    <t>145.452</t>
  </si>
  <si>
    <t>351.9</t>
  </si>
  <si>
    <t>276.828</t>
  </si>
  <si>
    <t>300.288</t>
  </si>
  <si>
    <t>295.596</t>
  </si>
  <si>
    <t>236.946</t>
  </si>
  <si>
    <t>222.87</t>
  </si>
  <si>
    <t>156.009</t>
  </si>
  <si>
    <t>16:00</t>
  </si>
  <si>
    <t>19:10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</si>
</sst>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&quot;£&quot;* #,##0.00_-;\-&quot;£&quot;* #,##0.00_-;_-&quot;£&quot;* &quot;-&quot;??_-;_-@_-"/>
    <numFmt numFmtId="165" formatCode="0.0"/>
    <numFmt numFmtId="166" formatCode="0.000"/>
    <numFmt numFmtId="167" formatCode="0.0000"/>
    <numFmt numFmtId="168" formatCode="0.0000000"/>
    <numFmt numFmtId="169" formatCode="#,##0.0"/>
    <numFmt numFmtId="170" formatCode="#,##0_ ;\-#,##0\ "/>
    <numFmt numFmtId="171" formatCode="0.00_ ;[Red]\-0.00\ "/>
    <numFmt numFmtId="172" formatCode="0.0_ ;[Red]\-0.0\ "/>
    <numFmt numFmtId="173" formatCode="h:mm;@"/>
  </numFmts>
  <fonts count="189" x14ac:knownFonts="1">
    <font>
      <sz val="12"/>
      <name val="Arial Cyr"/>
      <charset val="204"/>
    </font>
    <font>
      <sz val="12"/>
      <name val="Arial Cyr"/>
      <charset val="204"/>
    </font>
    <font>
      <sz val="10"/>
      <name val="Arial Cyr"/>
      <family val="2"/>
      <charset val="204"/>
    </font>
    <font>
      <b/>
      <i/>
      <sz val="10"/>
      <name val="Arial Cyr"/>
      <family val="2"/>
      <charset val="204"/>
    </font>
    <font>
      <b/>
      <sz val="14"/>
      <name val="Arial Cyr"/>
      <family val="2"/>
      <charset val="204"/>
    </font>
    <font>
      <i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Arial Cyr"/>
      <charset val="204"/>
    </font>
    <font>
      <b/>
      <i/>
      <sz val="14"/>
      <name val="Arial Cyr"/>
      <family val="2"/>
      <charset val="204"/>
    </font>
    <font>
      <sz val="10"/>
      <color indexed="10"/>
      <name val="Arial Cyr"/>
      <family val="2"/>
      <charset val="204"/>
    </font>
    <font>
      <b/>
      <i/>
      <vertAlign val="subscript"/>
      <sz val="10"/>
      <name val="Arial Cyr"/>
      <family val="2"/>
      <charset val="204"/>
    </font>
    <font>
      <b/>
      <i/>
      <sz val="10"/>
      <name val="Arial Cyr"/>
      <charset val="204"/>
    </font>
    <font>
      <sz val="12"/>
      <name val="Arial Cyr"/>
      <family val="2"/>
      <charset val="204"/>
    </font>
    <font>
      <i/>
      <sz val="14"/>
      <name val="Arial Cyr"/>
      <family val="2"/>
      <charset val="204"/>
    </font>
    <font>
      <sz val="14"/>
      <name val="Arial Cyr"/>
      <family val="2"/>
      <charset val="204"/>
    </font>
    <font>
      <b/>
      <sz val="14"/>
      <color indexed="10"/>
      <name val="Arial Cyr"/>
      <family val="2"/>
      <charset val="204"/>
    </font>
    <font>
      <i/>
      <sz val="11"/>
      <name val="Arial Cyr"/>
      <charset val="204"/>
    </font>
    <font>
      <b/>
      <sz val="12"/>
      <name val="Arial Cyr"/>
      <charset val="204"/>
    </font>
    <font>
      <b/>
      <sz val="10"/>
      <name val="Arial Cyr"/>
      <charset val="204"/>
    </font>
    <font>
      <i/>
      <sz val="12"/>
      <name val="Arial Cyr"/>
      <charset val="204"/>
    </font>
    <font>
      <sz val="12"/>
      <name val="Arial Cyr"/>
      <charset val="204"/>
    </font>
    <font>
      <b/>
      <i/>
      <sz val="12"/>
      <name val="Arial Cyr"/>
      <charset val="204"/>
    </font>
    <font>
      <b/>
      <i/>
      <sz val="14"/>
      <name val="Arial Cyr"/>
      <charset val="204"/>
    </font>
    <font>
      <b/>
      <i/>
      <sz val="11"/>
      <name val="Arial Cyr"/>
      <charset val="204"/>
    </font>
    <font>
      <i/>
      <sz val="10"/>
      <name val="Arial Cyr"/>
      <charset val="204"/>
    </font>
    <font>
      <b/>
      <i/>
      <sz val="12"/>
      <color indexed="10"/>
      <name val="Arial Cyr"/>
      <charset val="204"/>
    </font>
    <font>
      <b/>
      <i/>
      <sz val="12"/>
      <color indexed="10"/>
      <name val="Bookman Old Style"/>
      <family val="1"/>
    </font>
    <font>
      <b/>
      <i/>
      <sz val="12"/>
      <color indexed="12"/>
      <name val="Arial Cyr"/>
      <family val="2"/>
      <charset val="204"/>
    </font>
    <font>
      <b/>
      <i/>
      <sz val="12"/>
      <color indexed="12"/>
      <name val="Bookman Old Style"/>
      <family val="1"/>
    </font>
    <font>
      <b/>
      <i/>
      <sz val="16"/>
      <name val="Arial Cyr"/>
      <charset val="204"/>
    </font>
    <font>
      <sz val="13"/>
      <name val="Arial Cyr"/>
      <charset val="204"/>
    </font>
    <font>
      <i/>
      <sz val="13"/>
      <name val="Arial Cyr"/>
      <charset val="204"/>
    </font>
    <font>
      <sz val="11"/>
      <name val="Calibri"/>
      <family val="2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2"/>
      <color indexed="10"/>
      <name val="Arial Cyr"/>
      <charset val="204"/>
    </font>
    <font>
      <i/>
      <sz val="11"/>
      <color indexed="10"/>
      <name val="Arial Cyr"/>
      <charset val="204"/>
    </font>
    <font>
      <sz val="11"/>
      <name val="Calibri"/>
      <family val="2"/>
      <charset val="204"/>
    </font>
    <font>
      <sz val="11"/>
      <name val="Calibri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1"/>
      <name val="Calibri"/>
      <family val="2"/>
      <charset val="204"/>
    </font>
    <font>
      <sz val="11"/>
      <name val="Calibri"/>
      <family val="2"/>
      <charset val="204"/>
    </font>
    <font>
      <sz val="11"/>
      <name val="Calibri"/>
      <family val="2"/>
      <charset val="204"/>
    </font>
    <font>
      <b/>
      <i/>
      <sz val="18"/>
      <name val="Arial Cyr"/>
      <charset val="204"/>
    </font>
    <font>
      <i/>
      <sz val="12"/>
      <color indexed="10"/>
      <name val="Arial Cyr"/>
      <charset val="204"/>
    </font>
    <font>
      <sz val="12"/>
      <name val="Franklin Gothic Book"/>
      <family val="2"/>
      <charset val="204"/>
    </font>
    <font>
      <sz val="11"/>
      <name val="Calibri"/>
      <family val="2"/>
      <charset val="204"/>
    </font>
    <font>
      <sz val="11"/>
      <name val="Calibri"/>
      <family val="2"/>
      <charset val="204"/>
    </font>
    <font>
      <b/>
      <i/>
      <sz val="12"/>
      <name val="Arial"/>
      <family val="2"/>
      <charset val="204"/>
    </font>
    <font>
      <sz val="11"/>
      <name val="Calibri"/>
      <family val="2"/>
      <charset val="204"/>
    </font>
    <font>
      <sz val="11"/>
      <name val="Calibri"/>
      <family val="2"/>
      <charset val="204"/>
    </font>
    <font>
      <b/>
      <sz val="14"/>
      <name val="Arial Cyr"/>
      <charset val="204"/>
    </font>
    <font>
      <b/>
      <i/>
      <sz val="11"/>
      <name val="Arial"/>
      <family val="2"/>
      <charset val="204"/>
    </font>
    <font>
      <i/>
      <sz val="12"/>
      <name val="Arial"/>
      <family val="2"/>
      <charset val="204"/>
    </font>
    <font>
      <sz val="11"/>
      <name val="Calibri"/>
      <family val="2"/>
      <charset val="204"/>
    </font>
    <font>
      <sz val="11"/>
      <name val="Calibri"/>
      <family val="2"/>
      <charset val="204"/>
    </font>
    <font>
      <i/>
      <sz val="10"/>
      <name val="Arial"/>
      <family val="2"/>
      <charset val="204"/>
    </font>
    <font>
      <sz val="11"/>
      <name val="Calibri"/>
      <family val="2"/>
      <charset val="204"/>
    </font>
    <font>
      <b/>
      <i/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i/>
      <sz val="10"/>
      <color indexed="10"/>
      <name val="Arial"/>
      <family val="2"/>
      <charset val="204"/>
    </font>
    <font>
      <sz val="10"/>
      <color indexed="10"/>
      <name val="Arial"/>
      <family val="2"/>
      <charset val="204"/>
    </font>
    <font>
      <sz val="11"/>
      <name val="Calibri"/>
      <family val="2"/>
      <charset val="204"/>
    </font>
    <font>
      <sz val="11"/>
      <name val="Calibri"/>
      <family val="2"/>
      <charset val="204"/>
    </font>
    <font>
      <i/>
      <sz val="10"/>
      <color indexed="10"/>
      <name val="Arial"/>
      <family val="2"/>
      <charset val="204"/>
    </font>
    <font>
      <sz val="11"/>
      <name val="Calibri"/>
      <family val="2"/>
      <charset val="204"/>
    </font>
    <font>
      <sz val="11"/>
      <name val="Calibri"/>
      <family val="2"/>
      <charset val="204"/>
    </font>
    <font>
      <sz val="14"/>
      <name val="Arial Cyr"/>
      <charset val="204"/>
    </font>
    <font>
      <b/>
      <sz val="16"/>
      <name val="Arial"/>
      <family val="2"/>
      <charset val="204"/>
    </font>
    <font>
      <b/>
      <u/>
      <sz val="10"/>
      <name val="Arial"/>
      <family val="2"/>
      <charset val="204"/>
    </font>
    <font>
      <sz val="11"/>
      <name val="Calibri"/>
      <family val="2"/>
      <charset val="204"/>
    </font>
    <font>
      <sz val="14"/>
      <name val="Arial"/>
      <family val="2"/>
      <charset val="204"/>
    </font>
    <font>
      <b/>
      <sz val="14"/>
      <name val="Arial"/>
      <family val="2"/>
      <charset val="204"/>
    </font>
    <font>
      <sz val="11"/>
      <name val="Calibri"/>
      <family val="2"/>
      <charset val="204"/>
    </font>
    <font>
      <sz val="11"/>
      <name val="Calibri"/>
      <family val="2"/>
      <charset val="204"/>
    </font>
    <font>
      <b/>
      <i/>
      <sz val="18"/>
      <name val="Arial"/>
      <family val="2"/>
      <charset val="204"/>
    </font>
    <font>
      <b/>
      <sz val="18"/>
      <name val="Arial"/>
      <family val="2"/>
      <charset val="204"/>
    </font>
    <font>
      <sz val="16"/>
      <name val="Arial"/>
      <family val="2"/>
      <charset val="204"/>
    </font>
    <font>
      <sz val="11"/>
      <name val="Calibri"/>
      <family val="2"/>
      <charset val="204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sz val="11"/>
      <name val="Calibri"/>
      <family val="2"/>
      <charset val="204"/>
    </font>
    <font>
      <sz val="11"/>
      <name val="Calibri"/>
      <family val="2"/>
      <charset val="204"/>
    </font>
    <font>
      <i/>
      <sz val="16"/>
      <name val="Arial"/>
      <family val="2"/>
      <charset val="204"/>
    </font>
    <font>
      <sz val="18"/>
      <name val="Arial"/>
      <family val="2"/>
      <charset val="204"/>
    </font>
    <font>
      <sz val="18"/>
      <name val="Arial Cyr"/>
      <charset val="204"/>
    </font>
    <font>
      <sz val="12"/>
      <color indexed="8"/>
      <name val="Arial"/>
      <family val="2"/>
      <charset val="204"/>
    </font>
    <font>
      <b/>
      <sz val="12"/>
      <color indexed="8"/>
      <name val="Arial"/>
      <family val="2"/>
      <charset val="204"/>
    </font>
    <font>
      <b/>
      <i/>
      <sz val="14"/>
      <name val="Arial"/>
      <family val="2"/>
      <charset val="204"/>
    </font>
    <font>
      <b/>
      <i/>
      <sz val="13"/>
      <name val="Arial"/>
      <family val="2"/>
      <charset val="204"/>
    </font>
    <font>
      <i/>
      <sz val="11"/>
      <name val="Arial"/>
      <family val="2"/>
      <charset val="204"/>
    </font>
    <font>
      <i/>
      <sz val="14"/>
      <name val="Arial"/>
      <family val="2"/>
      <charset val="204"/>
    </font>
    <font>
      <i/>
      <sz val="13"/>
      <name val="Arial"/>
      <family val="2"/>
      <charset val="204"/>
    </font>
    <font>
      <b/>
      <i/>
      <sz val="16"/>
      <name val="Arial"/>
      <family val="2"/>
      <charset val="204"/>
    </font>
    <font>
      <sz val="16"/>
      <name val="Calibri"/>
      <family val="2"/>
      <charset val="204"/>
    </font>
    <font>
      <sz val="16"/>
      <name val="Arial Cyr"/>
      <charset val="204"/>
    </font>
    <font>
      <i/>
      <sz val="16"/>
      <name val="Arial Cyr"/>
      <charset val="204"/>
    </font>
    <font>
      <b/>
      <sz val="13"/>
      <name val="Arial"/>
      <family val="2"/>
      <charset val="204"/>
    </font>
    <font>
      <sz val="13"/>
      <name val="Arial"/>
      <family val="2"/>
      <charset val="204"/>
    </font>
    <font>
      <b/>
      <i/>
      <sz val="15"/>
      <name val="Arial"/>
      <family val="2"/>
      <charset val="204"/>
    </font>
    <font>
      <b/>
      <i/>
      <sz val="15"/>
      <name val="Arial Cyr"/>
      <charset val="204"/>
    </font>
    <font>
      <sz val="15"/>
      <name val="Calibri"/>
      <family val="2"/>
      <charset val="204"/>
    </font>
    <font>
      <sz val="15"/>
      <name val="Arial Cyr"/>
      <charset val="204"/>
    </font>
    <font>
      <i/>
      <sz val="15"/>
      <name val="Arial Cyr"/>
      <charset val="204"/>
    </font>
    <font>
      <b/>
      <i/>
      <sz val="11"/>
      <name val="Calibri"/>
      <family val="2"/>
      <charset val="204"/>
    </font>
    <font>
      <sz val="12"/>
      <name val="Calibri"/>
      <family val="2"/>
      <charset val="204"/>
    </font>
    <font>
      <b/>
      <sz val="12"/>
      <name val="Calibri"/>
      <family val="2"/>
      <charset val="204"/>
    </font>
    <font>
      <b/>
      <i/>
      <sz val="12"/>
      <name val="Calibri"/>
      <family val="2"/>
      <charset val="204"/>
    </font>
    <font>
      <i/>
      <sz val="14"/>
      <name val="Arial Cyr"/>
      <charset val="204"/>
    </font>
    <font>
      <i/>
      <sz val="11"/>
      <name val="Calibri"/>
      <family val="2"/>
      <charset val="204"/>
    </font>
    <font>
      <b/>
      <sz val="16"/>
      <name val="Arial Cyr"/>
      <charset val="204"/>
    </font>
    <font>
      <b/>
      <sz val="12"/>
      <color rgb="FFFF0000"/>
      <name val="Arial Cyr"/>
      <charset val="204"/>
    </font>
    <font>
      <sz val="12"/>
      <color rgb="FFFF0000"/>
      <name val="Arial Cyr"/>
      <charset val="204"/>
    </font>
    <font>
      <sz val="10"/>
      <color theme="0"/>
      <name val="Arial Cyr"/>
      <charset val="204"/>
    </font>
    <font>
      <sz val="11"/>
      <color theme="0"/>
      <name val="Calibri"/>
      <family val="2"/>
      <charset val="204"/>
    </font>
    <font>
      <b/>
      <sz val="10"/>
      <color theme="0"/>
      <name val="Arial Cyr"/>
      <charset val="204"/>
    </font>
    <font>
      <b/>
      <sz val="16"/>
      <color rgb="FFFF0000"/>
      <name val="Arial Cyr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 Cyr"/>
      <charset val="204"/>
    </font>
    <font>
      <sz val="11"/>
      <color theme="1"/>
      <name val="Calibri"/>
      <family val="2"/>
      <charset val="204"/>
    </font>
    <font>
      <b/>
      <i/>
      <sz val="12"/>
      <color theme="0"/>
      <name val="Arial Cyr"/>
      <charset val="204"/>
    </font>
    <font>
      <sz val="12"/>
      <color theme="0"/>
      <name val="Arial Cyr"/>
      <charset val="204"/>
    </font>
    <font>
      <i/>
      <sz val="12"/>
      <color theme="0"/>
      <name val="Arial Cyr"/>
      <charset val="204"/>
    </font>
    <font>
      <b/>
      <sz val="14"/>
      <color rgb="FFFF0000"/>
      <name val="Arial"/>
      <family val="2"/>
      <charset val="204"/>
    </font>
    <font>
      <sz val="10"/>
      <color theme="0"/>
      <name val="Arial"/>
      <family val="2"/>
      <charset val="204"/>
    </font>
    <font>
      <b/>
      <sz val="11"/>
      <color theme="0"/>
      <name val="Arial"/>
      <family val="2"/>
      <charset val="204"/>
    </font>
    <font>
      <b/>
      <sz val="14"/>
      <color rgb="FFC00000"/>
      <name val="Arial"/>
      <family val="2"/>
      <charset val="204"/>
    </font>
    <font>
      <sz val="11"/>
      <color rgb="FFC00000"/>
      <name val="Calibri"/>
      <family val="2"/>
      <charset val="204"/>
    </font>
    <font>
      <b/>
      <sz val="11"/>
      <color rgb="FFC00000"/>
      <name val="Arial"/>
      <family val="2"/>
      <charset val="204"/>
    </font>
    <font>
      <b/>
      <i/>
      <sz val="12"/>
      <color rgb="FFC00000"/>
      <name val="Arial Cyr"/>
      <charset val="204"/>
    </font>
    <font>
      <b/>
      <sz val="12"/>
      <color rgb="FFFF0000"/>
      <name val="Arial"/>
      <family val="2"/>
      <charset val="204"/>
    </font>
    <font>
      <b/>
      <sz val="12"/>
      <color rgb="FFC00000"/>
      <name val="Arial"/>
      <family val="2"/>
      <charset val="204"/>
    </font>
    <font>
      <b/>
      <i/>
      <sz val="12"/>
      <color rgb="FFC00000"/>
      <name val="Arial"/>
      <family val="2"/>
      <charset val="204"/>
    </font>
    <font>
      <b/>
      <i/>
      <sz val="12"/>
      <color theme="0"/>
      <name val="Arial"/>
      <family val="2"/>
      <charset val="204"/>
    </font>
    <font>
      <b/>
      <i/>
      <sz val="14"/>
      <color rgb="FFFF0000"/>
      <name val="Arial"/>
      <family val="2"/>
      <charset val="204"/>
    </font>
    <font>
      <b/>
      <i/>
      <sz val="11"/>
      <color rgb="FFC00000"/>
      <name val="Arial"/>
      <family val="2"/>
      <charset val="204"/>
    </font>
    <font>
      <sz val="11"/>
      <color rgb="FF7030A0"/>
      <name val="Calibri"/>
      <family val="2"/>
      <charset val="204"/>
    </font>
    <font>
      <sz val="11"/>
      <color rgb="FF0070C0"/>
      <name val="Calibri"/>
      <family val="2"/>
      <charset val="204"/>
    </font>
    <font>
      <b/>
      <sz val="16"/>
      <color rgb="FFC00000"/>
      <name val="Arial"/>
      <family val="2"/>
      <charset val="204"/>
    </font>
    <font>
      <b/>
      <sz val="12"/>
      <color theme="0"/>
      <name val="Arial"/>
      <family val="2"/>
      <charset val="204"/>
    </font>
    <font>
      <i/>
      <sz val="11"/>
      <color rgb="FFFF0000"/>
      <name val="Arial"/>
      <family val="2"/>
      <charset val="204"/>
    </font>
    <font>
      <b/>
      <i/>
      <sz val="12"/>
      <color theme="1"/>
      <name val="Arial"/>
      <family val="2"/>
      <charset val="204"/>
    </font>
    <font>
      <b/>
      <i/>
      <sz val="14"/>
      <color rgb="FF0070C0"/>
      <name val="Arial"/>
      <family val="2"/>
      <charset val="204"/>
    </font>
    <font>
      <b/>
      <i/>
      <sz val="13"/>
      <color rgb="FFC00000"/>
      <name val="Arial"/>
      <family val="2"/>
      <charset val="204"/>
    </font>
    <font>
      <i/>
      <sz val="14"/>
      <color rgb="FF0070C0"/>
      <name val="Arial"/>
      <family val="2"/>
      <charset val="204"/>
    </font>
    <font>
      <i/>
      <sz val="13"/>
      <color rgb="FFC00000"/>
      <name val="Arial"/>
      <family val="2"/>
      <charset val="204"/>
    </font>
    <font>
      <i/>
      <sz val="12"/>
      <color theme="1"/>
      <name val="Arial"/>
      <family val="2"/>
      <charset val="204"/>
    </font>
    <font>
      <b/>
      <sz val="18"/>
      <color rgb="FFFF0000"/>
      <name val="Arial"/>
      <family val="2"/>
      <charset val="204"/>
    </font>
    <font>
      <b/>
      <i/>
      <sz val="12"/>
      <color rgb="FFFF0000"/>
      <name val="Arial"/>
      <family val="2"/>
      <charset val="204"/>
    </font>
    <font>
      <b/>
      <i/>
      <sz val="14"/>
      <color theme="0"/>
      <name val="Arial"/>
      <family val="2"/>
      <charset val="204"/>
    </font>
    <font>
      <i/>
      <sz val="12"/>
      <color rgb="FFC00000"/>
      <name val="Arial"/>
      <family val="2"/>
      <charset val="204"/>
    </font>
    <font>
      <b/>
      <i/>
      <sz val="13"/>
      <color rgb="FFFF0000"/>
      <name val="Arial"/>
      <family val="2"/>
      <charset val="204"/>
    </font>
    <font>
      <sz val="12"/>
      <color rgb="FFFF0000"/>
      <name val="Calibri"/>
      <family val="2"/>
      <charset val="204"/>
    </font>
    <font>
      <sz val="12"/>
      <color rgb="FFC00000"/>
      <name val="Calibri"/>
      <family val="2"/>
      <charset val="204"/>
    </font>
    <font>
      <b/>
      <i/>
      <sz val="18"/>
      <color rgb="FFFF0000"/>
      <name val="Calibri"/>
      <family val="2"/>
      <charset val="204"/>
    </font>
    <font>
      <b/>
      <sz val="16"/>
      <color theme="0"/>
      <name val="Arial"/>
      <family val="2"/>
      <charset val="204"/>
    </font>
    <font>
      <b/>
      <i/>
      <sz val="16"/>
      <color rgb="FFFF0000"/>
      <name val="Arial"/>
      <family val="2"/>
      <charset val="204"/>
    </font>
    <font>
      <b/>
      <sz val="16"/>
      <color rgb="FFFF0000"/>
      <name val="Arial"/>
      <family val="2"/>
      <charset val="204"/>
    </font>
    <font>
      <b/>
      <i/>
      <sz val="16"/>
      <color rgb="FFC00000"/>
      <name val="Arial"/>
      <family val="2"/>
      <charset val="204"/>
    </font>
    <font>
      <b/>
      <i/>
      <sz val="14"/>
      <color rgb="FFC00000"/>
      <name val="Arial"/>
      <family val="2"/>
      <charset val="204"/>
    </font>
    <font>
      <b/>
      <sz val="14"/>
      <color theme="0"/>
      <name val="Arial"/>
      <family val="2"/>
      <charset val="204"/>
    </font>
    <font>
      <b/>
      <sz val="11"/>
      <color rgb="FFC00000"/>
      <name val="Calibri"/>
      <family val="2"/>
      <charset val="204"/>
    </font>
    <font>
      <i/>
      <sz val="14"/>
      <color rgb="FFC00000"/>
      <name val="Arial"/>
      <family val="2"/>
      <charset val="204"/>
    </font>
    <font>
      <b/>
      <sz val="13"/>
      <color theme="0"/>
      <name val="Arial"/>
      <family val="2"/>
      <charset val="204"/>
    </font>
    <font>
      <b/>
      <i/>
      <sz val="14"/>
      <color rgb="FFFF0000"/>
      <name val="Arial Cyr"/>
      <charset val="204"/>
    </font>
    <font>
      <b/>
      <i/>
      <sz val="12"/>
      <color rgb="FFFF0000"/>
      <name val="Arial Cyr"/>
      <charset val="204"/>
    </font>
    <font>
      <b/>
      <sz val="12"/>
      <color rgb="FFFF0000"/>
      <name val="Arial Cyr"/>
      <family val="2"/>
      <charset val="204"/>
    </font>
    <font>
      <b/>
      <i/>
      <sz val="15"/>
      <color rgb="FFFF0000"/>
      <name val="Arial"/>
      <family val="2"/>
      <charset val="204"/>
    </font>
    <font>
      <b/>
      <i/>
      <sz val="15"/>
      <color rgb="FFFF0000"/>
      <name val="Arial Cyr"/>
      <charset val="204"/>
    </font>
    <font>
      <i/>
      <sz val="16"/>
      <color rgb="FFFF0000"/>
      <name val="Arial Cyr"/>
      <charset val="204"/>
    </font>
    <font>
      <i/>
      <sz val="11"/>
      <color rgb="FFFF0000"/>
      <name val="Arial Cyr"/>
      <charset val="204"/>
    </font>
    <font>
      <i/>
      <sz val="10"/>
      <color rgb="FFFF0000"/>
      <name val="Arial Cyr"/>
      <charset val="204"/>
    </font>
    <font>
      <sz val="12"/>
      <color rgb="FFFF0000"/>
      <name val="Arial Cyr"/>
      <family val="2"/>
      <charset val="204"/>
    </font>
    <font>
      <i/>
      <sz val="14"/>
      <color rgb="FFFF0000"/>
      <name val="Arial"/>
      <family val="2"/>
      <charset val="204"/>
    </font>
    <font>
      <b/>
      <i/>
      <sz val="18"/>
      <color rgb="FFFF0000"/>
      <name val="Arial"/>
      <family val="2"/>
      <charset val="204"/>
    </font>
    <font>
      <b/>
      <i/>
      <sz val="18"/>
      <color rgb="FFC00000"/>
      <name val="Arial"/>
      <family val="2"/>
      <charset val="204"/>
    </font>
    <font>
      <sz val="12"/>
      <color theme="0"/>
      <name val="Arial"/>
      <family val="2"/>
      <charset val="204"/>
    </font>
    <font>
      <b/>
      <i/>
      <sz val="10"/>
      <color theme="0"/>
      <name val="Arial"/>
      <family val="2"/>
      <charset val="204"/>
    </font>
    <font>
      <sz val="12"/>
      <color theme="0"/>
      <name val="Calibri"/>
      <family val="2"/>
      <charset val="204"/>
    </font>
    <font>
      <b/>
      <i/>
      <sz val="13"/>
      <color theme="0"/>
      <name val="Arial"/>
      <family val="2"/>
      <charset val="204"/>
    </font>
    <font>
      <b/>
      <sz val="14"/>
      <color rgb="FFC00000"/>
      <name val="Calibri"/>
      <family val="2"/>
      <charset val="204"/>
    </font>
    <font>
      <sz val="10"/>
      <color rgb="FFFF0000"/>
      <name val="Arial Cyr"/>
      <charset val="204"/>
    </font>
    <font>
      <b/>
      <sz val="11"/>
      <color theme="1"/>
      <name val="Calibri"/>
      <family val="2"/>
      <charset val="204"/>
    </font>
    <font>
      <b/>
      <sz val="11"/>
      <color rgb="FF0070C0"/>
      <name val="Calibri"/>
      <family val="2"/>
      <charset val="204"/>
    </font>
    <font>
      <sz val="12"/>
      <color theme="1"/>
      <name val="Arial"/>
      <family val="2"/>
      <charset val="204"/>
    </font>
    <font>
      <sz val="14"/>
      <color theme="1"/>
      <name val="Arial"/>
      <family val="2"/>
      <charset val="204"/>
    </font>
    <font>
      <b/>
      <i/>
      <sz val="20"/>
      <color rgb="FFC00000"/>
      <name val="Arial"/>
      <family val="2"/>
      <charset val="204"/>
    </font>
  </fonts>
  <fills count="23">
    <fill>
      <patternFill patternType="none"/>
    </fill>
    <fill>
      <patternFill patternType="gray125"/>
    </fill>
    <fill>
      <patternFill patternType="lightTrellis">
        <fgColor indexed="46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7" fillId="0" borderId="0" applyBorder="0"/>
    <xf numFmtId="0" fontId="7" fillId="0" borderId="0"/>
  </cellStyleXfs>
  <cellXfs count="2419">
    <xf numFmtId="0" fontId="0" fillId="0" borderId="0" xfId="0"/>
    <xf numFmtId="0" fontId="2" fillId="0" borderId="0" xfId="0" applyFont="1" applyBorder="1"/>
    <xf numFmtId="0" fontId="2" fillId="0" borderId="1" xfId="0" applyFont="1" applyBorder="1" applyAlignment="1"/>
    <xf numFmtId="0" fontId="2" fillId="0" borderId="0" xfId="0" applyFont="1" applyBorder="1" applyAlignment="1"/>
    <xf numFmtId="0" fontId="7" fillId="0" borderId="0" xfId="0" applyFont="1"/>
    <xf numFmtId="0" fontId="5" fillId="0" borderId="0" xfId="0" applyFont="1"/>
    <xf numFmtId="0" fontId="2" fillId="0" borderId="0" xfId="0" applyFont="1"/>
    <xf numFmtId="0" fontId="3" fillId="0" borderId="0" xfId="0" applyFont="1"/>
    <xf numFmtId="0" fontId="6" fillId="0" borderId="0" xfId="0" applyFont="1" applyFill="1" applyBorder="1" applyAlignment="1"/>
    <xf numFmtId="0" fontId="7" fillId="0" borderId="0" xfId="0" applyFont="1" applyAlignment="1"/>
    <xf numFmtId="0" fontId="6" fillId="0" borderId="0" xfId="0" applyFont="1" applyFill="1" applyBorder="1"/>
    <xf numFmtId="0" fontId="2" fillId="0" borderId="0" xfId="0" applyFont="1" applyFill="1" applyBorder="1"/>
    <xf numFmtId="2" fontId="7" fillId="0" borderId="0" xfId="0" applyNumberFormat="1" applyFont="1"/>
    <xf numFmtId="1" fontId="2" fillId="0" borderId="0" xfId="0" applyNumberFormat="1" applyFont="1" applyFill="1" applyBorder="1"/>
    <xf numFmtId="0" fontId="2" fillId="2" borderId="2" xfId="0" applyFont="1" applyFill="1" applyBorder="1" applyAlignment="1">
      <alignment horizontal="center"/>
    </xf>
    <xf numFmtId="2" fontId="2" fillId="0" borderId="0" xfId="0" applyNumberFormat="1" applyFont="1" applyFill="1" applyBorder="1"/>
    <xf numFmtId="166" fontId="7" fillId="0" borderId="0" xfId="0" applyNumberFormat="1" applyFont="1"/>
    <xf numFmtId="0" fontId="13" fillId="0" borderId="0" xfId="0" applyFont="1" applyAlignment="1">
      <alignment horizontal="center"/>
    </xf>
    <xf numFmtId="0" fontId="14" fillId="0" borderId="0" xfId="0" applyFont="1" applyBorder="1"/>
    <xf numFmtId="165" fontId="15" fillId="0" borderId="0" xfId="0" applyNumberFormat="1" applyFont="1"/>
    <xf numFmtId="0" fontId="17" fillId="0" borderId="0" xfId="0" applyFont="1"/>
    <xf numFmtId="0" fontId="1" fillId="0" borderId="0" xfId="0" applyFont="1"/>
    <xf numFmtId="0" fontId="9" fillId="0" borderId="0" xfId="0" applyFont="1" applyFill="1"/>
    <xf numFmtId="0" fontId="18" fillId="0" borderId="0" xfId="0" applyFont="1"/>
    <xf numFmtId="0" fontId="20" fillId="0" borderId="0" xfId="0" applyFont="1"/>
    <xf numFmtId="0" fontId="21" fillId="0" borderId="0" xfId="0" applyFont="1"/>
    <xf numFmtId="1" fontId="18" fillId="0" borderId="0" xfId="0" applyNumberFormat="1" applyFont="1" applyFill="1" applyBorder="1" applyAlignment="1">
      <alignment horizontal="center"/>
    </xf>
    <xf numFmtId="1" fontId="11" fillId="0" borderId="0" xfId="0" applyNumberFormat="1" applyFont="1" applyFill="1" applyBorder="1" applyAlignment="1">
      <alignment horizontal="center"/>
    </xf>
    <xf numFmtId="0" fontId="18" fillId="0" borderId="0" xfId="0" applyFont="1" applyFill="1" applyBorder="1"/>
    <xf numFmtId="2" fontId="18" fillId="0" borderId="0" xfId="0" applyNumberFormat="1" applyFont="1" applyFill="1" applyBorder="1"/>
    <xf numFmtId="1" fontId="18" fillId="0" borderId="0" xfId="0" applyNumberFormat="1" applyFont="1"/>
    <xf numFmtId="0" fontId="22" fillId="0" borderId="0" xfId="0" applyFont="1" applyAlignment="1">
      <alignment horizontal="right"/>
    </xf>
    <xf numFmtId="0" fontId="8" fillId="0" borderId="0" xfId="0" applyFont="1" applyBorder="1" applyAlignment="1">
      <alignment horizontal="center"/>
    </xf>
    <xf numFmtId="1" fontId="16" fillId="0" borderId="0" xfId="0" applyNumberFormat="1" applyFont="1" applyFill="1" applyBorder="1" applyAlignment="1">
      <alignment horizontal="center"/>
    </xf>
    <xf numFmtId="165" fontId="24" fillId="0" borderId="0" xfId="0" applyNumberFormat="1" applyFont="1" applyFill="1" applyBorder="1" applyAlignment="1">
      <alignment horizontal="center"/>
    </xf>
    <xf numFmtId="0" fontId="7" fillId="0" borderId="0" xfId="0" applyFont="1" applyFill="1"/>
    <xf numFmtId="0" fontId="25" fillId="3" borderId="0" xfId="0" applyFont="1" applyFill="1"/>
    <xf numFmtId="165" fontId="26" fillId="0" borderId="0" xfId="0" applyNumberFormat="1" applyFont="1"/>
    <xf numFmtId="0" fontId="27" fillId="3" borderId="0" xfId="0" applyFont="1" applyFill="1"/>
    <xf numFmtId="165" fontId="28" fillId="3" borderId="0" xfId="0" applyNumberFormat="1" applyFont="1" applyFill="1"/>
    <xf numFmtId="2" fontId="21" fillId="0" borderId="0" xfId="0" applyNumberFormat="1" applyFont="1"/>
    <xf numFmtId="0" fontId="7" fillId="0" borderId="0" xfId="0" applyFont="1" applyBorder="1"/>
    <xf numFmtId="0" fontId="24" fillId="0" borderId="0" xfId="0" applyFont="1" applyFill="1" applyBorder="1" applyAlignment="1">
      <alignment horizontal="center"/>
    </xf>
    <xf numFmtId="0" fontId="1" fillId="0" borderId="0" xfId="0" applyFont="1" applyBorder="1"/>
    <xf numFmtId="2" fontId="12" fillId="0" borderId="0" xfId="0" applyNumberFormat="1" applyFont="1"/>
    <xf numFmtId="0" fontId="21" fillId="0" borderId="0" xfId="0" applyFont="1" applyAlignment="1">
      <alignment horizontal="center"/>
    </xf>
    <xf numFmtId="169" fontId="7" fillId="0" borderId="0" xfId="0" applyNumberFormat="1" applyFont="1"/>
    <xf numFmtId="1" fontId="7" fillId="0" borderId="0" xfId="0" applyNumberFormat="1" applyFont="1"/>
    <xf numFmtId="0" fontId="7" fillId="0" borderId="0" xfId="0" applyFont="1" applyFill="1" applyBorder="1"/>
    <xf numFmtId="166" fontId="20" fillId="0" borderId="0" xfId="0" applyNumberFormat="1" applyFont="1"/>
    <xf numFmtId="165" fontId="16" fillId="0" borderId="0" xfId="0" applyNumberFormat="1" applyFont="1" applyFill="1" applyBorder="1" applyAlignment="1">
      <alignment horizontal="center"/>
    </xf>
    <xf numFmtId="0" fontId="21" fillId="0" borderId="0" xfId="0" applyFont="1" applyFill="1"/>
    <xf numFmtId="0" fontId="16" fillId="0" borderId="3" xfId="0" applyFont="1" applyFill="1" applyBorder="1" applyAlignment="1">
      <alignment horizontal="center" vertical="center"/>
    </xf>
    <xf numFmtId="0" fontId="0" fillId="0" borderId="0" xfId="0" applyFont="1"/>
    <xf numFmtId="0" fontId="16" fillId="0" borderId="0" xfId="0" applyFont="1" applyFill="1" applyBorder="1" applyAlignment="1">
      <alignment horizontal="center"/>
    </xf>
    <xf numFmtId="0" fontId="33" fillId="0" borderId="0" xfId="0" applyFont="1"/>
    <xf numFmtId="0" fontId="16" fillId="0" borderId="0" xfId="0" applyFont="1" applyFill="1" applyBorder="1" applyAlignment="1">
      <alignment horizontal="center" vertical="center"/>
    </xf>
    <xf numFmtId="3" fontId="16" fillId="0" borderId="0" xfId="0" applyNumberFormat="1" applyFont="1" applyFill="1" applyBorder="1" applyAlignment="1">
      <alignment horizontal="center"/>
    </xf>
    <xf numFmtId="2" fontId="36" fillId="0" borderId="0" xfId="0" applyNumberFormat="1" applyFont="1" applyFill="1" applyBorder="1" applyAlignment="1">
      <alignment horizontal="center"/>
    </xf>
    <xf numFmtId="0" fontId="16" fillId="0" borderId="0" xfId="0" applyFont="1" applyFill="1" applyBorder="1" applyAlignment="1">
      <alignment horizontal="left"/>
    </xf>
    <xf numFmtId="2" fontId="16" fillId="0" borderId="0" xfId="0" applyNumberFormat="1" applyFont="1" applyFill="1" applyBorder="1" applyAlignment="1">
      <alignment horizontal="center"/>
    </xf>
    <xf numFmtId="1" fontId="36" fillId="0" borderId="0" xfId="0" applyNumberFormat="1" applyFont="1" applyFill="1" applyBorder="1" applyAlignment="1">
      <alignment horizontal="center"/>
    </xf>
    <xf numFmtId="0" fontId="3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" fontId="29" fillId="0" borderId="0" xfId="0" applyNumberFormat="1" applyFont="1" applyFill="1" applyBorder="1" applyAlignment="1" applyProtection="1">
      <alignment horizontal="right" vertical="center"/>
      <protection locked="0"/>
    </xf>
    <xf numFmtId="2" fontId="18" fillId="0" borderId="0" xfId="0" applyNumberFormat="1" applyFont="1"/>
    <xf numFmtId="0" fontId="0" fillId="0" borderId="0" xfId="0" applyFont="1" applyFill="1" applyBorder="1" applyAlignment="1">
      <alignment vertical="center"/>
    </xf>
    <xf numFmtId="164" fontId="44" fillId="0" borderId="0" xfId="1" applyFont="1" applyBorder="1" applyAlignment="1"/>
    <xf numFmtId="0" fontId="32" fillId="0" borderId="0" xfId="0" applyFont="1" applyFill="1" applyBorder="1" applyAlignment="1">
      <alignment horizontal="center" vertical="center"/>
    </xf>
    <xf numFmtId="1" fontId="21" fillId="0" borderId="0" xfId="0" applyNumberFormat="1" applyFont="1" applyFill="1" applyBorder="1" applyAlignment="1">
      <alignment horizontal="center" vertical="center"/>
    </xf>
    <xf numFmtId="2" fontId="21" fillId="0" borderId="0" xfId="0" applyNumberFormat="1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center"/>
    </xf>
    <xf numFmtId="0" fontId="7" fillId="0" borderId="0" xfId="0" applyFont="1" applyBorder="1" applyAlignment="1"/>
    <xf numFmtId="0" fontId="46" fillId="0" borderId="0" xfId="0" applyFont="1"/>
    <xf numFmtId="165" fontId="7" fillId="0" borderId="0" xfId="0" applyNumberFormat="1" applyFont="1"/>
    <xf numFmtId="168" fontId="29" fillId="0" borderId="0" xfId="0" applyNumberFormat="1" applyFont="1" applyFill="1" applyBorder="1" applyAlignment="1" applyProtection="1">
      <alignment horizontal="right" vertical="center"/>
      <protection locked="0"/>
    </xf>
    <xf numFmtId="165" fontId="29" fillId="0" borderId="0" xfId="0" applyNumberFormat="1" applyFont="1" applyFill="1" applyBorder="1" applyAlignment="1" applyProtection="1">
      <alignment horizontal="right" vertical="center"/>
      <protection locked="0"/>
    </xf>
    <xf numFmtId="165" fontId="113" fillId="0" borderId="0" xfId="0" applyNumberFormat="1" applyFont="1"/>
    <xf numFmtId="0" fontId="114" fillId="0" borderId="0" xfId="0" applyFont="1"/>
    <xf numFmtId="0" fontId="33" fillId="0" borderId="0" xfId="0" applyFont="1" applyFill="1" applyBorder="1" applyAlignment="1">
      <alignment vertical="center"/>
    </xf>
    <xf numFmtId="0" fontId="33" fillId="0" borderId="0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115" fillId="6" borderId="0" xfId="0" applyFont="1" applyFill="1"/>
    <xf numFmtId="165" fontId="116" fillId="6" borderId="0" xfId="0" applyNumberFormat="1" applyFont="1" applyFill="1"/>
    <xf numFmtId="0" fontId="116" fillId="6" borderId="0" xfId="0" applyFont="1" applyFill="1"/>
    <xf numFmtId="0" fontId="117" fillId="6" borderId="0" xfId="0" applyFont="1" applyFill="1"/>
    <xf numFmtId="2" fontId="115" fillId="6" borderId="0" xfId="0" applyNumberFormat="1" applyFont="1" applyFill="1"/>
    <xf numFmtId="2" fontId="117" fillId="6" borderId="0" xfId="0" applyNumberFormat="1" applyFont="1" applyFill="1"/>
    <xf numFmtId="0" fontId="118" fillId="0" borderId="0" xfId="0" applyFont="1"/>
    <xf numFmtId="2" fontId="47" fillId="0" borderId="4" xfId="0" applyNumberFormat="1" applyFont="1" applyBorder="1"/>
    <xf numFmtId="0" fontId="46" fillId="0" borderId="4" xfId="0" applyFont="1" applyBorder="1" applyAlignment="1">
      <alignment horizontal="center" vertical="center"/>
    </xf>
    <xf numFmtId="0" fontId="47" fillId="0" borderId="2" xfId="0" applyFont="1" applyFill="1" applyBorder="1" applyAlignment="1" applyProtection="1">
      <alignment horizontal="left" indent="1"/>
      <protection locked="0"/>
    </xf>
    <xf numFmtId="0" fontId="47" fillId="0" borderId="5" xfId="0" applyFont="1" applyFill="1" applyBorder="1" applyAlignment="1" applyProtection="1">
      <alignment horizontal="left" indent="1"/>
      <protection locked="0"/>
    </xf>
    <xf numFmtId="165" fontId="119" fillId="4" borderId="5" xfId="0" applyNumberFormat="1" applyFont="1" applyFill="1" applyBorder="1" applyAlignment="1" applyProtection="1">
      <alignment horizontal="center" vertical="center"/>
      <protection locked="0"/>
    </xf>
    <xf numFmtId="165" fontId="119" fillId="4" borderId="2" xfId="0" applyNumberFormat="1" applyFont="1" applyFill="1" applyBorder="1" applyAlignment="1" applyProtection="1">
      <alignment horizontal="center" vertical="center"/>
      <protection locked="0"/>
    </xf>
    <xf numFmtId="0" fontId="47" fillId="0" borderId="0" xfId="0" applyFont="1" applyAlignment="1">
      <alignment horizontal="right"/>
    </xf>
    <xf numFmtId="0" fontId="46" fillId="0" borderId="6" xfId="0" applyFont="1" applyFill="1" applyBorder="1" applyAlignment="1" applyProtection="1">
      <alignment horizontal="left" indent="1"/>
      <protection locked="0"/>
    </xf>
    <xf numFmtId="0" fontId="46" fillId="0" borderId="3" xfId="0" applyFont="1" applyFill="1" applyBorder="1" applyAlignment="1" applyProtection="1">
      <alignment horizontal="left" indent="1"/>
      <protection locked="0"/>
    </xf>
    <xf numFmtId="165" fontId="119" fillId="4" borderId="3" xfId="0" applyNumberFormat="1" applyFont="1" applyFill="1" applyBorder="1" applyAlignment="1" applyProtection="1">
      <alignment horizontal="center" vertical="center"/>
      <protection locked="0"/>
    </xf>
    <xf numFmtId="165" fontId="119" fillId="4" borderId="6" xfId="0" applyNumberFormat="1" applyFont="1" applyFill="1" applyBorder="1" applyAlignment="1" applyProtection="1">
      <alignment horizontal="center" vertical="center"/>
      <protection locked="0"/>
    </xf>
    <xf numFmtId="0" fontId="47" fillId="0" borderId="6" xfId="0" applyFont="1" applyFill="1" applyBorder="1" applyAlignment="1" applyProtection="1">
      <alignment horizontal="left" indent="1"/>
      <protection locked="0"/>
    </xf>
    <xf numFmtId="0" fontId="47" fillId="0" borderId="3" xfId="0" applyFont="1" applyFill="1" applyBorder="1" applyAlignment="1" applyProtection="1">
      <alignment horizontal="left" indent="1"/>
      <protection locked="0"/>
    </xf>
    <xf numFmtId="165" fontId="119" fillId="4" borderId="3" xfId="0" applyNumberFormat="1" applyFont="1" applyFill="1" applyBorder="1" applyAlignment="1" applyProtection="1">
      <alignment horizontal="center" vertical="center"/>
      <protection locked="0"/>
    </xf>
    <xf numFmtId="165" fontId="119" fillId="4" borderId="6" xfId="0" applyNumberFormat="1" applyFont="1" applyFill="1" applyBorder="1" applyAlignment="1" applyProtection="1">
      <alignment horizontal="center" vertical="center"/>
      <protection locked="0"/>
    </xf>
    <xf numFmtId="0" fontId="46" fillId="0" borderId="7" xfId="0" applyFont="1" applyFill="1" applyBorder="1" applyAlignment="1" applyProtection="1">
      <alignment horizontal="left" indent="1"/>
      <protection locked="0"/>
    </xf>
    <xf numFmtId="0" fontId="46" fillId="0" borderId="8" xfId="0" applyFont="1" applyFill="1" applyBorder="1" applyAlignment="1" applyProtection="1">
      <alignment horizontal="left" indent="1"/>
      <protection locked="0"/>
    </xf>
    <xf numFmtId="165" fontId="119" fillId="4" borderId="8" xfId="0" applyNumberFormat="1" applyFont="1" applyFill="1" applyBorder="1" applyAlignment="1" applyProtection="1">
      <alignment horizontal="center" vertical="center"/>
      <protection locked="0"/>
    </xf>
    <xf numFmtId="165" fontId="119" fillId="4" borderId="7" xfId="0" applyNumberFormat="1" applyFont="1" applyFill="1" applyBorder="1" applyAlignment="1" applyProtection="1">
      <alignment horizontal="center" vertical="center"/>
      <protection locked="0"/>
    </xf>
    <xf numFmtId="165" fontId="47" fillId="0" borderId="2" xfId="0" applyNumberFormat="1" applyFont="1" applyBorder="1"/>
    <xf numFmtId="165" fontId="47" fillId="0" borderId="6" xfId="0" applyNumberFormat="1" applyFont="1" applyBorder="1"/>
    <xf numFmtId="165" fontId="47" fillId="0" borderId="7" xfId="0" applyNumberFormat="1" applyFont="1" applyBorder="1"/>
    <xf numFmtId="165" fontId="47" fillId="0" borderId="0" xfId="0" applyNumberFormat="1" applyFont="1" applyBorder="1"/>
    <xf numFmtId="2" fontId="45" fillId="0" borderId="9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top"/>
    </xf>
    <xf numFmtId="165" fontId="24" fillId="0" borderId="0" xfId="0" applyNumberFormat="1" applyFont="1" applyFill="1" applyBorder="1" applyAlignment="1">
      <alignment horizontal="center" vertical="top"/>
    </xf>
    <xf numFmtId="3" fontId="16" fillId="0" borderId="0" xfId="0" applyNumberFormat="1" applyFont="1" applyFill="1" applyBorder="1" applyAlignment="1">
      <alignment horizontal="center" vertical="top"/>
    </xf>
    <xf numFmtId="1" fontId="16" fillId="0" borderId="0" xfId="0" applyNumberFormat="1" applyFont="1" applyFill="1" applyBorder="1" applyAlignment="1">
      <alignment horizontal="center" vertical="top"/>
    </xf>
    <xf numFmtId="165" fontId="16" fillId="0" borderId="0" xfId="0" applyNumberFormat="1" applyFont="1" applyFill="1" applyBorder="1" applyAlignment="1">
      <alignment horizontal="center" vertical="top"/>
    </xf>
    <xf numFmtId="1" fontId="36" fillId="0" borderId="0" xfId="0" applyNumberFormat="1" applyFont="1" applyFill="1" applyBorder="1" applyAlignment="1">
      <alignment horizontal="center" vertical="top"/>
    </xf>
    <xf numFmtId="2" fontId="36" fillId="0" borderId="0" xfId="0" applyNumberFormat="1" applyFont="1" applyFill="1" applyBorder="1" applyAlignment="1">
      <alignment horizontal="center" vertical="top"/>
    </xf>
    <xf numFmtId="2" fontId="16" fillId="0" borderId="0" xfId="0" applyNumberFormat="1" applyFont="1" applyFill="1" applyBorder="1" applyAlignment="1">
      <alignment horizontal="center" vertical="top"/>
    </xf>
    <xf numFmtId="3" fontId="119" fillId="0" borderId="4" xfId="0" applyNumberFormat="1" applyFont="1" applyBorder="1" applyAlignment="1">
      <alignment horizontal="center" vertical="center"/>
    </xf>
    <xf numFmtId="0" fontId="119" fillId="0" borderId="4" xfId="0" applyFont="1" applyBorder="1" applyAlignment="1">
      <alignment horizontal="center" vertical="center"/>
    </xf>
    <xf numFmtId="0" fontId="19" fillId="0" borderId="0" xfId="0" applyFont="1" applyFill="1" applyBorder="1" applyAlignment="1">
      <alignment vertical="center"/>
    </xf>
    <xf numFmtId="0" fontId="24" fillId="0" borderId="0" xfId="0" applyFont="1" applyFill="1" applyBorder="1" applyAlignment="1">
      <alignment vertical="center"/>
    </xf>
    <xf numFmtId="2" fontId="25" fillId="7" borderId="10" xfId="0" applyNumberFormat="1" applyFont="1" applyFill="1" applyBorder="1" applyAlignment="1">
      <alignment horizontal="center" vertical="center"/>
    </xf>
    <xf numFmtId="166" fontId="116" fillId="0" borderId="0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3" fontId="23" fillId="0" borderId="11" xfId="0" applyNumberFormat="1" applyFont="1" applyFill="1" applyBorder="1" applyAlignment="1">
      <alignment horizontal="center" vertical="center"/>
    </xf>
    <xf numFmtId="0" fontId="18" fillId="0" borderId="0" xfId="0" applyFont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18" fillId="0" borderId="12" xfId="0" applyFont="1" applyBorder="1" applyAlignment="1">
      <alignment vertical="center"/>
    </xf>
    <xf numFmtId="165" fontId="0" fillId="0" borderId="0" xfId="0" applyNumberFormat="1" applyFont="1"/>
    <xf numFmtId="0" fontId="0" fillId="0" borderId="0" xfId="0" applyFont="1" applyFill="1" applyBorder="1"/>
    <xf numFmtId="0" fontId="7" fillId="0" borderId="12" xfId="0" applyFont="1" applyBorder="1" applyAlignment="1">
      <alignment vertical="center"/>
    </xf>
    <xf numFmtId="0" fontId="38" fillId="0" borderId="0" xfId="0" applyFont="1" applyFill="1" applyBorder="1"/>
    <xf numFmtId="0" fontId="16" fillId="0" borderId="6" xfId="0" applyFont="1" applyFill="1" applyBorder="1" applyAlignment="1">
      <alignment vertical="center"/>
    </xf>
    <xf numFmtId="0" fontId="23" fillId="0" borderId="13" xfId="0" applyFont="1" applyFill="1" applyBorder="1" applyAlignment="1">
      <alignment horizontal="center" vertical="center" wrapText="1"/>
    </xf>
    <xf numFmtId="0" fontId="23" fillId="7" borderId="13" xfId="0" applyFont="1" applyFill="1" applyBorder="1" applyAlignment="1">
      <alignment horizontal="center" vertical="center" wrapText="1"/>
    </xf>
    <xf numFmtId="0" fontId="51" fillId="7" borderId="11" xfId="0" applyFont="1" applyFill="1" applyBorder="1" applyAlignment="1">
      <alignment vertical="center"/>
    </xf>
    <xf numFmtId="0" fontId="20" fillId="0" borderId="0" xfId="0" applyFont="1" applyBorder="1"/>
    <xf numFmtId="0" fontId="120" fillId="0" borderId="0" xfId="0" applyFont="1"/>
    <xf numFmtId="0" fontId="21" fillId="0" borderId="14" xfId="0" applyFont="1" applyFill="1" applyBorder="1" applyAlignment="1">
      <alignment horizontal="center" vertical="center"/>
    </xf>
    <xf numFmtId="2" fontId="11" fillId="0" borderId="0" xfId="0" applyNumberFormat="1" applyFont="1" applyFill="1" applyBorder="1"/>
    <xf numFmtId="0" fontId="21" fillId="0" borderId="0" xfId="0" applyFont="1" applyFill="1" applyBorder="1" applyAlignment="1">
      <alignment vertical="center"/>
    </xf>
    <xf numFmtId="0" fontId="19" fillId="0" borderId="15" xfId="0" applyFont="1" applyFill="1" applyBorder="1" applyAlignment="1">
      <alignment horizontal="center" vertical="center"/>
    </xf>
    <xf numFmtId="0" fontId="18" fillId="0" borderId="16" xfId="0" applyFont="1" applyBorder="1" applyAlignment="1">
      <alignment vertical="center"/>
    </xf>
    <xf numFmtId="3" fontId="16" fillId="0" borderId="16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6" fillId="7" borderId="20" xfId="0" applyFont="1" applyFill="1" applyBorder="1" applyAlignment="1">
      <alignment horizontal="center" vertical="center" wrapText="1"/>
    </xf>
    <xf numFmtId="0" fontId="48" fillId="7" borderId="16" xfId="0" applyFont="1" applyFill="1" applyBorder="1" applyAlignment="1">
      <alignment vertical="center"/>
    </xf>
    <xf numFmtId="3" fontId="23" fillId="7" borderId="11" xfId="0" applyNumberFormat="1" applyFont="1" applyFill="1" applyBorder="1" applyAlignment="1">
      <alignment horizontal="center" vertical="center"/>
    </xf>
    <xf numFmtId="0" fontId="48" fillId="7" borderId="11" xfId="0" applyFont="1" applyFill="1" applyBorder="1" applyAlignment="1">
      <alignment vertical="center"/>
    </xf>
    <xf numFmtId="3" fontId="16" fillId="7" borderId="16" xfId="0" applyNumberFormat="1" applyFont="1" applyFill="1" applyBorder="1" applyAlignment="1">
      <alignment horizontal="center" vertical="center"/>
    </xf>
    <xf numFmtId="2" fontId="45" fillId="7" borderId="9" xfId="0" applyNumberFormat="1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/>
    </xf>
    <xf numFmtId="1" fontId="19" fillId="0" borderId="0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21" xfId="0" applyFont="1" applyFill="1" applyBorder="1" applyAlignment="1">
      <alignment horizontal="center"/>
    </xf>
    <xf numFmtId="0" fontId="53" fillId="0" borderId="22" xfId="0" applyFont="1" applyFill="1" applyBorder="1" applyAlignment="1">
      <alignment vertical="center"/>
    </xf>
    <xf numFmtId="0" fontId="49" fillId="0" borderId="22" xfId="0" applyFont="1" applyFill="1" applyBorder="1" applyAlignment="1">
      <alignment horizontal="center" vertical="center"/>
    </xf>
    <xf numFmtId="1" fontId="49" fillId="0" borderId="11" xfId="0" applyNumberFormat="1" applyFont="1" applyFill="1" applyBorder="1" applyAlignment="1">
      <alignment horizontal="center" vertical="center"/>
    </xf>
    <xf numFmtId="0" fontId="55" fillId="0" borderId="23" xfId="0" applyFont="1" applyFill="1" applyBorder="1" applyAlignment="1">
      <alignment vertical="center"/>
    </xf>
    <xf numFmtId="0" fontId="54" fillId="0" borderId="23" xfId="0" applyFont="1" applyFill="1" applyBorder="1" applyAlignment="1">
      <alignment horizontal="center" vertical="center"/>
    </xf>
    <xf numFmtId="0" fontId="55" fillId="0" borderId="6" xfId="0" applyFont="1" applyFill="1" applyBorder="1" applyAlignment="1">
      <alignment horizontal="left" vertical="center"/>
    </xf>
    <xf numFmtId="0" fontId="55" fillId="0" borderId="23" xfId="0" applyFont="1" applyFill="1" applyBorder="1" applyAlignment="1">
      <alignment horizontal="left" vertical="center"/>
    </xf>
    <xf numFmtId="1" fontId="54" fillId="0" borderId="16" xfId="0" applyNumberFormat="1" applyFont="1" applyFill="1" applyBorder="1" applyAlignment="1">
      <alignment horizontal="center" vertical="center"/>
    </xf>
    <xf numFmtId="0" fontId="53" fillId="0" borderId="23" xfId="0" applyFont="1" applyFill="1" applyBorder="1" applyAlignment="1">
      <alignment horizontal="left" vertical="center"/>
    </xf>
    <xf numFmtId="0" fontId="55" fillId="0" borderId="23" xfId="0" applyFont="1" applyFill="1" applyBorder="1" applyAlignment="1">
      <alignment horizontal="left" vertical="center" wrapText="1"/>
    </xf>
    <xf numFmtId="0" fontId="55" fillId="0" borderId="6" xfId="0" applyFont="1" applyFill="1" applyBorder="1" applyAlignment="1">
      <alignment vertical="center"/>
    </xf>
    <xf numFmtId="0" fontId="43" fillId="0" borderId="0" xfId="0" applyFont="1" applyFill="1" applyBorder="1" applyAlignment="1">
      <alignment horizontal="center" vertical="center"/>
    </xf>
    <xf numFmtId="0" fontId="53" fillId="8" borderId="22" xfId="0" applyFont="1" applyFill="1" applyBorder="1" applyAlignment="1">
      <alignment vertical="center"/>
    </xf>
    <xf numFmtId="0" fontId="7" fillId="0" borderId="16" xfId="0" applyFont="1" applyBorder="1" applyAlignment="1">
      <alignment vertical="center"/>
    </xf>
    <xf numFmtId="165" fontId="56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18" fillId="0" borderId="12" xfId="0" applyFont="1" applyFill="1" applyBorder="1" applyAlignment="1">
      <alignment vertical="center"/>
    </xf>
    <xf numFmtId="0" fontId="18" fillId="0" borderId="16" xfId="0" applyFont="1" applyFill="1" applyBorder="1" applyAlignment="1">
      <alignment vertical="center"/>
    </xf>
    <xf numFmtId="0" fontId="18" fillId="7" borderId="0" xfId="0" applyFont="1" applyFill="1" applyAlignment="1">
      <alignment vertical="center"/>
    </xf>
    <xf numFmtId="0" fontId="7" fillId="7" borderId="0" xfId="0" applyFont="1" applyFill="1" applyAlignment="1">
      <alignment vertical="center"/>
    </xf>
    <xf numFmtId="166" fontId="33" fillId="0" borderId="0" xfId="0" applyNumberFormat="1" applyFont="1" applyFill="1" applyBorder="1" applyAlignment="1">
      <alignment horizontal="center" vertical="center"/>
    </xf>
    <xf numFmtId="165" fontId="33" fillId="0" borderId="0" xfId="0" applyNumberFormat="1" applyFont="1" applyFill="1" applyBorder="1" applyAlignment="1">
      <alignment horizontal="center" vertical="center"/>
    </xf>
    <xf numFmtId="4" fontId="33" fillId="0" borderId="0" xfId="0" applyNumberFormat="1" applyFont="1" applyAlignment="1">
      <alignment vertical="center"/>
    </xf>
    <xf numFmtId="0" fontId="56" fillId="0" borderId="0" xfId="0" applyFont="1" applyFill="1" applyBorder="1" applyAlignment="1">
      <alignment horizontal="center" vertical="center"/>
    </xf>
    <xf numFmtId="165" fontId="55" fillId="0" borderId="0" xfId="0" applyNumberFormat="1" applyFont="1" applyFill="1" applyBorder="1" applyAlignment="1">
      <alignment horizontal="center"/>
    </xf>
    <xf numFmtId="1" fontId="56" fillId="0" borderId="0" xfId="0" applyNumberFormat="1" applyFont="1" applyFill="1" applyBorder="1" applyAlignment="1">
      <alignment horizontal="center" vertical="center"/>
    </xf>
    <xf numFmtId="0" fontId="61" fillId="0" borderId="0" xfId="0" applyFont="1"/>
    <xf numFmtId="0" fontId="60" fillId="0" borderId="0" xfId="0" applyFont="1"/>
    <xf numFmtId="1" fontId="59" fillId="0" borderId="0" xfId="0" applyNumberFormat="1" applyFont="1" applyFill="1" applyBorder="1" applyAlignment="1">
      <alignment horizontal="center"/>
    </xf>
    <xf numFmtId="0" fontId="49" fillId="0" borderId="0" xfId="0" applyFont="1" applyFill="1" applyBorder="1" applyAlignment="1" applyProtection="1">
      <alignment horizontal="left"/>
      <protection locked="0"/>
    </xf>
    <xf numFmtId="0" fontId="49" fillId="0" borderId="0" xfId="0" applyFont="1"/>
    <xf numFmtId="0" fontId="49" fillId="0" borderId="0" xfId="0" applyFont="1" applyAlignment="1">
      <alignment wrapText="1"/>
    </xf>
    <xf numFmtId="2" fontId="59" fillId="0" borderId="0" xfId="0" applyNumberFormat="1" applyFont="1" applyFill="1" applyBorder="1"/>
    <xf numFmtId="0" fontId="63" fillId="0" borderId="0" xfId="0" applyFont="1"/>
    <xf numFmtId="165" fontId="62" fillId="0" borderId="0" xfId="3" applyNumberFormat="1" applyFont="1" applyAlignment="1">
      <alignment horizontal="center"/>
    </xf>
    <xf numFmtId="165" fontId="62" fillId="0" borderId="0" xfId="0" applyNumberFormat="1" applyFont="1" applyAlignment="1">
      <alignment horizontal="center"/>
    </xf>
    <xf numFmtId="165" fontId="62" fillId="0" borderId="0" xfId="0" applyNumberFormat="1" applyFont="1" applyFill="1"/>
    <xf numFmtId="0" fontId="60" fillId="0" borderId="0" xfId="0" applyFont="1" applyFill="1" applyBorder="1"/>
    <xf numFmtId="0" fontId="65" fillId="0" borderId="0" xfId="0" applyFont="1"/>
    <xf numFmtId="165" fontId="64" fillId="0" borderId="0" xfId="3" applyNumberFormat="1" applyFont="1" applyAlignment="1">
      <alignment horizontal="center"/>
    </xf>
    <xf numFmtId="165" fontId="64" fillId="0" borderId="0" xfId="0" applyNumberFormat="1" applyFont="1" applyAlignment="1">
      <alignment horizontal="center"/>
    </xf>
    <xf numFmtId="0" fontId="65" fillId="0" borderId="0" xfId="0" applyFont="1" applyFill="1" applyBorder="1"/>
    <xf numFmtId="165" fontId="59" fillId="0" borderId="0" xfId="3" applyNumberFormat="1" applyFont="1" applyAlignment="1">
      <alignment horizontal="center"/>
    </xf>
    <xf numFmtId="165" fontId="59" fillId="0" borderId="0" xfId="0" applyNumberFormat="1" applyFont="1" applyAlignment="1">
      <alignment horizontal="center"/>
    </xf>
    <xf numFmtId="165" fontId="60" fillId="0" borderId="0" xfId="0" applyNumberFormat="1" applyFont="1" applyAlignment="1">
      <alignment horizontal="center"/>
    </xf>
    <xf numFmtId="165" fontId="61" fillId="0" borderId="0" xfId="0" applyNumberFormat="1" applyFont="1" applyAlignment="1">
      <alignment horizontal="center"/>
    </xf>
    <xf numFmtId="165" fontId="66" fillId="0" borderId="0" xfId="0" applyNumberFormat="1" applyFont="1" applyFill="1"/>
    <xf numFmtId="0" fontId="60" fillId="0" borderId="0" xfId="0" applyFont="1" applyFill="1"/>
    <xf numFmtId="0" fontId="54" fillId="0" borderId="0" xfId="0" applyFont="1"/>
    <xf numFmtId="0" fontId="49" fillId="0" borderId="0" xfId="0" applyFont="1" applyFill="1"/>
    <xf numFmtId="0" fontId="49" fillId="0" borderId="0" xfId="0" applyFont="1" applyFill="1" applyBorder="1"/>
    <xf numFmtId="0" fontId="33" fillId="0" borderId="0" xfId="0" applyFont="1" applyFill="1" applyBorder="1"/>
    <xf numFmtId="0" fontId="33" fillId="0" borderId="0" xfId="0" applyFont="1" applyFill="1"/>
    <xf numFmtId="0" fontId="54" fillId="0" borderId="0" xfId="0" applyFont="1" applyFill="1" applyBorder="1" applyAlignment="1" applyProtection="1">
      <alignment horizontal="left"/>
      <protection locked="0"/>
    </xf>
    <xf numFmtId="3" fontId="49" fillId="0" borderId="0" xfId="0" applyNumberFormat="1" applyFont="1" applyFill="1" applyBorder="1" applyAlignment="1" applyProtection="1">
      <alignment horizontal="left"/>
      <protection locked="0"/>
    </xf>
    <xf numFmtId="0" fontId="54" fillId="0" borderId="0" xfId="0" applyFont="1" applyAlignment="1">
      <alignment horizontal="left"/>
    </xf>
    <xf numFmtId="0" fontId="34" fillId="0" borderId="0" xfId="0" applyFont="1"/>
    <xf numFmtId="0" fontId="35" fillId="0" borderId="0" xfId="0" applyFont="1" applyFill="1" applyBorder="1" applyAlignment="1">
      <alignment vertical="center"/>
    </xf>
    <xf numFmtId="0" fontId="35" fillId="0" borderId="0" xfId="0" applyFont="1" applyFill="1" applyBorder="1" applyAlignment="1">
      <alignment horizontal="center" vertical="center"/>
    </xf>
    <xf numFmtId="166" fontId="2" fillId="0" borderId="0" xfId="0" applyNumberFormat="1" applyFont="1" applyFill="1" applyBorder="1" applyAlignment="1">
      <alignment horizontal="center" vertical="center"/>
    </xf>
    <xf numFmtId="165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66" fontId="115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3" fontId="33" fillId="0" borderId="0" xfId="0" applyNumberFormat="1" applyFont="1" applyAlignment="1">
      <alignment vertical="center"/>
    </xf>
    <xf numFmtId="0" fontId="55" fillId="0" borderId="22" xfId="0" applyFont="1" applyFill="1" applyBorder="1" applyAlignment="1">
      <alignment horizontal="left" vertical="center" wrapText="1"/>
    </xf>
    <xf numFmtId="0" fontId="49" fillId="4" borderId="2" xfId="0" applyFont="1" applyFill="1" applyBorder="1" applyAlignment="1">
      <alignment horizontal="center" vertical="center"/>
    </xf>
    <xf numFmtId="0" fontId="49" fillId="4" borderId="5" xfId="0" applyFont="1" applyFill="1" applyBorder="1" applyAlignment="1">
      <alignment horizontal="center" vertical="center"/>
    </xf>
    <xf numFmtId="0" fontId="49" fillId="4" borderId="24" xfId="0" applyFont="1" applyFill="1" applyBorder="1" applyAlignment="1">
      <alignment horizontal="center" vertical="center"/>
    </xf>
    <xf numFmtId="0" fontId="49" fillId="4" borderId="25" xfId="0" applyFont="1" applyFill="1" applyBorder="1" applyAlignment="1">
      <alignment horizontal="center" vertical="center"/>
    </xf>
    <xf numFmtId="0" fontId="67" fillId="0" borderId="0" xfId="0" applyFont="1" applyBorder="1" applyAlignment="1"/>
    <xf numFmtId="0" fontId="68" fillId="0" borderId="0" xfId="0" applyFont="1" applyBorder="1" applyAlignment="1"/>
    <xf numFmtId="1" fontId="56" fillId="0" borderId="2" xfId="0" applyNumberFormat="1" applyFont="1" applyFill="1" applyBorder="1" applyAlignment="1">
      <alignment horizontal="center" vertical="center"/>
    </xf>
    <xf numFmtId="1" fontId="56" fillId="0" borderId="25" xfId="0" applyNumberFormat="1" applyFont="1" applyFill="1" applyBorder="1" applyAlignment="1">
      <alignment horizontal="center" vertical="center"/>
    </xf>
    <xf numFmtId="165" fontId="56" fillId="0" borderId="26" xfId="0" applyNumberFormat="1" applyFont="1" applyFill="1" applyBorder="1" applyAlignment="1">
      <alignment horizontal="center" vertical="center"/>
    </xf>
    <xf numFmtId="1" fontId="56" fillId="0" borderId="6" xfId="0" applyNumberFormat="1" applyFont="1" applyFill="1" applyBorder="1" applyAlignment="1">
      <alignment horizontal="center" vertical="center"/>
    </xf>
    <xf numFmtId="1" fontId="56" fillId="0" borderId="24" xfId="0" applyNumberFormat="1" applyFont="1" applyFill="1" applyBorder="1" applyAlignment="1">
      <alignment horizontal="center" vertical="center"/>
    </xf>
    <xf numFmtId="0" fontId="49" fillId="0" borderId="0" xfId="0" applyFont="1" applyAlignment="1">
      <alignment horizontal="left" wrapText="1"/>
    </xf>
    <xf numFmtId="1" fontId="54" fillId="0" borderId="0" xfId="0" applyNumberFormat="1" applyFont="1" applyFill="1" applyBorder="1" applyAlignment="1"/>
    <xf numFmtId="165" fontId="49" fillId="0" borderId="0" xfId="0" applyNumberFormat="1" applyFont="1" applyFill="1" applyBorder="1" applyAlignment="1">
      <alignment horizontal="center" vertical="center"/>
    </xf>
    <xf numFmtId="165" fontId="54" fillId="0" borderId="0" xfId="0" applyNumberFormat="1" applyFont="1" applyFill="1" applyBorder="1" applyAlignment="1">
      <alignment horizontal="center"/>
    </xf>
    <xf numFmtId="165" fontId="43" fillId="0" borderId="0" xfId="0" applyNumberFormat="1" applyFont="1" applyFill="1" applyBorder="1" applyAlignment="1">
      <alignment horizontal="center" vertical="center"/>
    </xf>
    <xf numFmtId="0" fontId="53" fillId="0" borderId="6" xfId="0" applyFont="1" applyFill="1" applyBorder="1" applyAlignment="1">
      <alignment vertical="center"/>
    </xf>
    <xf numFmtId="0" fontId="55" fillId="0" borderId="21" xfId="0" applyFont="1" applyFill="1" applyBorder="1" applyAlignment="1">
      <alignment horizontal="left" vertical="center"/>
    </xf>
    <xf numFmtId="0" fontId="121" fillId="0" borderId="0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3" fontId="7" fillId="0" borderId="0" xfId="0" applyNumberFormat="1" applyFont="1"/>
    <xf numFmtId="0" fontId="33" fillId="0" borderId="0" xfId="0" applyFont="1" applyFill="1" applyAlignment="1">
      <alignment vertical="center"/>
    </xf>
    <xf numFmtId="166" fontId="18" fillId="0" borderId="0" xfId="0" applyNumberFormat="1" applyFont="1" applyFill="1"/>
    <xf numFmtId="0" fontId="53" fillId="0" borderId="21" xfId="0" applyFont="1" applyFill="1" applyBorder="1" applyAlignment="1">
      <alignment vertical="center"/>
    </xf>
    <xf numFmtId="0" fontId="1" fillId="0" borderId="0" xfId="0" applyFont="1" applyFill="1" applyBorder="1"/>
    <xf numFmtId="0" fontId="1" fillId="0" borderId="0" xfId="0" applyFont="1" applyFill="1" applyBorder="1" applyAlignment="1">
      <alignment vertical="top"/>
    </xf>
    <xf numFmtId="0" fontId="55" fillId="0" borderId="21" xfId="0" applyFont="1" applyFill="1" applyBorder="1" applyAlignment="1">
      <alignment vertical="center"/>
    </xf>
    <xf numFmtId="0" fontId="49" fillId="0" borderId="6" xfId="0" applyFont="1" applyFill="1" applyBorder="1" applyAlignment="1">
      <alignment horizontal="center" vertical="center"/>
    </xf>
    <xf numFmtId="0" fontId="55" fillId="0" borderId="22" xfId="0" applyFont="1" applyFill="1" applyBorder="1" applyAlignment="1">
      <alignment horizontal="left" vertical="center"/>
    </xf>
    <xf numFmtId="2" fontId="21" fillId="0" borderId="0" xfId="0" applyNumberFormat="1" applyFont="1" applyFill="1"/>
    <xf numFmtId="3" fontId="17" fillId="0" borderId="0" xfId="0" applyNumberFormat="1" applyFont="1" applyFill="1"/>
    <xf numFmtId="0" fontId="49" fillId="0" borderId="0" xfId="0" applyFont="1" applyFill="1" applyAlignment="1"/>
    <xf numFmtId="4" fontId="16" fillId="0" borderId="16" xfId="0" applyNumberFormat="1" applyFont="1" applyFill="1" applyBorder="1" applyAlignment="1">
      <alignment horizontal="center" vertical="center"/>
    </xf>
    <xf numFmtId="1" fontId="56" fillId="0" borderId="11" xfId="0" applyNumberFormat="1" applyFont="1" applyFill="1" applyBorder="1" applyAlignment="1">
      <alignment horizontal="center" vertical="center"/>
    </xf>
    <xf numFmtId="1" fontId="19" fillId="0" borderId="9" xfId="0" applyNumberFormat="1" applyFont="1" applyFill="1" applyBorder="1" applyAlignment="1">
      <alignment horizontal="center" vertical="center"/>
    </xf>
    <xf numFmtId="1" fontId="56" fillId="0" borderId="27" xfId="0" applyNumberFormat="1" applyFont="1" applyFill="1" applyBorder="1" applyAlignment="1">
      <alignment horizontal="center" vertical="center"/>
    </xf>
    <xf numFmtId="1" fontId="56" fillId="0" borderId="10" xfId="0" applyNumberFormat="1" applyFont="1" applyFill="1" applyBorder="1" applyAlignment="1">
      <alignment horizontal="center" vertical="center"/>
    </xf>
    <xf numFmtId="0" fontId="18" fillId="9" borderId="0" xfId="0" applyFont="1" applyFill="1" applyBorder="1" applyAlignment="1">
      <alignment vertical="center"/>
    </xf>
    <xf numFmtId="3" fontId="122" fillId="0" borderId="0" xfId="0" applyNumberFormat="1" applyFont="1" applyFill="1"/>
    <xf numFmtId="0" fontId="122" fillId="0" borderId="0" xfId="0" applyFont="1" applyFill="1" applyBorder="1" applyAlignment="1" applyProtection="1">
      <protection locked="0"/>
    </xf>
    <xf numFmtId="1" fontId="40" fillId="4" borderId="24" xfId="0" applyNumberFormat="1" applyFont="1" applyFill="1" applyBorder="1" applyAlignment="1" applyProtection="1">
      <alignment horizontal="right" vertical="center"/>
      <protection locked="0"/>
    </xf>
    <xf numFmtId="166" fontId="49" fillId="0" borderId="19" xfId="0" applyNumberFormat="1" applyFont="1" applyFill="1" applyBorder="1" applyAlignment="1">
      <alignment horizontal="center" vertical="center"/>
    </xf>
    <xf numFmtId="0" fontId="18" fillId="0" borderId="0" xfId="0" applyFont="1" applyFill="1"/>
    <xf numFmtId="0" fontId="1" fillId="0" borderId="0" xfId="0" applyFont="1" applyFill="1"/>
    <xf numFmtId="0" fontId="1" fillId="0" borderId="0" xfId="0" applyFont="1" applyFill="1" applyAlignment="1">
      <alignment vertical="top"/>
    </xf>
    <xf numFmtId="166" fontId="7" fillId="0" borderId="0" xfId="0" applyNumberFormat="1" applyFont="1" applyFill="1"/>
    <xf numFmtId="0" fontId="0" fillId="0" borderId="0" xfId="0" applyFill="1"/>
    <xf numFmtId="0" fontId="2" fillId="0" borderId="0" xfId="0" applyFont="1" applyFill="1"/>
    <xf numFmtId="0" fontId="19" fillId="0" borderId="0" xfId="0" applyFont="1"/>
    <xf numFmtId="0" fontId="122" fillId="0" borderId="0" xfId="0" applyFont="1" applyFill="1" applyAlignment="1"/>
    <xf numFmtId="0" fontId="123" fillId="0" borderId="0" xfId="0" applyFont="1" applyFill="1"/>
    <xf numFmtId="0" fontId="122" fillId="0" borderId="0" xfId="0" applyFont="1" applyFill="1"/>
    <xf numFmtId="0" fontId="124" fillId="0" borderId="0" xfId="0" applyFont="1" applyFill="1"/>
    <xf numFmtId="169" fontId="122" fillId="0" borderId="0" xfId="0" applyNumberFormat="1" applyFont="1" applyFill="1"/>
    <xf numFmtId="0" fontId="21" fillId="0" borderId="0" xfId="0" applyFont="1" applyFill="1" applyAlignment="1">
      <alignment horizontal="center"/>
    </xf>
    <xf numFmtId="3" fontId="21" fillId="0" borderId="0" xfId="0" applyNumberFormat="1" applyFont="1" applyFill="1"/>
    <xf numFmtId="0" fontId="21" fillId="0" borderId="0" xfId="0" applyFont="1" applyFill="1" applyBorder="1" applyAlignment="1" applyProtection="1">
      <protection locked="0"/>
    </xf>
    <xf numFmtId="4" fontId="21" fillId="0" borderId="0" xfId="0" applyNumberFormat="1" applyFont="1" applyFill="1" applyBorder="1" applyAlignment="1" applyProtection="1">
      <protection locked="0"/>
    </xf>
    <xf numFmtId="0" fontId="19" fillId="0" borderId="0" xfId="0" applyFont="1" applyFill="1"/>
    <xf numFmtId="0" fontId="0" fillId="0" borderId="0" xfId="0" applyFont="1" applyFill="1"/>
    <xf numFmtId="165" fontId="56" fillId="0" borderId="27" xfId="0" applyNumberFormat="1" applyFont="1" applyFill="1" applyBorder="1" applyAlignment="1">
      <alignment horizontal="center" vertical="center"/>
    </xf>
    <xf numFmtId="165" fontId="56" fillId="0" borderId="25" xfId="0" applyNumberFormat="1" applyFont="1" applyFill="1" applyBorder="1" applyAlignment="1">
      <alignment horizontal="center" vertical="center"/>
    </xf>
    <xf numFmtId="4" fontId="21" fillId="9" borderId="0" xfId="0" applyNumberFormat="1" applyFont="1" applyFill="1" applyAlignment="1"/>
    <xf numFmtId="0" fontId="114" fillId="0" borderId="0" xfId="0" applyFont="1" applyFill="1"/>
    <xf numFmtId="0" fontId="7" fillId="0" borderId="6" xfId="0" applyFont="1" applyFill="1" applyBorder="1"/>
    <xf numFmtId="0" fontId="69" fillId="0" borderId="6" xfId="0" applyFont="1" applyFill="1" applyBorder="1" applyAlignment="1">
      <alignment vertical="center"/>
    </xf>
    <xf numFmtId="0" fontId="52" fillId="0" borderId="6" xfId="0" applyFont="1" applyFill="1" applyBorder="1" applyAlignment="1">
      <alignment vertical="center"/>
    </xf>
    <xf numFmtId="165" fontId="56" fillId="0" borderId="10" xfId="0" applyNumberFormat="1" applyFont="1" applyFill="1" applyBorder="1" applyAlignment="1">
      <alignment horizontal="center" vertical="center"/>
    </xf>
    <xf numFmtId="0" fontId="0" fillId="0" borderId="6" xfId="0" applyFont="1" applyFill="1" applyBorder="1"/>
    <xf numFmtId="0" fontId="17" fillId="0" borderId="6" xfId="0" applyFont="1" applyFill="1" applyBorder="1" applyAlignment="1">
      <alignment vertical="center"/>
    </xf>
    <xf numFmtId="0" fontId="0" fillId="0" borderId="6" xfId="0" applyFont="1" applyFill="1" applyBorder="1" applyAlignment="1">
      <alignment vertical="center"/>
    </xf>
    <xf numFmtId="0" fontId="21" fillId="0" borderId="4" xfId="0" applyFont="1" applyFill="1" applyBorder="1" applyAlignment="1">
      <alignment horizontal="center"/>
    </xf>
    <xf numFmtId="0" fontId="21" fillId="0" borderId="4" xfId="0" applyFont="1" applyFill="1" applyBorder="1"/>
    <xf numFmtId="0" fontId="52" fillId="0" borderId="23" xfId="0" applyFont="1" applyFill="1" applyBorder="1" applyAlignment="1">
      <alignment vertical="center"/>
    </xf>
    <xf numFmtId="0" fontId="69" fillId="0" borderId="23" xfId="0" applyFont="1" applyFill="1" applyBorder="1" applyAlignment="1">
      <alignment vertical="center"/>
    </xf>
    <xf numFmtId="0" fontId="33" fillId="10" borderId="0" xfId="0" applyFont="1" applyFill="1" applyAlignment="1">
      <alignment vertical="center"/>
    </xf>
    <xf numFmtId="0" fontId="33" fillId="11" borderId="0" xfId="0" applyFont="1" applyFill="1" applyAlignment="1">
      <alignment vertical="center"/>
    </xf>
    <xf numFmtId="0" fontId="33" fillId="0" borderId="28" xfId="0" applyFont="1" applyBorder="1" applyAlignment="1">
      <alignment vertical="center"/>
    </xf>
    <xf numFmtId="0" fontId="7" fillId="0" borderId="6" xfId="0" applyFont="1" applyFill="1" applyBorder="1" applyAlignment="1">
      <alignment horizontal="center"/>
    </xf>
    <xf numFmtId="0" fontId="7" fillId="0" borderId="6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69" fillId="0" borderId="6" xfId="0" applyFont="1" applyFill="1" applyBorder="1" applyAlignment="1">
      <alignment horizontal="center" vertical="center"/>
    </xf>
    <xf numFmtId="0" fontId="52" fillId="0" borderId="6" xfId="0" applyFont="1" applyFill="1" applyBorder="1" applyAlignment="1">
      <alignment horizontal="center" vertical="center"/>
    </xf>
    <xf numFmtId="0" fontId="69" fillId="0" borderId="23" xfId="0" applyFont="1" applyFill="1" applyBorder="1" applyAlignment="1">
      <alignment horizontal="center" vertical="center"/>
    </xf>
    <xf numFmtId="0" fontId="52" fillId="0" borderId="23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69" fillId="0" borderId="22" xfId="0" applyFont="1" applyFill="1" applyBorder="1" applyAlignment="1">
      <alignment horizontal="center" vertical="center"/>
    </xf>
    <xf numFmtId="0" fontId="69" fillId="0" borderId="22" xfId="0" applyFont="1" applyFill="1" applyBorder="1" applyAlignment="1">
      <alignment vertical="center"/>
    </xf>
    <xf numFmtId="165" fontId="49" fillId="9" borderId="0" xfId="0" applyNumberFormat="1" applyFont="1" applyFill="1" applyBorder="1" applyAlignment="1" applyProtection="1">
      <alignment vertical="top"/>
      <protection locked="0"/>
    </xf>
    <xf numFmtId="0" fontId="2" fillId="0" borderId="29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0" xfId="0" applyFont="1" applyFill="1" applyBorder="1" applyAlignment="1">
      <alignment horizontal="center" vertical="center"/>
    </xf>
    <xf numFmtId="165" fontId="115" fillId="0" borderId="0" xfId="0" applyNumberFormat="1" applyFont="1" applyFill="1" applyBorder="1" applyAlignment="1">
      <alignment horizontal="center" vertical="center"/>
    </xf>
    <xf numFmtId="2" fontId="116" fillId="0" borderId="0" xfId="0" applyNumberFormat="1" applyFont="1" applyFill="1" applyBorder="1" applyAlignment="1">
      <alignment horizontal="center" vertical="center"/>
    </xf>
    <xf numFmtId="165" fontId="116" fillId="0" borderId="0" xfId="0" applyNumberFormat="1" applyFont="1" applyFill="1" applyBorder="1" applyAlignment="1">
      <alignment horizontal="center" vertical="center"/>
    </xf>
    <xf numFmtId="0" fontId="116" fillId="0" borderId="0" xfId="0" applyFont="1" applyAlignment="1">
      <alignment horizontal="center" vertical="center"/>
    </xf>
    <xf numFmtId="0" fontId="49" fillId="0" borderId="23" xfId="0" applyFont="1" applyFill="1" applyBorder="1" applyAlignment="1">
      <alignment horizontal="center" vertical="center"/>
    </xf>
    <xf numFmtId="0" fontId="54" fillId="0" borderId="22" xfId="0" applyFont="1" applyFill="1" applyBorder="1" applyAlignment="1">
      <alignment horizontal="center" vertical="center"/>
    </xf>
    <xf numFmtId="0" fontId="54" fillId="0" borderId="6" xfId="0" applyFont="1" applyFill="1" applyBorder="1" applyAlignment="1">
      <alignment horizontal="center" vertical="center"/>
    </xf>
    <xf numFmtId="1" fontId="19" fillId="0" borderId="6" xfId="0" applyNumberFormat="1" applyFont="1" applyFill="1" applyBorder="1" applyAlignment="1">
      <alignment horizontal="center" vertical="center"/>
    </xf>
    <xf numFmtId="0" fontId="52" fillId="11" borderId="6" xfId="0" applyFont="1" applyFill="1" applyBorder="1" applyAlignment="1">
      <alignment vertical="center"/>
    </xf>
    <xf numFmtId="0" fontId="49" fillId="4" borderId="6" xfId="0" applyFont="1" applyFill="1" applyBorder="1" applyAlignment="1">
      <alignment horizontal="center" vertical="center"/>
    </xf>
    <xf numFmtId="0" fontId="49" fillId="4" borderId="0" xfId="0" applyFont="1" applyFill="1" applyBorder="1" applyAlignment="1">
      <alignment horizontal="center" vertical="center"/>
    </xf>
    <xf numFmtId="0" fontId="54" fillId="0" borderId="21" xfId="0" applyFont="1" applyFill="1" applyBorder="1" applyAlignment="1">
      <alignment horizontal="center" vertical="center"/>
    </xf>
    <xf numFmtId="0" fontId="14" fillId="0" borderId="0" xfId="0" applyFont="1" applyFill="1" applyBorder="1"/>
    <xf numFmtId="0" fontId="3" fillId="0" borderId="0" xfId="0" applyFont="1" applyFill="1"/>
    <xf numFmtId="165" fontId="19" fillId="0" borderId="10" xfId="0" applyNumberFormat="1" applyFont="1" applyFill="1" applyBorder="1" applyAlignment="1">
      <alignment horizontal="center" vertical="center"/>
    </xf>
    <xf numFmtId="165" fontId="19" fillId="0" borderId="9" xfId="0" applyNumberFormat="1" applyFont="1" applyFill="1" applyBorder="1" applyAlignment="1">
      <alignment horizontal="center" vertical="center"/>
    </xf>
    <xf numFmtId="165" fontId="11" fillId="0" borderId="0" xfId="0" applyNumberFormat="1" applyFont="1" applyFill="1" applyBorder="1" applyAlignment="1">
      <alignment horizontal="center"/>
    </xf>
    <xf numFmtId="0" fontId="116" fillId="0" borderId="0" xfId="0" applyFont="1" applyFill="1"/>
    <xf numFmtId="0" fontId="17" fillId="0" borderId="0" xfId="0" applyFont="1" applyFill="1"/>
    <xf numFmtId="0" fontId="27" fillId="0" borderId="0" xfId="0" applyFont="1" applyFill="1"/>
    <xf numFmtId="165" fontId="7" fillId="0" borderId="0" xfId="0" applyNumberFormat="1" applyFont="1" applyFill="1" applyBorder="1" applyAlignment="1">
      <alignment horizontal="center" vertical="center"/>
    </xf>
    <xf numFmtId="165" fontId="56" fillId="0" borderId="6" xfId="0" applyNumberFormat="1" applyFont="1" applyFill="1" applyBorder="1" applyAlignment="1">
      <alignment horizontal="center" vertical="center"/>
    </xf>
    <xf numFmtId="2" fontId="19" fillId="0" borderId="31" xfId="0" applyNumberFormat="1" applyFont="1" applyFill="1" applyBorder="1" applyAlignment="1">
      <alignment horizontal="center" vertical="center"/>
    </xf>
    <xf numFmtId="2" fontId="19" fillId="0" borderId="15" xfId="0" applyNumberFormat="1" applyFont="1" applyFill="1" applyBorder="1" applyAlignment="1">
      <alignment horizontal="center" vertical="center"/>
    </xf>
    <xf numFmtId="2" fontId="21" fillId="0" borderId="14" xfId="0" applyNumberFormat="1" applyFont="1" applyFill="1" applyBorder="1" applyAlignment="1">
      <alignment horizontal="center" vertical="center"/>
    </xf>
    <xf numFmtId="2" fontId="21" fillId="7" borderId="14" xfId="0" applyNumberFormat="1" applyFont="1" applyFill="1" applyBorder="1" applyAlignment="1">
      <alignment horizontal="center" vertical="center"/>
    </xf>
    <xf numFmtId="2" fontId="19" fillId="7" borderId="15" xfId="0" applyNumberFormat="1" applyFont="1" applyFill="1" applyBorder="1" applyAlignment="1">
      <alignment horizontal="center" vertical="center"/>
    </xf>
    <xf numFmtId="2" fontId="19" fillId="7" borderId="14" xfId="0" applyNumberFormat="1" applyFont="1" applyFill="1" applyBorder="1" applyAlignment="1">
      <alignment horizontal="center" vertical="center"/>
    </xf>
    <xf numFmtId="167" fontId="49" fillId="0" borderId="19" xfId="0" applyNumberFormat="1" applyFont="1" applyFill="1" applyBorder="1" applyAlignment="1">
      <alignment horizontal="center" vertical="center"/>
    </xf>
    <xf numFmtId="0" fontId="52" fillId="10" borderId="6" xfId="0" applyFont="1" applyFill="1" applyBorder="1" applyAlignment="1">
      <alignment vertical="center"/>
    </xf>
    <xf numFmtId="0" fontId="69" fillId="10" borderId="6" xfId="0" applyFont="1" applyFill="1" applyBorder="1" applyAlignment="1">
      <alignment vertical="center"/>
    </xf>
    <xf numFmtId="0" fontId="69" fillId="10" borderId="23" xfId="0" applyFont="1" applyFill="1" applyBorder="1" applyAlignment="1">
      <alignment vertical="center"/>
    </xf>
    <xf numFmtId="0" fontId="7" fillId="0" borderId="21" xfId="0" applyFont="1" applyFill="1" applyBorder="1"/>
    <xf numFmtId="0" fontId="60" fillId="0" borderId="4" xfId="0" applyFont="1" applyFill="1" applyBorder="1" applyAlignment="1">
      <alignment horizontal="center"/>
    </xf>
    <xf numFmtId="0" fontId="60" fillId="0" borderId="7" xfId="0" applyFont="1" applyFill="1" applyBorder="1" applyAlignment="1">
      <alignment horizontal="center"/>
    </xf>
    <xf numFmtId="0" fontId="60" fillId="0" borderId="32" xfId="0" applyFont="1" applyFill="1" applyBorder="1" applyAlignment="1">
      <alignment horizontal="center"/>
    </xf>
    <xf numFmtId="0" fontId="60" fillId="0" borderId="18" xfId="0" applyFont="1" applyFill="1" applyBorder="1" applyAlignment="1">
      <alignment horizontal="center"/>
    </xf>
    <xf numFmtId="0" fontId="60" fillId="0" borderId="1" xfId="0" applyFont="1" applyFill="1" applyBorder="1" applyAlignment="1">
      <alignment horizontal="center"/>
    </xf>
    <xf numFmtId="0" fontId="60" fillId="0" borderId="8" xfId="0" applyFont="1" applyFill="1" applyBorder="1" applyAlignment="1">
      <alignment horizontal="center"/>
    </xf>
    <xf numFmtId="1" fontId="54" fillId="0" borderId="20" xfId="0" applyNumberFormat="1" applyFont="1" applyFill="1" applyBorder="1" applyAlignment="1">
      <alignment horizontal="center" vertical="center"/>
    </xf>
    <xf numFmtId="1" fontId="49" fillId="0" borderId="13" xfId="0" applyNumberFormat="1" applyFont="1" applyFill="1" applyBorder="1" applyAlignment="1">
      <alignment horizontal="center" vertical="center"/>
    </xf>
    <xf numFmtId="1" fontId="34" fillId="4" borderId="5" xfId="0" applyNumberFormat="1" applyFont="1" applyFill="1" applyBorder="1" applyAlignment="1" applyProtection="1">
      <alignment horizontal="center" vertical="center"/>
      <protection locked="0"/>
    </xf>
    <xf numFmtId="1" fontId="34" fillId="4" borderId="24" xfId="0" applyNumberFormat="1" applyFont="1" applyFill="1" applyBorder="1" applyAlignment="1" applyProtection="1">
      <alignment horizontal="right" vertical="center"/>
      <protection locked="0"/>
    </xf>
    <xf numFmtId="1" fontId="54" fillId="0" borderId="15" xfId="0" applyNumberFormat="1" applyFont="1" applyFill="1" applyBorder="1" applyAlignment="1">
      <alignment horizontal="center" vertical="center"/>
    </xf>
    <xf numFmtId="1" fontId="49" fillId="0" borderId="14" xfId="0" applyNumberFormat="1" applyFont="1" applyFill="1" applyBorder="1" applyAlignment="1">
      <alignment horizontal="center" vertical="center"/>
    </xf>
    <xf numFmtId="1" fontId="49" fillId="7" borderId="14" xfId="0" applyNumberFormat="1" applyFont="1" applyFill="1" applyBorder="1" applyAlignment="1">
      <alignment horizontal="center" vertical="center"/>
    </xf>
    <xf numFmtId="1" fontId="49" fillId="7" borderId="11" xfId="0" applyNumberFormat="1" applyFont="1" applyFill="1" applyBorder="1" applyAlignment="1">
      <alignment horizontal="center" vertical="center"/>
    </xf>
    <xf numFmtId="1" fontId="49" fillId="7" borderId="13" xfId="0" applyNumberFormat="1" applyFont="1" applyFill="1" applyBorder="1" applyAlignment="1">
      <alignment horizontal="center" vertical="center"/>
    </xf>
    <xf numFmtId="1" fontId="54" fillId="7" borderId="15" xfId="0" applyNumberFormat="1" applyFont="1" applyFill="1" applyBorder="1" applyAlignment="1">
      <alignment horizontal="center" vertical="center"/>
    </xf>
    <xf numFmtId="1" fontId="54" fillId="7" borderId="16" xfId="0" applyNumberFormat="1" applyFont="1" applyFill="1" applyBorder="1" applyAlignment="1">
      <alignment horizontal="center" vertical="center"/>
    </xf>
    <xf numFmtId="1" fontId="54" fillId="7" borderId="20" xfId="0" applyNumberFormat="1" applyFont="1" applyFill="1" applyBorder="1" applyAlignment="1">
      <alignment horizontal="center" vertical="center"/>
    </xf>
    <xf numFmtId="1" fontId="54" fillId="7" borderId="11" xfId="0" applyNumberFormat="1" applyFont="1" applyFill="1" applyBorder="1" applyAlignment="1">
      <alignment horizontal="center" vertical="center"/>
    </xf>
    <xf numFmtId="1" fontId="54" fillId="7" borderId="13" xfId="0" applyNumberFormat="1" applyFont="1" applyFill="1" applyBorder="1" applyAlignment="1">
      <alignment horizontal="center" vertical="center"/>
    </xf>
    <xf numFmtId="0" fontId="50" fillId="0" borderId="11" xfId="0" applyFont="1" applyFill="1" applyBorder="1" applyAlignment="1">
      <alignment horizontal="center" vertical="center"/>
    </xf>
    <xf numFmtId="0" fontId="72" fillId="0" borderId="23" xfId="0" applyFont="1" applyFill="1" applyBorder="1" applyAlignment="1">
      <alignment horizontal="center" vertical="center"/>
    </xf>
    <xf numFmtId="0" fontId="72" fillId="0" borderId="16" xfId="0" applyFont="1" applyFill="1" applyBorder="1" applyAlignment="1">
      <alignment horizontal="center" vertical="center"/>
    </xf>
    <xf numFmtId="3" fontId="73" fillId="0" borderId="23" xfId="0" applyNumberFormat="1" applyFont="1" applyFill="1" applyBorder="1" applyAlignment="1">
      <alignment horizontal="center" vertical="center"/>
    </xf>
    <xf numFmtId="3" fontId="74" fillId="0" borderId="22" xfId="0" applyNumberFormat="1" applyFont="1" applyFill="1" applyBorder="1" applyAlignment="1">
      <alignment horizontal="center" vertical="center"/>
    </xf>
    <xf numFmtId="3" fontId="73" fillId="0" borderId="6" xfId="0" applyNumberFormat="1" applyFont="1" applyFill="1" applyBorder="1" applyAlignment="1">
      <alignment horizontal="center" vertical="center"/>
    </xf>
    <xf numFmtId="3" fontId="74" fillId="7" borderId="22" xfId="0" applyNumberFormat="1" applyFont="1" applyFill="1" applyBorder="1" applyAlignment="1">
      <alignment horizontal="center" vertical="center"/>
    </xf>
    <xf numFmtId="3" fontId="73" fillId="7" borderId="23" xfId="0" applyNumberFormat="1" applyFont="1" applyFill="1" applyBorder="1" applyAlignment="1">
      <alignment horizontal="center" vertical="center"/>
    </xf>
    <xf numFmtId="3" fontId="73" fillId="7" borderId="22" xfId="0" applyNumberFormat="1" applyFont="1" applyFill="1" applyBorder="1" applyAlignment="1">
      <alignment horizontal="center" vertical="center"/>
    </xf>
    <xf numFmtId="0" fontId="54" fillId="0" borderId="21" xfId="0" applyFont="1" applyFill="1" applyBorder="1" applyAlignment="1">
      <alignment horizontal="left" vertical="center"/>
    </xf>
    <xf numFmtId="0" fontId="54" fillId="0" borderId="21" xfId="0" applyFont="1" applyFill="1" applyBorder="1" applyAlignment="1">
      <alignment vertical="center"/>
    </xf>
    <xf numFmtId="0" fontId="49" fillId="0" borderId="21" xfId="0" applyFont="1" applyFill="1" applyBorder="1" applyAlignment="1">
      <alignment vertical="center"/>
    </xf>
    <xf numFmtId="165" fontId="125" fillId="0" borderId="33" xfId="0" applyNumberFormat="1" applyFont="1" applyFill="1" applyBorder="1" applyAlignment="1" applyProtection="1">
      <alignment horizontal="center" vertical="center"/>
      <protection locked="0"/>
    </xf>
    <xf numFmtId="2" fontId="125" fillId="0" borderId="33" xfId="0" applyNumberFormat="1" applyFont="1" applyFill="1" applyBorder="1" applyAlignment="1" applyProtection="1">
      <alignment horizontal="center" vertical="center"/>
      <protection locked="0"/>
    </xf>
    <xf numFmtId="2" fontId="125" fillId="0" borderId="19" xfId="0" applyNumberFormat="1" applyFont="1" applyFill="1" applyBorder="1" applyAlignment="1">
      <alignment horizontal="center" vertical="center"/>
    </xf>
    <xf numFmtId="165" fontId="119" fillId="9" borderId="4" xfId="0" applyNumberFormat="1" applyFont="1" applyFill="1" applyBorder="1" applyAlignment="1">
      <alignment vertical="center"/>
    </xf>
    <xf numFmtId="0" fontId="76" fillId="0" borderId="0" xfId="0" applyFont="1" applyFill="1" applyBorder="1" applyAlignment="1">
      <alignment vertical="center"/>
    </xf>
    <xf numFmtId="0" fontId="76" fillId="5" borderId="0" xfId="0" applyFont="1" applyFill="1" applyAlignment="1">
      <alignment vertical="center"/>
    </xf>
    <xf numFmtId="165" fontId="119" fillId="0" borderId="2" xfId="0" applyNumberFormat="1" applyFont="1" applyFill="1" applyBorder="1" applyAlignment="1" applyProtection="1">
      <alignment horizontal="center" vertical="center"/>
      <protection locked="0"/>
    </xf>
    <xf numFmtId="0" fontId="54" fillId="4" borderId="3" xfId="0" applyFont="1" applyFill="1" applyBorder="1" applyAlignment="1" applyProtection="1">
      <alignment horizontal="center" vertical="center"/>
      <protection locked="0"/>
    </xf>
    <xf numFmtId="0" fontId="54" fillId="4" borderId="8" xfId="0" applyFont="1" applyFill="1" applyBorder="1" applyAlignment="1" applyProtection="1">
      <alignment horizontal="center" vertical="center"/>
      <protection locked="0"/>
    </xf>
    <xf numFmtId="1" fontId="53" fillId="4" borderId="24" xfId="0" applyNumberFormat="1" applyFont="1" applyFill="1" applyBorder="1" applyAlignment="1" applyProtection="1">
      <alignment horizontal="center" vertical="top"/>
      <protection locked="0"/>
    </xf>
    <xf numFmtId="165" fontId="126" fillId="6" borderId="0" xfId="0" applyNumberFormat="1" applyFont="1" applyFill="1" applyBorder="1" applyAlignment="1" applyProtection="1">
      <alignment horizontal="center" vertical="top"/>
      <protection locked="0"/>
    </xf>
    <xf numFmtId="165" fontId="127" fillId="6" borderId="0" xfId="0" applyNumberFormat="1" applyFont="1" applyFill="1" applyBorder="1" applyAlignment="1" applyProtection="1">
      <alignment horizontal="center" vertical="top"/>
      <protection locked="0"/>
    </xf>
    <xf numFmtId="0" fontId="126" fillId="6" borderId="0" xfId="0" applyFont="1" applyFill="1" applyBorder="1" applyAlignment="1">
      <alignment vertical="top"/>
    </xf>
    <xf numFmtId="3" fontId="72" fillId="0" borderId="6" xfId="0" applyNumberFormat="1" applyFont="1" applyFill="1" applyBorder="1" applyAlignment="1">
      <alignment horizontal="center" vertical="center"/>
    </xf>
    <xf numFmtId="3" fontId="50" fillId="0" borderId="2" xfId="0" applyNumberFormat="1" applyFont="1" applyFill="1" applyBorder="1" applyAlignment="1">
      <alignment horizontal="center" vertical="center"/>
    </xf>
    <xf numFmtId="1" fontId="54" fillId="0" borderId="7" xfId="0" applyNumberFormat="1" applyFont="1" applyFill="1" applyBorder="1" applyAlignment="1">
      <alignment horizontal="center" vertical="center"/>
    </xf>
    <xf numFmtId="165" fontId="56" fillId="0" borderId="22" xfId="0" applyNumberFormat="1" applyFont="1" applyFill="1" applyBorder="1" applyAlignment="1">
      <alignment horizontal="center" vertical="center"/>
    </xf>
    <xf numFmtId="1" fontId="128" fillId="0" borderId="33" xfId="0" applyNumberFormat="1" applyFont="1" applyFill="1" applyBorder="1" applyAlignment="1" applyProtection="1">
      <alignment horizontal="center" vertical="center"/>
      <protection locked="0"/>
    </xf>
    <xf numFmtId="165" fontId="128" fillId="0" borderId="33" xfId="0" applyNumberFormat="1" applyFont="1" applyFill="1" applyBorder="1" applyAlignment="1" applyProtection="1">
      <alignment horizontal="center" vertical="center"/>
      <protection locked="0"/>
    </xf>
    <xf numFmtId="1" fontId="75" fillId="0" borderId="17" xfId="0" applyNumberFormat="1" applyFont="1" applyFill="1" applyBorder="1" applyAlignment="1" applyProtection="1">
      <alignment horizontal="center" vertical="center"/>
      <protection locked="0"/>
    </xf>
    <xf numFmtId="0" fontId="128" fillId="0" borderId="17" xfId="0" applyFont="1" applyFill="1" applyBorder="1" applyAlignment="1" applyProtection="1">
      <alignment horizontal="center" vertical="center"/>
      <protection locked="0"/>
    </xf>
    <xf numFmtId="4" fontId="128" fillId="0" borderId="4" xfId="0" applyNumberFormat="1" applyFont="1" applyFill="1" applyBorder="1" applyAlignment="1" applyProtection="1">
      <alignment horizontal="center" vertical="center"/>
      <protection locked="0"/>
    </xf>
    <xf numFmtId="1" fontId="128" fillId="0" borderId="4" xfId="0" applyNumberFormat="1" applyFont="1" applyFill="1" applyBorder="1" applyAlignment="1" applyProtection="1">
      <alignment horizontal="center" vertical="center"/>
      <protection locked="0"/>
    </xf>
    <xf numFmtId="3" fontId="128" fillId="0" borderId="4" xfId="0" applyNumberFormat="1" applyFont="1" applyFill="1" applyBorder="1" applyAlignment="1" applyProtection="1">
      <alignment horizontal="center" vertical="center"/>
      <protection locked="0"/>
    </xf>
    <xf numFmtId="165" fontId="129" fillId="0" borderId="4" xfId="0" applyNumberFormat="1" applyFont="1" applyFill="1" applyBorder="1" applyAlignment="1">
      <alignment horizontal="center" vertical="center"/>
    </xf>
    <xf numFmtId="165" fontId="129" fillId="0" borderId="34" xfId="0" applyNumberFormat="1" applyFont="1" applyFill="1" applyBorder="1" applyAlignment="1" applyProtection="1">
      <alignment horizontal="center" vertical="center"/>
      <protection locked="0"/>
    </xf>
    <xf numFmtId="1" fontId="129" fillId="0" borderId="33" xfId="0" applyNumberFormat="1" applyFont="1" applyFill="1" applyBorder="1" applyAlignment="1" applyProtection="1">
      <alignment horizontal="center" vertical="center"/>
      <protection locked="0"/>
    </xf>
    <xf numFmtId="0" fontId="129" fillId="0" borderId="0" xfId="0" applyFont="1" applyFill="1" applyBorder="1" applyAlignment="1">
      <alignment horizontal="center" vertical="center"/>
    </xf>
    <xf numFmtId="0" fontId="129" fillId="0" borderId="0" xfId="0" applyFont="1" applyFill="1" applyBorder="1" applyAlignment="1">
      <alignment vertical="center"/>
    </xf>
    <xf numFmtId="1" fontId="130" fillId="4" borderId="30" xfId="0" applyNumberFormat="1" applyFont="1" applyFill="1" applyBorder="1" applyAlignment="1">
      <alignment horizontal="center" vertical="center"/>
    </xf>
    <xf numFmtId="0" fontId="49" fillId="4" borderId="7" xfId="0" applyFont="1" applyFill="1" applyBorder="1" applyAlignment="1">
      <alignment horizontal="center" vertical="center"/>
    </xf>
    <xf numFmtId="0" fontId="49" fillId="0" borderId="6" xfId="0" applyFont="1" applyBorder="1" applyAlignment="1">
      <alignment horizontal="center" vertical="center"/>
    </xf>
    <xf numFmtId="0" fontId="49" fillId="4" borderId="25" xfId="0" applyFont="1" applyFill="1" applyBorder="1" applyAlignment="1">
      <alignment horizontal="center"/>
    </xf>
    <xf numFmtId="0" fontId="34" fillId="4" borderId="35" xfId="0" applyFont="1" applyFill="1" applyBorder="1" applyAlignment="1">
      <alignment horizontal="center"/>
    </xf>
    <xf numFmtId="0" fontId="34" fillId="4" borderId="35" xfId="0" applyFont="1" applyFill="1" applyBorder="1" applyAlignment="1">
      <alignment horizontal="center" vertical="center"/>
    </xf>
    <xf numFmtId="165" fontId="19" fillId="0" borderId="27" xfId="0" applyNumberFormat="1" applyFont="1" applyFill="1" applyBorder="1" applyAlignment="1">
      <alignment horizontal="center" vertical="center"/>
    </xf>
    <xf numFmtId="1" fontId="45" fillId="0" borderId="27" xfId="0" applyNumberFormat="1" applyFont="1" applyFill="1" applyBorder="1" applyAlignment="1">
      <alignment horizontal="center" vertical="center"/>
    </xf>
    <xf numFmtId="2" fontId="45" fillId="0" borderId="27" xfId="0" applyNumberFormat="1" applyFont="1" applyFill="1" applyBorder="1" applyAlignment="1">
      <alignment horizontal="center" vertical="center"/>
    </xf>
    <xf numFmtId="1" fontId="19" fillId="0" borderId="27" xfId="0" applyNumberFormat="1" applyFont="1" applyFill="1" applyBorder="1" applyAlignment="1">
      <alignment horizontal="center" vertical="center"/>
    </xf>
    <xf numFmtId="0" fontId="129" fillId="0" borderId="9" xfId="0" applyFont="1" applyFill="1" applyBorder="1" applyAlignment="1">
      <alignment horizontal="center" vertical="center"/>
    </xf>
    <xf numFmtId="0" fontId="129" fillId="0" borderId="10" xfId="0" applyFont="1" applyFill="1" applyBorder="1" applyAlignment="1">
      <alignment horizontal="center" vertical="center"/>
    </xf>
    <xf numFmtId="165" fontId="21" fillId="0" borderId="10" xfId="0" applyNumberFormat="1" applyFont="1" applyFill="1" applyBorder="1" applyAlignment="1">
      <alignment horizontal="center" vertical="center"/>
    </xf>
    <xf numFmtId="1" fontId="131" fillId="0" borderId="10" xfId="0" applyNumberFormat="1" applyFont="1" applyFill="1" applyBorder="1" applyAlignment="1">
      <alignment horizontal="center" vertical="center"/>
    </xf>
    <xf numFmtId="2" fontId="25" fillId="0" borderId="10" xfId="0" applyNumberFormat="1" applyFont="1" applyFill="1" applyBorder="1" applyAlignment="1">
      <alignment horizontal="center" vertical="center"/>
    </xf>
    <xf numFmtId="0" fontId="131" fillId="12" borderId="10" xfId="0" applyFont="1" applyFill="1" applyBorder="1" applyAlignment="1">
      <alignment horizontal="center" vertical="center"/>
    </xf>
    <xf numFmtId="165" fontId="131" fillId="7" borderId="10" xfId="0" applyNumberFormat="1" applyFont="1" applyFill="1" applyBorder="1" applyAlignment="1">
      <alignment horizontal="center" vertical="center"/>
    </xf>
    <xf numFmtId="0" fontId="129" fillId="12" borderId="9" xfId="0" applyFont="1" applyFill="1" applyBorder="1" applyAlignment="1">
      <alignment horizontal="center" vertical="center"/>
    </xf>
    <xf numFmtId="165" fontId="129" fillId="7" borderId="9" xfId="0" applyNumberFormat="1" applyFont="1" applyFill="1" applyBorder="1" applyAlignment="1">
      <alignment horizontal="center" vertical="center"/>
    </xf>
    <xf numFmtId="0" fontId="129" fillId="12" borderId="10" xfId="0" applyFont="1" applyFill="1" applyBorder="1" applyAlignment="1">
      <alignment horizontal="center" vertical="center"/>
    </xf>
    <xf numFmtId="165" fontId="129" fillId="7" borderId="10" xfId="0" applyNumberFormat="1" applyFont="1" applyFill="1" applyBorder="1" applyAlignment="1">
      <alignment horizontal="center" vertical="center"/>
    </xf>
    <xf numFmtId="165" fontId="21" fillId="0" borderId="35" xfId="0" applyNumberFormat="1" applyFont="1" applyFill="1" applyBorder="1" applyAlignment="1">
      <alignment horizontal="center" vertical="center"/>
    </xf>
    <xf numFmtId="165" fontId="49" fillId="0" borderId="33" xfId="0" applyNumberFormat="1" applyFont="1" applyFill="1" applyBorder="1" applyAlignment="1">
      <alignment horizontal="center" vertical="center"/>
    </xf>
    <xf numFmtId="0" fontId="49" fillId="0" borderId="33" xfId="0" applyFont="1" applyFill="1" applyBorder="1" applyAlignment="1">
      <alignment horizontal="center" vertical="center"/>
    </xf>
    <xf numFmtId="2" fontId="49" fillId="0" borderId="33" xfId="0" applyNumberFormat="1" applyFont="1" applyFill="1" applyBorder="1" applyAlignment="1">
      <alignment horizontal="center" vertical="center"/>
    </xf>
    <xf numFmtId="1" fontId="49" fillId="0" borderId="33" xfId="0" applyNumberFormat="1" applyFont="1" applyFill="1" applyBorder="1" applyAlignment="1">
      <alignment horizontal="center" vertical="center"/>
    </xf>
    <xf numFmtId="0" fontId="33" fillId="0" borderId="34" xfId="0" applyFont="1" applyBorder="1" applyAlignment="1">
      <alignment horizontal="center" vertical="center"/>
    </xf>
    <xf numFmtId="0" fontId="67" fillId="0" borderId="0" xfId="0" applyFont="1" applyFill="1" applyBorder="1"/>
    <xf numFmtId="2" fontId="67" fillId="0" borderId="0" xfId="0" applyNumberFormat="1" applyFont="1" applyFill="1" applyBorder="1"/>
    <xf numFmtId="0" fontId="30" fillId="0" borderId="0" xfId="0" applyFont="1" applyFill="1" applyBorder="1"/>
    <xf numFmtId="166" fontId="30" fillId="0" borderId="0" xfId="0" applyNumberFormat="1" applyFont="1" applyFill="1" applyBorder="1"/>
    <xf numFmtId="3" fontId="30" fillId="0" borderId="0" xfId="0" applyNumberFormat="1" applyFont="1" applyFill="1" applyBorder="1"/>
    <xf numFmtId="1" fontId="30" fillId="0" borderId="0" xfId="0" applyNumberFormat="1" applyFont="1" applyFill="1" applyBorder="1"/>
    <xf numFmtId="0" fontId="49" fillId="4" borderId="36" xfId="0" applyFont="1" applyFill="1" applyBorder="1" applyAlignment="1">
      <alignment horizontal="center" vertical="center"/>
    </xf>
    <xf numFmtId="0" fontId="49" fillId="4" borderId="37" xfId="0" applyFont="1" applyFill="1" applyBorder="1" applyAlignment="1">
      <alignment horizontal="center" vertical="center"/>
    </xf>
    <xf numFmtId="165" fontId="129" fillId="0" borderId="33" xfId="0" applyNumberFormat="1" applyFont="1" applyFill="1" applyBorder="1" applyAlignment="1" applyProtection="1">
      <alignment horizontal="center" vertical="center"/>
      <protection locked="0"/>
    </xf>
    <xf numFmtId="2" fontId="129" fillId="0" borderId="33" xfId="0" applyNumberFormat="1" applyFont="1" applyFill="1" applyBorder="1" applyAlignment="1" applyProtection="1">
      <alignment horizontal="center" vertical="center"/>
      <protection locked="0"/>
    </xf>
    <xf numFmtId="165" fontId="49" fillId="0" borderId="34" xfId="0" applyNumberFormat="1" applyFont="1" applyFill="1" applyBorder="1" applyAlignment="1" applyProtection="1">
      <alignment horizontal="center" vertical="center"/>
      <protection locked="0"/>
    </xf>
    <xf numFmtId="165" fontId="49" fillId="0" borderId="33" xfId="0" applyNumberFormat="1" applyFont="1" applyFill="1" applyBorder="1" applyAlignment="1" applyProtection="1">
      <alignment horizontal="center" vertical="center"/>
      <protection locked="0"/>
    </xf>
    <xf numFmtId="0" fontId="49" fillId="0" borderId="33" xfId="0" applyFont="1" applyBorder="1" applyAlignment="1">
      <alignment horizontal="center" vertical="center"/>
    </xf>
    <xf numFmtId="2" fontId="49" fillId="0" borderId="33" xfId="0" applyNumberFormat="1" applyFont="1" applyFill="1" applyBorder="1" applyAlignment="1" applyProtection="1">
      <alignment horizontal="center" vertical="center"/>
      <protection locked="0"/>
    </xf>
    <xf numFmtId="1" fontId="49" fillId="0" borderId="33" xfId="0" applyNumberFormat="1" applyFont="1" applyFill="1" applyBorder="1" applyAlignment="1" applyProtection="1">
      <alignment horizontal="center" vertical="center"/>
      <protection locked="0"/>
    </xf>
    <xf numFmtId="0" fontId="61" fillId="0" borderId="0" xfId="0" applyFont="1" applyBorder="1" applyAlignment="1">
      <alignment horizontal="center"/>
    </xf>
    <xf numFmtId="0" fontId="59" fillId="0" borderId="0" xfId="0" applyFont="1" applyBorder="1" applyAlignment="1">
      <alignment horizontal="center"/>
    </xf>
    <xf numFmtId="164" fontId="77" fillId="0" borderId="0" xfId="1" applyFont="1" applyBorder="1" applyAlignment="1"/>
    <xf numFmtId="0" fontId="50" fillId="0" borderId="0" xfId="0" applyFont="1" applyBorder="1" applyAlignment="1">
      <alignment horizontal="center"/>
    </xf>
    <xf numFmtId="0" fontId="50" fillId="0" borderId="0" xfId="0" applyFont="1" applyBorder="1" applyAlignment="1"/>
    <xf numFmtId="0" fontId="59" fillId="0" borderId="0" xfId="0" applyFont="1" applyFill="1" applyBorder="1" applyAlignment="1">
      <alignment horizontal="center"/>
    </xf>
    <xf numFmtId="0" fontId="73" fillId="0" borderId="0" xfId="0" applyFont="1"/>
    <xf numFmtId="0" fontId="33" fillId="0" borderId="0" xfId="3" applyFont="1" applyAlignment="1">
      <alignment horizontal="left"/>
    </xf>
    <xf numFmtId="0" fontId="50" fillId="0" borderId="0" xfId="0" applyFont="1" applyFill="1" applyAlignment="1"/>
    <xf numFmtId="0" fontId="49" fillId="0" borderId="0" xfId="0" applyFont="1" applyAlignment="1">
      <alignment horizontal="right"/>
    </xf>
    <xf numFmtId="0" fontId="43" fillId="0" borderId="0" xfId="0" applyFont="1" applyFill="1" applyAlignment="1">
      <alignment horizontal="center" vertical="center"/>
    </xf>
    <xf numFmtId="0" fontId="32" fillId="0" borderId="0" xfId="0" applyFont="1" applyFill="1" applyBorder="1" applyAlignment="1" applyProtection="1">
      <alignment horizontal="left" vertical="center"/>
      <protection locked="0"/>
    </xf>
    <xf numFmtId="0" fontId="73" fillId="0" borderId="0" xfId="0" applyFont="1" applyAlignment="1"/>
    <xf numFmtId="1" fontId="129" fillId="0" borderId="27" xfId="0" applyNumberFormat="1" applyFont="1" applyFill="1" applyBorder="1" applyAlignment="1">
      <alignment horizontal="center" vertical="center"/>
    </xf>
    <xf numFmtId="2" fontId="129" fillId="0" borderId="27" xfId="0" applyNumberFormat="1" applyFont="1" applyFill="1" applyBorder="1" applyAlignment="1">
      <alignment horizontal="center" vertical="center"/>
    </xf>
    <xf numFmtId="165" fontId="56" fillId="0" borderId="36" xfId="0" applyNumberFormat="1" applyFont="1" applyFill="1" applyBorder="1" applyAlignment="1">
      <alignment horizontal="center" vertical="center"/>
    </xf>
    <xf numFmtId="1" fontId="129" fillId="0" borderId="25" xfId="0" applyNumberFormat="1" applyFont="1" applyFill="1" applyBorder="1" applyAlignment="1">
      <alignment horizontal="center" vertical="center"/>
    </xf>
    <xf numFmtId="2" fontId="129" fillId="0" borderId="25" xfId="0" applyNumberFormat="1" applyFont="1" applyFill="1" applyBorder="1" applyAlignment="1">
      <alignment horizontal="center" vertical="center"/>
    </xf>
    <xf numFmtId="1" fontId="129" fillId="0" borderId="9" xfId="0" applyNumberFormat="1" applyFont="1" applyFill="1" applyBorder="1" applyAlignment="1">
      <alignment horizontal="center" vertical="center"/>
    </xf>
    <xf numFmtId="165" fontId="56" fillId="0" borderId="38" xfId="0" applyNumberFormat="1" applyFont="1" applyFill="1" applyBorder="1" applyAlignment="1">
      <alignment horizontal="center" vertical="center"/>
    </xf>
    <xf numFmtId="4" fontId="54" fillId="0" borderId="12" xfId="0" applyNumberFormat="1" applyFont="1" applyFill="1" applyBorder="1" applyAlignment="1">
      <alignment horizontal="center" vertical="center"/>
    </xf>
    <xf numFmtId="4" fontId="49" fillId="0" borderId="12" xfId="0" applyNumberFormat="1" applyFont="1" applyFill="1" applyBorder="1" applyAlignment="1">
      <alignment horizontal="center" vertical="center"/>
    </xf>
    <xf numFmtId="4" fontId="49" fillId="13" borderId="12" xfId="0" applyNumberFormat="1" applyFont="1" applyFill="1" applyBorder="1" applyAlignment="1">
      <alignment horizontal="center" vertical="center"/>
    </xf>
    <xf numFmtId="0" fontId="58" fillId="14" borderId="39" xfId="0" applyFont="1" applyFill="1" applyBorder="1" applyAlignment="1" applyProtection="1">
      <alignment horizontal="center" vertical="center"/>
      <protection locked="0"/>
    </xf>
    <xf numFmtId="0" fontId="58" fillId="14" borderId="4" xfId="0" applyFont="1" applyFill="1" applyBorder="1" applyAlignment="1">
      <alignment horizontal="center" vertical="center"/>
    </xf>
    <xf numFmtId="1" fontId="128" fillId="14" borderId="4" xfId="0" applyNumberFormat="1" applyFont="1" applyFill="1" applyBorder="1" applyAlignment="1" applyProtection="1">
      <alignment horizontal="center" vertical="center"/>
      <protection locked="0"/>
    </xf>
    <xf numFmtId="1" fontId="128" fillId="14" borderId="19" xfId="0" applyNumberFormat="1" applyFont="1" applyFill="1" applyBorder="1" applyAlignment="1" applyProtection="1">
      <alignment horizontal="center" vertical="center"/>
      <protection locked="0"/>
    </xf>
    <xf numFmtId="165" fontId="42" fillId="6" borderId="0" xfId="0" applyNumberFormat="1" applyFont="1" applyFill="1" applyBorder="1" applyAlignment="1" applyProtection="1">
      <alignment horizontal="center" vertical="top"/>
      <protection locked="0"/>
    </xf>
    <xf numFmtId="0" fontId="79" fillId="0" borderId="0" xfId="0" applyFont="1"/>
    <xf numFmtId="0" fontId="49" fillId="4" borderId="30" xfId="0" applyFont="1" applyFill="1" applyBorder="1" applyAlignment="1">
      <alignment horizontal="center" vertical="center"/>
    </xf>
    <xf numFmtId="167" fontId="56" fillId="0" borderId="31" xfId="0" applyNumberFormat="1" applyFont="1" applyFill="1" applyBorder="1" applyAlignment="1">
      <alignment horizontal="center" vertical="center"/>
    </xf>
    <xf numFmtId="167" fontId="56" fillId="0" borderId="30" xfId="0" applyNumberFormat="1" applyFont="1" applyFill="1" applyBorder="1" applyAlignment="1">
      <alignment horizontal="center" vertical="center"/>
    </xf>
    <xf numFmtId="167" fontId="56" fillId="0" borderId="14" xfId="0" applyNumberFormat="1" applyFont="1" applyFill="1" applyBorder="1" applyAlignment="1">
      <alignment horizontal="center" vertical="center"/>
    </xf>
    <xf numFmtId="167" fontId="129" fillId="0" borderId="19" xfId="0" applyNumberFormat="1" applyFont="1" applyFill="1" applyBorder="1" applyAlignment="1">
      <alignment horizontal="center" vertical="center"/>
    </xf>
    <xf numFmtId="2" fontId="56" fillId="0" borderId="40" xfId="0" applyNumberFormat="1" applyFont="1" applyFill="1" applyBorder="1" applyAlignment="1">
      <alignment horizontal="center" vertical="center"/>
    </xf>
    <xf numFmtId="2" fontId="56" fillId="0" borderId="37" xfId="0" applyNumberFormat="1" applyFont="1" applyFill="1" applyBorder="1" applyAlignment="1">
      <alignment horizontal="center" vertical="center"/>
    </xf>
    <xf numFmtId="2" fontId="129" fillId="0" borderId="18" xfId="0" applyNumberFormat="1" applyFont="1" applyFill="1" applyBorder="1" applyAlignment="1">
      <alignment horizontal="center" vertical="center"/>
    </xf>
    <xf numFmtId="167" fontId="43" fillId="0" borderId="14" xfId="0" applyNumberFormat="1" applyFont="1" applyFill="1" applyBorder="1" applyAlignment="1">
      <alignment horizontal="center" vertical="center"/>
    </xf>
    <xf numFmtId="0" fontId="49" fillId="4" borderId="5" xfId="0" applyFont="1" applyFill="1" applyBorder="1" applyAlignment="1">
      <alignment horizontal="center"/>
    </xf>
    <xf numFmtId="0" fontId="16" fillId="0" borderId="20" xfId="0" applyFont="1" applyFill="1" applyBorder="1" applyAlignment="1">
      <alignment horizontal="center" vertical="center" wrapText="1"/>
    </xf>
    <xf numFmtId="0" fontId="16" fillId="7" borderId="13" xfId="0" applyFont="1" applyFill="1" applyBorder="1" applyAlignment="1">
      <alignment horizontal="center" vertical="center" wrapText="1"/>
    </xf>
    <xf numFmtId="0" fontId="75" fillId="14" borderId="17" xfId="0" applyFont="1" applyFill="1" applyBorder="1" applyAlignment="1">
      <alignment horizontal="center" vertical="center"/>
    </xf>
    <xf numFmtId="0" fontId="79" fillId="0" borderId="0" xfId="0" applyFont="1" applyFill="1"/>
    <xf numFmtId="0" fontId="79" fillId="0" borderId="16" xfId="0" applyFont="1" applyFill="1" applyBorder="1"/>
    <xf numFmtId="0" fontId="79" fillId="0" borderId="16" xfId="0" applyFont="1" applyBorder="1"/>
    <xf numFmtId="0" fontId="79" fillId="0" borderId="0" xfId="0" applyFont="1" applyAlignment="1"/>
    <xf numFmtId="0" fontId="21" fillId="15" borderId="0" xfId="0" applyFont="1" applyFill="1" applyBorder="1" applyAlignment="1">
      <alignment vertical="center"/>
    </xf>
    <xf numFmtId="0" fontId="11" fillId="15" borderId="0" xfId="0" applyFont="1" applyFill="1" applyBorder="1" applyAlignment="1">
      <alignment vertical="center"/>
    </xf>
    <xf numFmtId="0" fontId="41" fillId="0" borderId="0" xfId="0" applyFont="1" applyBorder="1" applyAlignment="1">
      <alignment vertical="center"/>
    </xf>
    <xf numFmtId="0" fontId="41" fillId="0" borderId="0" xfId="0" applyFont="1" applyBorder="1" applyAlignment="1">
      <alignment horizontal="center" vertical="center"/>
    </xf>
    <xf numFmtId="49" fontId="42" fillId="0" borderId="0" xfId="0" applyNumberFormat="1" applyFont="1" applyBorder="1" applyAlignment="1">
      <alignment horizontal="center"/>
    </xf>
    <xf numFmtId="165" fontId="41" fillId="0" borderId="0" xfId="0" applyNumberFormat="1" applyFont="1" applyBorder="1" applyAlignment="1">
      <alignment horizontal="center"/>
    </xf>
    <xf numFmtId="0" fontId="41" fillId="0" borderId="0" xfId="0" applyFont="1" applyFill="1" applyBorder="1" applyAlignment="1">
      <alignment horizontal="center" vertical="center" textRotation="90"/>
    </xf>
    <xf numFmtId="1" fontId="43" fillId="0" borderId="0" xfId="0" applyNumberFormat="1" applyFont="1" applyFill="1" applyBorder="1" applyAlignment="1">
      <alignment horizontal="center"/>
    </xf>
    <xf numFmtId="1" fontId="56" fillId="0" borderId="0" xfId="0" applyNumberFormat="1" applyFont="1" applyFill="1" applyBorder="1" applyAlignment="1"/>
    <xf numFmtId="0" fontId="49" fillId="4" borderId="17" xfId="0" applyFont="1" applyFill="1" applyBorder="1" applyAlignment="1">
      <alignment horizontal="center" vertical="center" wrapText="1"/>
    </xf>
    <xf numFmtId="0" fontId="49" fillId="4" borderId="19" xfId="0" applyFont="1" applyFill="1" applyBorder="1" applyAlignment="1">
      <alignment horizontal="center" vertical="center" wrapText="1"/>
    </xf>
    <xf numFmtId="0" fontId="49" fillId="4" borderId="39" xfId="0" applyFont="1" applyFill="1" applyBorder="1" applyAlignment="1">
      <alignment horizontal="center" vertical="center" wrapText="1"/>
    </xf>
    <xf numFmtId="0" fontId="76" fillId="0" borderId="0" xfId="0" applyFont="1" applyFill="1" applyAlignment="1">
      <alignment vertical="center"/>
    </xf>
    <xf numFmtId="0" fontId="33" fillId="0" borderId="33" xfId="0" applyFont="1" applyBorder="1" applyAlignment="1">
      <alignment horizontal="center" vertical="center"/>
    </xf>
    <xf numFmtId="0" fontId="54" fillId="0" borderId="21" xfId="0" applyFont="1" applyFill="1" applyBorder="1" applyAlignment="1">
      <alignment horizontal="left" vertical="center" wrapText="1"/>
    </xf>
    <xf numFmtId="4" fontId="54" fillId="0" borderId="12" xfId="0" applyNumberFormat="1" applyFont="1" applyFill="1" applyBorder="1" applyAlignment="1">
      <alignment horizontal="center" vertical="center" wrapText="1"/>
    </xf>
    <xf numFmtId="0" fontId="49" fillId="4" borderId="2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right"/>
    </xf>
    <xf numFmtId="0" fontId="33" fillId="0" borderId="1" xfId="0" applyFont="1" applyBorder="1" applyAlignment="1"/>
    <xf numFmtId="0" fontId="80" fillId="0" borderId="4" xfId="0" applyFont="1" applyFill="1" applyBorder="1" applyAlignment="1" applyProtection="1">
      <alignment horizontal="center" vertical="center"/>
      <protection locked="0"/>
    </xf>
    <xf numFmtId="0" fontId="80" fillId="0" borderId="39" xfId="0" applyFont="1" applyFill="1" applyBorder="1" applyAlignment="1" applyProtection="1">
      <alignment horizontal="center" vertical="center"/>
      <protection locked="0"/>
    </xf>
    <xf numFmtId="0" fontId="34" fillId="0" borderId="5" xfId="0" applyFont="1" applyFill="1" applyBorder="1" applyAlignment="1" applyProtection="1">
      <alignment horizontal="right" vertical="center"/>
      <protection locked="0"/>
    </xf>
    <xf numFmtId="0" fontId="34" fillId="0" borderId="3" xfId="0" applyFont="1" applyFill="1" applyBorder="1" applyAlignment="1" applyProtection="1">
      <alignment horizontal="right" vertical="center"/>
      <protection locked="0"/>
    </xf>
    <xf numFmtId="0" fontId="34" fillId="0" borderId="3" xfId="0" applyFont="1" applyFill="1" applyBorder="1" applyAlignment="1" applyProtection="1">
      <alignment horizontal="center" vertical="center"/>
      <protection locked="0"/>
    </xf>
    <xf numFmtId="0" fontId="33" fillId="0" borderId="3" xfId="0" applyFont="1" applyFill="1" applyBorder="1" applyAlignment="1" applyProtection="1">
      <alignment horizontal="right" vertical="center"/>
      <protection locked="0"/>
    </xf>
    <xf numFmtId="0" fontId="33" fillId="0" borderId="3" xfId="0" applyFont="1" applyFill="1" applyBorder="1" applyAlignment="1" applyProtection="1">
      <alignment horizontal="center" vertical="center"/>
      <protection locked="0"/>
    </xf>
    <xf numFmtId="0" fontId="132" fillId="0" borderId="0" xfId="0" applyFont="1"/>
    <xf numFmtId="0" fontId="33" fillId="0" borderId="0" xfId="0" applyFont="1" applyAlignment="1">
      <alignment horizontal="right"/>
    </xf>
    <xf numFmtId="0" fontId="34" fillId="0" borderId="0" xfId="0" applyFont="1" applyAlignment="1">
      <alignment horizontal="right" vertical="center"/>
    </xf>
    <xf numFmtId="0" fontId="49" fillId="0" borderId="0" xfId="0" applyFont="1" applyAlignment="1">
      <alignment horizontal="right" vertical="center"/>
    </xf>
    <xf numFmtId="0" fontId="133" fillId="0" borderId="0" xfId="0" applyFont="1"/>
    <xf numFmtId="2" fontId="119" fillId="0" borderId="41" xfId="0" applyNumberFormat="1" applyFont="1" applyFill="1" applyBorder="1" applyAlignment="1">
      <alignment horizontal="center" vertical="center"/>
    </xf>
    <xf numFmtId="0" fontId="49" fillId="0" borderId="21" xfId="0" applyFont="1" applyFill="1" applyBorder="1" applyAlignment="1">
      <alignment horizontal="left" vertical="center"/>
    </xf>
    <xf numFmtId="0" fontId="49" fillId="0" borderId="21" xfId="0" applyFont="1" applyFill="1" applyBorder="1" applyAlignment="1">
      <alignment horizontal="left" vertical="center" wrapText="1"/>
    </xf>
    <xf numFmtId="4" fontId="49" fillId="0" borderId="12" xfId="0" applyNumberFormat="1" applyFont="1" applyFill="1" applyBorder="1" applyAlignment="1">
      <alignment horizontal="center" vertical="center" wrapText="1"/>
    </xf>
    <xf numFmtId="0" fontId="33" fillId="0" borderId="0" xfId="0" applyFont="1" applyBorder="1" applyAlignment="1"/>
    <xf numFmtId="4" fontId="134" fillId="0" borderId="0" xfId="0" applyNumberFormat="1" applyFont="1" applyFill="1" applyBorder="1" applyAlignment="1" applyProtection="1">
      <alignment horizontal="center" vertical="center"/>
      <protection locked="0"/>
    </xf>
    <xf numFmtId="0" fontId="33" fillId="0" borderId="35" xfId="0" applyFont="1" applyBorder="1" applyAlignment="1">
      <alignment horizontal="center" vertical="center"/>
    </xf>
    <xf numFmtId="0" fontId="49" fillId="4" borderId="25" xfId="0" applyFont="1" applyFill="1" applyBorder="1" applyAlignment="1">
      <alignment horizontal="center" vertical="center" wrapText="1"/>
    </xf>
    <xf numFmtId="2" fontId="54" fillId="0" borderId="41" xfId="0" applyNumberFormat="1" applyFont="1" applyFill="1" applyBorder="1" applyAlignment="1">
      <alignment horizontal="center" vertical="center"/>
    </xf>
    <xf numFmtId="169" fontId="33" fillId="0" borderId="0" xfId="0" applyNumberFormat="1" applyFont="1"/>
    <xf numFmtId="4" fontId="119" fillId="0" borderId="12" xfId="0" applyNumberFormat="1" applyFont="1" applyFill="1" applyBorder="1" applyAlignment="1">
      <alignment horizontal="center" vertical="center"/>
    </xf>
    <xf numFmtId="0" fontId="73" fillId="0" borderId="35" xfId="0" applyFont="1" applyBorder="1" applyAlignment="1">
      <alignment horizontal="center" vertical="center"/>
    </xf>
    <xf numFmtId="165" fontId="129" fillId="0" borderId="28" xfId="0" applyNumberFormat="1" applyFont="1" applyFill="1" applyBorder="1" applyAlignment="1">
      <alignment horizontal="center" vertical="center"/>
    </xf>
    <xf numFmtId="165" fontId="129" fillId="0" borderId="28" xfId="0" applyNumberFormat="1" applyFont="1" applyFill="1" applyBorder="1" applyAlignment="1">
      <alignment horizontal="center" vertical="center"/>
    </xf>
    <xf numFmtId="0" fontId="73" fillId="0" borderId="42" xfId="0" applyFont="1" applyBorder="1" applyAlignment="1">
      <alignment horizontal="center" vertical="center"/>
    </xf>
    <xf numFmtId="4" fontId="54" fillId="0" borderId="27" xfId="0" applyNumberFormat="1" applyFont="1" applyFill="1" applyBorder="1" applyAlignment="1" applyProtection="1">
      <alignment horizontal="center" vertical="center"/>
      <protection locked="0"/>
    </xf>
    <xf numFmtId="165" fontId="54" fillId="0" borderId="27" xfId="0" applyNumberFormat="1" applyFont="1" applyFill="1" applyBorder="1" applyAlignment="1" applyProtection="1">
      <alignment horizontal="center" vertical="center"/>
      <protection locked="0"/>
    </xf>
    <xf numFmtId="169" fontId="54" fillId="0" borderId="27" xfId="0" applyNumberFormat="1" applyFont="1" applyFill="1" applyBorder="1" applyAlignment="1" applyProtection="1">
      <alignment horizontal="center" vertical="center"/>
      <protection locked="0"/>
    </xf>
    <xf numFmtId="165" fontId="33" fillId="0" borderId="33" xfId="0" applyNumberFormat="1" applyFont="1" applyFill="1" applyBorder="1" applyAlignment="1" applyProtection="1">
      <alignment horizontal="center" vertical="center"/>
      <protection locked="0"/>
    </xf>
    <xf numFmtId="0" fontId="34" fillId="0" borderId="7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9" xfId="0" applyFont="1" applyFill="1" applyBorder="1" applyAlignment="1">
      <alignment horizontal="right" vertical="center"/>
    </xf>
    <xf numFmtId="0" fontId="135" fillId="0" borderId="39" xfId="0" applyFont="1" applyFill="1" applyBorder="1" applyAlignment="1" applyProtection="1">
      <alignment horizontal="center" vertical="center"/>
      <protection locked="0"/>
    </xf>
    <xf numFmtId="4" fontId="134" fillId="0" borderId="39" xfId="0" applyNumberFormat="1" applyFont="1" applyFill="1" applyBorder="1" applyAlignment="1">
      <alignment horizontal="center" vertical="center"/>
    </xf>
    <xf numFmtId="2" fontId="134" fillId="0" borderId="34" xfId="0" applyNumberFormat="1" applyFont="1" applyFill="1" applyBorder="1" applyAlignment="1">
      <alignment horizontal="center" vertical="center"/>
    </xf>
    <xf numFmtId="0" fontId="49" fillId="16" borderId="5" xfId="0" applyFont="1" applyFill="1" applyBorder="1" applyAlignment="1">
      <alignment horizontal="center" vertical="center" wrapText="1"/>
    </xf>
    <xf numFmtId="0" fontId="33" fillId="16" borderId="43" xfId="0" applyFont="1" applyFill="1" applyBorder="1" applyAlignment="1">
      <alignment horizontal="center" vertical="center"/>
    </xf>
    <xf numFmtId="2" fontId="119" fillId="16" borderId="44" xfId="0" applyNumberFormat="1" applyFont="1" applyFill="1" applyBorder="1" applyAlignment="1">
      <alignment horizontal="center" vertical="center"/>
    </xf>
    <xf numFmtId="165" fontId="129" fillId="16" borderId="45" xfId="0" applyNumberFormat="1" applyFont="1" applyFill="1" applyBorder="1" applyAlignment="1">
      <alignment horizontal="center" vertical="center"/>
    </xf>
    <xf numFmtId="4" fontId="54" fillId="16" borderId="26" xfId="0" applyNumberFormat="1" applyFont="1" applyFill="1" applyBorder="1" applyAlignment="1" applyProtection="1">
      <alignment horizontal="center" vertical="center"/>
      <protection locked="0"/>
    </xf>
    <xf numFmtId="165" fontId="54" fillId="16" borderId="26" xfId="0" applyNumberFormat="1" applyFont="1" applyFill="1" applyBorder="1" applyAlignment="1" applyProtection="1">
      <alignment horizontal="center" vertical="center"/>
      <protection locked="0"/>
    </xf>
    <xf numFmtId="169" fontId="54" fillId="16" borderId="26" xfId="0" applyNumberFormat="1" applyFont="1" applyFill="1" applyBorder="1" applyAlignment="1" applyProtection="1">
      <alignment horizontal="center" vertical="center"/>
      <protection locked="0"/>
    </xf>
    <xf numFmtId="0" fontId="33" fillId="10" borderId="46" xfId="0" applyFont="1" applyFill="1" applyBorder="1" applyAlignment="1">
      <alignment horizontal="center" vertical="center"/>
    </xf>
    <xf numFmtId="165" fontId="33" fillId="10" borderId="32" xfId="0" applyNumberFormat="1" applyFont="1" applyFill="1" applyBorder="1" applyAlignment="1" applyProtection="1">
      <alignment horizontal="center" vertical="center"/>
      <protection locked="0"/>
    </xf>
    <xf numFmtId="4" fontId="33" fillId="10" borderId="47" xfId="0" applyNumberFormat="1" applyFont="1" applyFill="1" applyBorder="1" applyAlignment="1" applyProtection="1">
      <alignment horizontal="center" vertical="center"/>
      <protection locked="0"/>
    </xf>
    <xf numFmtId="165" fontId="33" fillId="10" borderId="47" xfId="0" applyNumberFormat="1" applyFont="1" applyFill="1" applyBorder="1" applyAlignment="1" applyProtection="1">
      <alignment horizontal="center" vertical="center"/>
      <protection locked="0"/>
    </xf>
    <xf numFmtId="169" fontId="33" fillId="10" borderId="47" xfId="0" applyNumberFormat="1" applyFont="1" applyFill="1" applyBorder="1" applyAlignment="1" applyProtection="1">
      <alignment horizontal="center" vertical="center"/>
      <protection locked="0"/>
    </xf>
    <xf numFmtId="4" fontId="134" fillId="10" borderId="0" xfId="0" applyNumberFormat="1" applyFont="1" applyFill="1" applyBorder="1" applyAlignment="1" applyProtection="1">
      <alignment horizontal="center" vertical="center"/>
      <protection locked="0"/>
    </xf>
    <xf numFmtId="4" fontId="134" fillId="10" borderId="4" xfId="0" applyNumberFormat="1" applyFont="1" applyFill="1" applyBorder="1" applyAlignment="1">
      <alignment horizontal="center" vertical="center"/>
    </xf>
    <xf numFmtId="165" fontId="34" fillId="10" borderId="39" xfId="0" applyNumberFormat="1" applyFont="1" applyFill="1" applyBorder="1" applyAlignment="1" applyProtection="1">
      <alignment horizontal="center" vertical="center"/>
      <protection locked="0"/>
    </xf>
    <xf numFmtId="4" fontId="134" fillId="16" borderId="34" xfId="0" applyNumberFormat="1" applyFont="1" applyFill="1" applyBorder="1" applyAlignment="1">
      <alignment horizontal="center" vertical="center"/>
    </xf>
    <xf numFmtId="165" fontId="34" fillId="16" borderId="34" xfId="0" applyNumberFormat="1" applyFont="1" applyFill="1" applyBorder="1" applyAlignment="1" applyProtection="1">
      <alignment horizontal="center" vertical="center"/>
      <protection locked="0"/>
    </xf>
    <xf numFmtId="4" fontId="134" fillId="16" borderId="26" xfId="0" applyNumberFormat="1" applyFont="1" applyFill="1" applyBorder="1" applyAlignment="1" applyProtection="1">
      <alignment horizontal="center" vertical="center"/>
      <protection locked="0"/>
    </xf>
    <xf numFmtId="165" fontId="134" fillId="0" borderId="48" xfId="0" applyNumberFormat="1" applyFont="1" applyFill="1" applyBorder="1" applyAlignment="1">
      <alignment horizontal="center" vertical="center"/>
    </xf>
    <xf numFmtId="172" fontId="49" fillId="10" borderId="12" xfId="0" applyNumberFormat="1" applyFont="1" applyFill="1" applyBorder="1" applyAlignment="1">
      <alignment horizontal="center" vertical="center"/>
    </xf>
    <xf numFmtId="165" fontId="129" fillId="0" borderId="48" xfId="0" applyNumberFormat="1" applyFont="1" applyFill="1" applyBorder="1" applyAlignment="1">
      <alignment horizontal="center" vertical="center"/>
    </xf>
    <xf numFmtId="165" fontId="134" fillId="0" borderId="48" xfId="0" applyNumberFormat="1" applyFont="1" applyFill="1" applyBorder="1" applyAlignment="1">
      <alignment horizontal="center" vertical="center" wrapText="1"/>
    </xf>
    <xf numFmtId="165" fontId="34" fillId="0" borderId="49" xfId="0" applyNumberFormat="1" applyFont="1" applyFill="1" applyBorder="1" applyAlignment="1" applyProtection="1">
      <alignment horizontal="center" vertical="center"/>
      <protection locked="0"/>
    </xf>
    <xf numFmtId="2" fontId="129" fillId="16" borderId="45" xfId="0" applyNumberFormat="1" applyFont="1" applyFill="1" applyBorder="1" applyAlignment="1">
      <alignment horizontal="center" vertical="center"/>
    </xf>
    <xf numFmtId="2" fontId="72" fillId="0" borderId="28" xfId="0" applyNumberFormat="1" applyFont="1" applyFill="1" applyBorder="1" applyAlignment="1">
      <alignment horizontal="center" vertical="center"/>
    </xf>
    <xf numFmtId="2" fontId="73" fillId="10" borderId="50" xfId="0" applyNumberFormat="1" applyFont="1" applyFill="1" applyBorder="1" applyAlignment="1">
      <alignment horizontal="center" vertical="center"/>
    </xf>
    <xf numFmtId="2" fontId="73" fillId="16" borderId="45" xfId="0" applyNumberFormat="1" applyFont="1" applyFill="1" applyBorder="1" applyAlignment="1">
      <alignment horizontal="center" vertical="center"/>
    </xf>
    <xf numFmtId="2" fontId="73" fillId="16" borderId="45" xfId="0" applyNumberFormat="1" applyFont="1" applyFill="1" applyBorder="1" applyAlignment="1">
      <alignment horizontal="center" vertical="center" wrapText="1"/>
    </xf>
    <xf numFmtId="2" fontId="72" fillId="0" borderId="28" xfId="0" applyNumberFormat="1" applyFont="1" applyFill="1" applyBorder="1" applyAlignment="1">
      <alignment horizontal="center" vertical="center" wrapText="1"/>
    </xf>
    <xf numFmtId="165" fontId="72" fillId="0" borderId="28" xfId="0" applyNumberFormat="1" applyFont="1" applyFill="1" applyBorder="1" applyAlignment="1">
      <alignment horizontal="center" vertical="center"/>
    </xf>
    <xf numFmtId="165" fontId="73" fillId="10" borderId="50" xfId="0" applyNumberFormat="1" applyFont="1" applyFill="1" applyBorder="1" applyAlignment="1">
      <alignment horizontal="center" vertical="center"/>
    </xf>
    <xf numFmtId="172" fontId="49" fillId="16" borderId="45" xfId="0" applyNumberFormat="1" applyFont="1" applyFill="1" applyBorder="1" applyAlignment="1">
      <alignment horizontal="center" vertical="center"/>
    </xf>
    <xf numFmtId="165" fontId="134" fillId="16" borderId="45" xfId="0" applyNumberFormat="1" applyFont="1" applyFill="1" applyBorder="1" applyAlignment="1">
      <alignment horizontal="center" vertical="center"/>
    </xf>
    <xf numFmtId="4" fontId="134" fillId="13" borderId="3" xfId="0" applyNumberFormat="1" applyFont="1" applyFill="1" applyBorder="1" applyAlignment="1" applyProtection="1">
      <alignment horizontal="center" vertical="center"/>
      <protection locked="0"/>
    </xf>
    <xf numFmtId="4" fontId="134" fillId="13" borderId="34" xfId="0" applyNumberFormat="1" applyFont="1" applyFill="1" applyBorder="1" applyAlignment="1">
      <alignment horizontal="center" vertical="center"/>
    </xf>
    <xf numFmtId="0" fontId="50" fillId="14" borderId="5" xfId="0" applyFont="1" applyFill="1" applyBorder="1" applyAlignment="1">
      <alignment horizontal="center" vertical="center" wrapText="1"/>
    </xf>
    <xf numFmtId="0" fontId="50" fillId="4" borderId="25" xfId="0" applyFont="1" applyFill="1" applyBorder="1" applyAlignment="1">
      <alignment horizontal="center" vertical="center" wrapText="1"/>
    </xf>
    <xf numFmtId="0" fontId="50" fillId="17" borderId="51" xfId="0" applyFont="1" applyFill="1" applyBorder="1" applyAlignment="1">
      <alignment horizontal="center" vertical="center" wrapText="1"/>
    </xf>
    <xf numFmtId="2" fontId="136" fillId="14" borderId="44" xfId="0" applyNumberFormat="1" applyFont="1" applyFill="1" applyBorder="1" applyAlignment="1">
      <alignment horizontal="center" vertical="center"/>
    </xf>
    <xf numFmtId="2" fontId="136" fillId="0" borderId="41" xfId="0" applyNumberFormat="1" applyFont="1" applyFill="1" applyBorder="1" applyAlignment="1">
      <alignment horizontal="center" vertical="center"/>
    </xf>
    <xf numFmtId="2" fontId="73" fillId="17" borderId="52" xfId="0" applyNumberFormat="1" applyFont="1" applyFill="1" applyBorder="1" applyAlignment="1">
      <alignment horizontal="center" vertical="center"/>
    </xf>
    <xf numFmtId="2" fontId="73" fillId="14" borderId="45" xfId="0" applyNumberFormat="1" applyFont="1" applyFill="1" applyBorder="1" applyAlignment="1">
      <alignment horizontal="center" vertical="center"/>
    </xf>
    <xf numFmtId="2" fontId="129" fillId="0" borderId="28" xfId="0" applyNumberFormat="1" applyFont="1" applyFill="1" applyBorder="1" applyAlignment="1">
      <alignment horizontal="center" vertical="center"/>
    </xf>
    <xf numFmtId="2" fontId="73" fillId="17" borderId="50" xfId="0" applyNumberFormat="1" applyFont="1" applyFill="1" applyBorder="1" applyAlignment="1">
      <alignment horizontal="center" vertical="center"/>
    </xf>
    <xf numFmtId="2" fontId="129" fillId="0" borderId="28" xfId="0" applyNumberFormat="1" applyFont="1" applyFill="1" applyBorder="1" applyAlignment="1">
      <alignment horizontal="center" vertical="center"/>
    </xf>
    <xf numFmtId="2" fontId="73" fillId="14" borderId="45" xfId="0" applyNumberFormat="1" applyFont="1" applyFill="1" applyBorder="1" applyAlignment="1">
      <alignment horizontal="center" vertical="center" wrapText="1"/>
    </xf>
    <xf numFmtId="2" fontId="129" fillId="0" borderId="28" xfId="0" applyNumberFormat="1" applyFont="1" applyFill="1" applyBorder="1" applyAlignment="1">
      <alignment horizontal="center" vertical="center" wrapText="1"/>
    </xf>
    <xf numFmtId="2" fontId="73" fillId="17" borderId="50" xfId="0" applyNumberFormat="1" applyFont="1" applyFill="1" applyBorder="1" applyAlignment="1">
      <alignment horizontal="center" vertical="center" wrapText="1"/>
    </xf>
    <xf numFmtId="165" fontId="73" fillId="14" borderId="45" xfId="0" applyNumberFormat="1" applyFont="1" applyFill="1" applyBorder="1" applyAlignment="1">
      <alignment horizontal="center" vertical="center"/>
    </xf>
    <xf numFmtId="165" fontId="73" fillId="17" borderId="50" xfId="0" applyNumberFormat="1" applyFont="1" applyFill="1" applyBorder="1" applyAlignment="1">
      <alignment horizontal="center" vertical="center"/>
    </xf>
    <xf numFmtId="0" fontId="39" fillId="0" borderId="35" xfId="0" applyFont="1" applyBorder="1" applyAlignment="1">
      <alignment horizontal="center" vertical="center"/>
    </xf>
    <xf numFmtId="172" fontId="53" fillId="14" borderId="45" xfId="0" applyNumberFormat="1" applyFont="1" applyFill="1" applyBorder="1" applyAlignment="1">
      <alignment horizontal="center" vertical="center"/>
    </xf>
    <xf numFmtId="165" fontId="137" fillId="0" borderId="12" xfId="0" applyNumberFormat="1" applyFont="1" applyFill="1" applyBorder="1" applyAlignment="1">
      <alignment horizontal="center" vertical="center"/>
    </xf>
    <xf numFmtId="172" fontId="53" fillId="17" borderId="12" xfId="0" applyNumberFormat="1" applyFont="1" applyFill="1" applyBorder="1" applyAlignment="1">
      <alignment horizontal="center" vertical="center"/>
    </xf>
    <xf numFmtId="165" fontId="129" fillId="0" borderId="12" xfId="0" applyNumberFormat="1" applyFont="1" applyFill="1" applyBorder="1" applyAlignment="1">
      <alignment horizontal="center" vertical="center"/>
    </xf>
    <xf numFmtId="165" fontId="137" fillId="0" borderId="12" xfId="0" applyNumberFormat="1" applyFont="1" applyFill="1" applyBorder="1" applyAlignment="1">
      <alignment horizontal="center" vertical="center" wrapText="1"/>
    </xf>
    <xf numFmtId="165" fontId="137" fillId="14" borderId="45" xfId="0" applyNumberFormat="1" applyFont="1" applyFill="1" applyBorder="1" applyAlignment="1">
      <alignment horizontal="center" vertical="center"/>
    </xf>
    <xf numFmtId="165" fontId="129" fillId="14" borderId="45" xfId="0" applyNumberFormat="1" applyFont="1" applyFill="1" applyBorder="1" applyAlignment="1">
      <alignment horizontal="center" vertical="center"/>
    </xf>
    <xf numFmtId="0" fontId="33" fillId="18" borderId="33" xfId="0" applyFont="1" applyFill="1" applyBorder="1" applyAlignment="1">
      <alignment horizontal="center" vertical="center"/>
    </xf>
    <xf numFmtId="4" fontId="134" fillId="18" borderId="31" xfId="0" applyNumberFormat="1" applyFont="1" applyFill="1" applyBorder="1" applyAlignment="1" applyProtection="1">
      <alignment horizontal="center" vertical="center"/>
      <protection locked="0"/>
    </xf>
    <xf numFmtId="4" fontId="134" fillId="18" borderId="4" xfId="0" applyNumberFormat="1" applyFont="1" applyFill="1" applyBorder="1" applyAlignment="1">
      <alignment horizontal="center" vertical="center"/>
    </xf>
    <xf numFmtId="2" fontId="73" fillId="13" borderId="45" xfId="0" applyNumberFormat="1" applyFont="1" applyFill="1" applyBorder="1" applyAlignment="1">
      <alignment horizontal="center" vertical="center"/>
    </xf>
    <xf numFmtId="2" fontId="73" fillId="0" borderId="28" xfId="0" applyNumberFormat="1" applyFont="1" applyFill="1" applyBorder="1" applyAlignment="1">
      <alignment horizontal="center" vertical="center"/>
    </xf>
    <xf numFmtId="2" fontId="73" fillId="18" borderId="28" xfId="0" applyNumberFormat="1" applyFont="1" applyFill="1" applyBorder="1" applyAlignment="1">
      <alignment horizontal="center" vertical="center"/>
    </xf>
    <xf numFmtId="2" fontId="73" fillId="0" borderId="28" xfId="0" applyNumberFormat="1" applyFont="1" applyFill="1" applyBorder="1" applyAlignment="1">
      <alignment horizontal="center" vertical="center" wrapText="1"/>
    </xf>
    <xf numFmtId="165" fontId="73" fillId="0" borderId="28" xfId="0" applyNumberFormat="1" applyFont="1" applyFill="1" applyBorder="1" applyAlignment="1">
      <alignment horizontal="center" vertical="center"/>
    </xf>
    <xf numFmtId="172" fontId="53" fillId="13" borderId="45" xfId="0" applyNumberFormat="1" applyFont="1" applyFill="1" applyBorder="1" applyAlignment="1">
      <alignment horizontal="center" vertical="center"/>
    </xf>
    <xf numFmtId="172" fontId="53" fillId="0" borderId="28" xfId="0" applyNumberFormat="1" applyFont="1" applyFill="1" applyBorder="1" applyAlignment="1">
      <alignment horizontal="center" vertical="center"/>
    </xf>
    <xf numFmtId="172" fontId="53" fillId="18" borderId="53" xfId="0" applyNumberFormat="1" applyFont="1" applyFill="1" applyBorder="1" applyAlignment="1">
      <alignment horizontal="center" vertical="center"/>
    </xf>
    <xf numFmtId="172" fontId="53" fillId="13" borderId="54" xfId="0" applyNumberFormat="1" applyFont="1" applyFill="1" applyBorder="1" applyAlignment="1">
      <alignment horizontal="center" vertical="center"/>
    </xf>
    <xf numFmtId="165" fontId="137" fillId="13" borderId="45" xfId="0" applyNumberFormat="1" applyFont="1" applyFill="1" applyBorder="1" applyAlignment="1">
      <alignment horizontal="center" vertical="center"/>
    </xf>
    <xf numFmtId="165" fontId="129" fillId="13" borderId="45" xfId="0" applyNumberFormat="1" applyFont="1" applyFill="1" applyBorder="1" applyAlignment="1">
      <alignment horizontal="center" vertical="center"/>
    </xf>
    <xf numFmtId="0" fontId="20" fillId="0" borderId="0" xfId="0" applyFont="1" applyFill="1"/>
    <xf numFmtId="3" fontId="50" fillId="0" borderId="22" xfId="0" applyNumberFormat="1" applyFont="1" applyFill="1" applyBorder="1" applyAlignment="1">
      <alignment horizontal="center" vertical="center"/>
    </xf>
    <xf numFmtId="0" fontId="53" fillId="0" borderId="22" xfId="0" applyFont="1" applyFill="1" applyBorder="1" applyAlignment="1">
      <alignment horizontal="left" vertical="center"/>
    </xf>
    <xf numFmtId="171" fontId="53" fillId="17" borderId="12" xfId="0" applyNumberFormat="1" applyFont="1" applyFill="1" applyBorder="1" applyAlignment="1">
      <alignment horizontal="center" vertical="center"/>
    </xf>
    <xf numFmtId="165" fontId="31" fillId="0" borderId="27" xfId="0" applyNumberFormat="1" applyFont="1" applyFill="1" applyBorder="1" applyAlignment="1">
      <alignment horizontal="center" vertical="center"/>
    </xf>
    <xf numFmtId="1" fontId="31" fillId="0" borderId="27" xfId="0" applyNumberFormat="1" applyFont="1" applyFill="1" applyBorder="1" applyAlignment="1">
      <alignment horizontal="center" vertical="center"/>
    </xf>
    <xf numFmtId="167" fontId="31" fillId="0" borderId="31" xfId="0" applyNumberFormat="1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3" fontId="30" fillId="0" borderId="6" xfId="0" applyNumberFormat="1" applyFont="1" applyFill="1" applyBorder="1" applyAlignment="1">
      <alignment horizontal="center" vertical="center"/>
    </xf>
    <xf numFmtId="1" fontId="56" fillId="0" borderId="31" xfId="0" applyNumberFormat="1" applyFont="1" applyFill="1" applyBorder="1" applyAlignment="1">
      <alignment horizontal="center" vertical="center"/>
    </xf>
    <xf numFmtId="1" fontId="56" fillId="0" borderId="14" xfId="0" applyNumberFormat="1" applyFont="1" applyFill="1" applyBorder="1" applyAlignment="1">
      <alignment horizontal="center" vertical="center"/>
    </xf>
    <xf numFmtId="0" fontId="72" fillId="0" borderId="6" xfId="0" applyFont="1" applyFill="1" applyBorder="1" applyAlignment="1">
      <alignment horizontal="center"/>
    </xf>
    <xf numFmtId="0" fontId="56" fillId="0" borderId="0" xfId="0" applyFont="1" applyFill="1" applyBorder="1" applyAlignment="1">
      <alignment horizontal="center"/>
    </xf>
    <xf numFmtId="0" fontId="56" fillId="0" borderId="6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2" fillId="0" borderId="21" xfId="0" applyFont="1" applyFill="1" applyBorder="1" applyAlignment="1">
      <alignment horizontal="center"/>
    </xf>
    <xf numFmtId="0" fontId="2" fillId="0" borderId="55" xfId="0" applyFont="1" applyFill="1" applyBorder="1" applyAlignment="1">
      <alignment horizontal="center"/>
    </xf>
    <xf numFmtId="0" fontId="2" fillId="0" borderId="56" xfId="0" applyFont="1" applyFill="1" applyBorder="1" applyAlignment="1">
      <alignment horizontal="center"/>
    </xf>
    <xf numFmtId="0" fontId="2" fillId="0" borderId="57" xfId="0" applyFont="1" applyFill="1" applyBorder="1" applyAlignment="1">
      <alignment horizontal="center"/>
    </xf>
    <xf numFmtId="0" fontId="55" fillId="0" borderId="29" xfId="0" applyFont="1" applyFill="1" applyBorder="1" applyAlignment="1">
      <alignment vertical="center"/>
    </xf>
    <xf numFmtId="165" fontId="19" fillId="0" borderId="58" xfId="0" applyNumberFormat="1" applyFont="1" applyFill="1" applyBorder="1" applyAlignment="1">
      <alignment horizontal="center" vertical="center"/>
    </xf>
    <xf numFmtId="165" fontId="31" fillId="0" borderId="58" xfId="0" applyNumberFormat="1" applyFont="1" applyFill="1" applyBorder="1" applyAlignment="1">
      <alignment horizontal="center" vertical="center"/>
    </xf>
    <xf numFmtId="165" fontId="56" fillId="0" borderId="59" xfId="0" applyNumberFormat="1" applyFont="1" applyFill="1" applyBorder="1" applyAlignment="1">
      <alignment horizontal="center" vertical="center"/>
    </xf>
    <xf numFmtId="165" fontId="56" fillId="0" borderId="58" xfId="0" applyNumberFormat="1" applyFont="1" applyFill="1" applyBorder="1" applyAlignment="1">
      <alignment horizontal="center" vertical="center"/>
    </xf>
    <xf numFmtId="165" fontId="19" fillId="0" borderId="60" xfId="0" applyNumberFormat="1" applyFont="1" applyFill="1" applyBorder="1" applyAlignment="1">
      <alignment horizontal="center" vertical="center"/>
    </xf>
    <xf numFmtId="165" fontId="21" fillId="0" borderId="59" xfId="0" applyNumberFormat="1" applyFont="1" applyFill="1" applyBorder="1" applyAlignment="1">
      <alignment horizontal="center" vertical="center"/>
    </xf>
    <xf numFmtId="165" fontId="21" fillId="7" borderId="59" xfId="0" applyNumberFormat="1" applyFont="1" applyFill="1" applyBorder="1" applyAlignment="1">
      <alignment horizontal="center" vertical="center"/>
    </xf>
    <xf numFmtId="165" fontId="19" fillId="7" borderId="60" xfId="0" applyNumberFormat="1" applyFont="1" applyFill="1" applyBorder="1" applyAlignment="1">
      <alignment horizontal="center" vertical="center"/>
    </xf>
    <xf numFmtId="165" fontId="19" fillId="7" borderId="59" xfId="0" applyNumberFormat="1" applyFont="1" applyFill="1" applyBorder="1" applyAlignment="1">
      <alignment horizontal="center" vertical="center"/>
    </xf>
    <xf numFmtId="165" fontId="125" fillId="0" borderId="49" xfId="0" applyNumberFormat="1" applyFont="1" applyFill="1" applyBorder="1" applyAlignment="1" applyProtection="1">
      <alignment horizontal="center" vertical="center"/>
      <protection locked="0"/>
    </xf>
    <xf numFmtId="165" fontId="49" fillId="0" borderId="49" xfId="0" applyNumberFormat="1" applyFont="1" applyFill="1" applyBorder="1" applyAlignment="1">
      <alignment horizontal="center" vertical="center"/>
    </xf>
    <xf numFmtId="165" fontId="53" fillId="0" borderId="0" xfId="0" applyNumberFormat="1" applyFont="1" applyFill="1" applyBorder="1" applyAlignment="1">
      <alignment horizontal="center" vertical="top" wrapText="1"/>
    </xf>
    <xf numFmtId="0" fontId="2" fillId="0" borderId="0" xfId="0" applyFont="1" applyFill="1" applyBorder="1" applyAlignment="1"/>
    <xf numFmtId="165" fontId="129" fillId="0" borderId="0" xfId="0" applyNumberFormat="1" applyFont="1" applyFill="1" applyBorder="1" applyAlignment="1">
      <alignment horizontal="center" vertical="center"/>
    </xf>
    <xf numFmtId="0" fontId="6" fillId="15" borderId="29" xfId="0" applyFont="1" applyFill="1" applyBorder="1" applyAlignment="1">
      <alignment horizontal="center"/>
    </xf>
    <xf numFmtId="165" fontId="119" fillId="0" borderId="27" xfId="0" applyNumberFormat="1" applyFont="1" applyFill="1" applyBorder="1" applyAlignment="1">
      <alignment horizontal="center" vertical="center"/>
    </xf>
    <xf numFmtId="165" fontId="119" fillId="0" borderId="9" xfId="0" applyNumberFormat="1" applyFont="1" applyFill="1" applyBorder="1" applyAlignment="1">
      <alignment horizontal="center" vertical="center"/>
    </xf>
    <xf numFmtId="0" fontId="55" fillId="0" borderId="6" xfId="0" applyFont="1" applyFill="1" applyBorder="1" applyAlignment="1">
      <alignment horizontal="left" vertical="center" wrapText="1"/>
    </xf>
    <xf numFmtId="0" fontId="7" fillId="0" borderId="22" xfId="0" applyFont="1" applyFill="1" applyBorder="1" applyAlignment="1">
      <alignment horizontal="center"/>
    </xf>
    <xf numFmtId="0" fontId="7" fillId="0" borderId="22" xfId="0" applyFont="1" applyFill="1" applyBorder="1"/>
    <xf numFmtId="0" fontId="19" fillId="0" borderId="23" xfId="0" applyFont="1" applyFill="1" applyBorder="1" applyAlignment="1">
      <alignment horizontal="center" vertical="center"/>
    </xf>
    <xf numFmtId="165" fontId="31" fillId="0" borderId="60" xfId="0" applyNumberFormat="1" applyFont="1" applyFill="1" applyBorder="1" applyAlignment="1">
      <alignment horizontal="center" vertical="center"/>
    </xf>
    <xf numFmtId="165" fontId="31" fillId="0" borderId="9" xfId="0" applyNumberFormat="1" applyFont="1" applyFill="1" applyBorder="1" applyAlignment="1">
      <alignment horizontal="center" vertical="center"/>
    </xf>
    <xf numFmtId="1" fontId="31" fillId="0" borderId="9" xfId="0" applyNumberFormat="1" applyFont="1" applyFill="1" applyBorder="1" applyAlignment="1">
      <alignment horizontal="center" vertical="center"/>
    </xf>
    <xf numFmtId="167" fontId="31" fillId="0" borderId="15" xfId="0" applyNumberFormat="1" applyFont="1" applyFill="1" applyBorder="1" applyAlignment="1">
      <alignment horizontal="center" vertical="center"/>
    </xf>
    <xf numFmtId="165" fontId="56" fillId="0" borderId="24" xfId="0" applyNumberFormat="1" applyFont="1" applyFill="1" applyBorder="1" applyAlignment="1">
      <alignment horizontal="center" vertical="center"/>
    </xf>
    <xf numFmtId="0" fontId="30" fillId="0" borderId="6" xfId="0" applyFont="1" applyFill="1" applyBorder="1"/>
    <xf numFmtId="3" fontId="33" fillId="0" borderId="0" xfId="0" applyNumberFormat="1" applyFont="1"/>
    <xf numFmtId="165" fontId="49" fillId="0" borderId="0" xfId="0" applyNumberFormat="1" applyFont="1" applyAlignment="1">
      <alignment horizontal="right"/>
    </xf>
    <xf numFmtId="165" fontId="33" fillId="0" borderId="0" xfId="0" applyNumberFormat="1" applyFont="1"/>
    <xf numFmtId="0" fontId="49" fillId="4" borderId="3" xfId="0" applyFont="1" applyFill="1" applyBorder="1" applyAlignment="1">
      <alignment horizontal="center"/>
    </xf>
    <xf numFmtId="0" fontId="72" fillId="0" borderId="5" xfId="0" applyFont="1" applyFill="1" applyBorder="1" applyAlignment="1">
      <alignment horizontal="center" vertical="center"/>
    </xf>
    <xf numFmtId="0" fontId="72" fillId="0" borderId="3" xfId="0" applyFont="1" applyFill="1" applyBorder="1" applyAlignment="1">
      <alignment horizontal="center"/>
    </xf>
    <xf numFmtId="165" fontId="34" fillId="4" borderId="43" xfId="0" applyNumberFormat="1" applyFont="1" applyFill="1" applyBorder="1" applyAlignment="1">
      <alignment horizontal="center" vertical="center"/>
    </xf>
    <xf numFmtId="0" fontId="49" fillId="4" borderId="35" xfId="0" applyFont="1" applyFill="1" applyBorder="1" applyAlignment="1">
      <alignment horizontal="center" vertical="center" wrapText="1"/>
    </xf>
    <xf numFmtId="0" fontId="49" fillId="4" borderId="61" xfId="0" applyFont="1" applyFill="1" applyBorder="1" applyAlignment="1">
      <alignment horizontal="center" vertical="center"/>
    </xf>
    <xf numFmtId="0" fontId="49" fillId="4" borderId="62" xfId="0" applyFont="1" applyFill="1" applyBorder="1" applyAlignment="1">
      <alignment horizontal="center" vertical="center"/>
    </xf>
    <xf numFmtId="0" fontId="6" fillId="15" borderId="56" xfId="0" applyFont="1" applyFill="1" applyBorder="1" applyAlignment="1">
      <alignment horizontal="center"/>
    </xf>
    <xf numFmtId="0" fontId="6" fillId="15" borderId="57" xfId="0" applyFont="1" applyFill="1" applyBorder="1" applyAlignment="1">
      <alignment horizontal="center"/>
    </xf>
    <xf numFmtId="1" fontId="129" fillId="0" borderId="10" xfId="0" applyNumberFormat="1" applyFont="1" applyFill="1" applyBorder="1" applyAlignment="1">
      <alignment horizontal="center" vertical="center"/>
    </xf>
    <xf numFmtId="2" fontId="129" fillId="0" borderId="10" xfId="0" applyNumberFormat="1" applyFont="1" applyFill="1" applyBorder="1" applyAlignment="1">
      <alignment horizontal="center" vertical="center"/>
    </xf>
    <xf numFmtId="1" fontId="129" fillId="0" borderId="9" xfId="0" applyNumberFormat="1" applyFont="1" applyFill="1" applyBorder="1" applyAlignment="1">
      <alignment horizontal="center" vertical="center"/>
    </xf>
    <xf numFmtId="0" fontId="129" fillId="0" borderId="9" xfId="0" applyFont="1" applyFill="1" applyBorder="1" applyAlignment="1">
      <alignment horizontal="center" vertical="center"/>
    </xf>
    <xf numFmtId="1" fontId="129" fillId="0" borderId="27" xfId="0" applyNumberFormat="1" applyFont="1" applyFill="1" applyBorder="1" applyAlignment="1">
      <alignment horizontal="center" vertical="center"/>
    </xf>
    <xf numFmtId="2" fontId="129" fillId="0" borderId="27" xfId="0" applyNumberFormat="1" applyFont="1" applyFill="1" applyBorder="1" applyAlignment="1">
      <alignment horizontal="center" vertical="center"/>
    </xf>
    <xf numFmtId="2" fontId="134" fillId="5" borderId="49" xfId="0" applyNumberFormat="1" applyFont="1" applyFill="1" applyBorder="1" applyAlignment="1">
      <alignment horizontal="center" vertical="center"/>
    </xf>
    <xf numFmtId="2" fontId="134" fillId="5" borderId="32" xfId="0" applyNumberFormat="1" applyFont="1" applyFill="1" applyBorder="1" applyAlignment="1">
      <alignment horizontal="center" vertical="center"/>
    </xf>
    <xf numFmtId="2" fontId="134" fillId="5" borderId="4" xfId="0" applyNumberFormat="1" applyFont="1" applyFill="1" applyBorder="1" applyAlignment="1">
      <alignment horizontal="center" vertical="center"/>
    </xf>
    <xf numFmtId="165" fontId="134" fillId="5" borderId="4" xfId="0" applyNumberFormat="1" applyFont="1" applyFill="1" applyBorder="1" applyAlignment="1">
      <alignment horizontal="center" vertical="center"/>
    </xf>
    <xf numFmtId="165" fontId="134" fillId="5" borderId="17" xfId="0" applyNumberFormat="1" applyFont="1" applyFill="1" applyBorder="1" applyAlignment="1">
      <alignment horizontal="center" vertical="center"/>
    </xf>
    <xf numFmtId="0" fontId="56" fillId="0" borderId="0" xfId="0" applyFont="1"/>
    <xf numFmtId="0" fontId="43" fillId="0" borderId="0" xfId="0" applyFont="1" applyBorder="1" applyAlignment="1">
      <alignment horizontal="center"/>
    </xf>
    <xf numFmtId="0" fontId="56" fillId="0" borderId="0" xfId="0" applyFont="1" applyBorder="1" applyAlignment="1"/>
    <xf numFmtId="0" fontId="119" fillId="0" borderId="0" xfId="0" applyFont="1" applyFill="1" applyBorder="1" applyAlignment="1">
      <alignment horizontal="center" vertical="center"/>
    </xf>
    <xf numFmtId="0" fontId="129" fillId="0" borderId="4" xfId="0" applyFont="1" applyFill="1" applyBorder="1" applyAlignment="1">
      <alignment horizontal="center" vertical="center"/>
    </xf>
    <xf numFmtId="0" fontId="56" fillId="0" borderId="0" xfId="0" applyFont="1" applyFill="1" applyBorder="1" applyAlignment="1">
      <alignment horizontal="center" vertical="center" textRotation="90"/>
    </xf>
    <xf numFmtId="0" fontId="43" fillId="0" borderId="0" xfId="0" applyFont="1" applyAlignment="1">
      <alignment wrapText="1"/>
    </xf>
    <xf numFmtId="0" fontId="119" fillId="0" borderId="0" xfId="0" applyFont="1" applyAlignment="1"/>
    <xf numFmtId="0" fontId="43" fillId="0" borderId="0" xfId="0" applyFont="1" applyBorder="1"/>
    <xf numFmtId="0" fontId="43" fillId="0" borderId="0" xfId="0" applyFont="1" applyFill="1" applyBorder="1" applyAlignment="1">
      <alignment horizontal="left"/>
    </xf>
    <xf numFmtId="0" fontId="43" fillId="0" borderId="0" xfId="0" applyFont="1" applyFill="1" applyBorder="1" applyAlignment="1">
      <alignment horizontal="center"/>
    </xf>
    <xf numFmtId="165" fontId="43" fillId="0" borderId="0" xfId="0" applyNumberFormat="1" applyFont="1" applyFill="1" applyBorder="1" applyAlignment="1">
      <alignment horizontal="center"/>
    </xf>
    <xf numFmtId="3" fontId="43" fillId="0" borderId="0" xfId="0" applyNumberFormat="1" applyFont="1" applyFill="1" applyBorder="1" applyAlignment="1">
      <alignment horizontal="center"/>
    </xf>
    <xf numFmtId="1" fontId="81" fillId="0" borderId="0" xfId="0" applyNumberFormat="1" applyFont="1" applyFill="1" applyBorder="1" applyAlignment="1">
      <alignment horizontal="center"/>
    </xf>
    <xf numFmtId="2" fontId="81" fillId="0" borderId="0" xfId="0" applyNumberFormat="1" applyFont="1" applyFill="1" applyBorder="1" applyAlignment="1">
      <alignment horizontal="center"/>
    </xf>
    <xf numFmtId="2" fontId="43" fillId="0" borderId="0" xfId="0" applyNumberFormat="1" applyFont="1" applyFill="1" applyBorder="1" applyAlignment="1">
      <alignment horizontal="center"/>
    </xf>
    <xf numFmtId="165" fontId="129" fillId="0" borderId="0" xfId="0" applyNumberFormat="1" applyFont="1"/>
    <xf numFmtId="165" fontId="119" fillId="0" borderId="0" xfId="0" applyNumberFormat="1" applyFont="1"/>
    <xf numFmtId="0" fontId="43" fillId="0" borderId="0" xfId="0" applyFont="1" applyFill="1" applyBorder="1"/>
    <xf numFmtId="0" fontId="43" fillId="0" borderId="0" xfId="0" applyFont="1" applyFill="1"/>
    <xf numFmtId="0" fontId="31" fillId="0" borderId="26" xfId="0" applyFont="1" applyFill="1" applyBorder="1" applyAlignment="1">
      <alignment horizontal="center" vertical="center"/>
    </xf>
    <xf numFmtId="0" fontId="50" fillId="0" borderId="38" xfId="0" applyFont="1" applyFill="1" applyBorder="1" applyAlignment="1">
      <alignment horizontal="center" vertical="center"/>
    </xf>
    <xf numFmtId="0" fontId="72" fillId="0" borderId="63" xfId="0" applyFont="1" applyFill="1" applyBorder="1" applyAlignment="1">
      <alignment horizontal="center" vertical="center"/>
    </xf>
    <xf numFmtId="165" fontId="138" fillId="4" borderId="0" xfId="0" applyNumberFormat="1" applyFont="1" applyFill="1" applyBorder="1" applyAlignment="1" applyProtection="1">
      <alignment horizontal="center" vertical="center"/>
      <protection locked="0"/>
    </xf>
    <xf numFmtId="0" fontId="34" fillId="0" borderId="0" xfId="0" applyFont="1" applyAlignment="1">
      <alignment vertical="top"/>
    </xf>
    <xf numFmtId="0" fontId="34" fillId="0" borderId="0" xfId="0" applyFont="1" applyFill="1" applyAlignment="1">
      <alignment horizontal="right" vertical="top"/>
    </xf>
    <xf numFmtId="0" fontId="78" fillId="0" borderId="0" xfId="0" applyFont="1" applyAlignment="1">
      <alignment horizontal="center"/>
    </xf>
    <xf numFmtId="0" fontId="77" fillId="0" borderId="0" xfId="0" applyFont="1" applyAlignment="1">
      <alignment vertical="center"/>
    </xf>
    <xf numFmtId="0" fontId="85" fillId="0" borderId="0" xfId="0" applyFont="1"/>
    <xf numFmtId="0" fontId="84" fillId="0" borderId="0" xfId="0" applyFont="1"/>
    <xf numFmtId="0" fontId="83" fillId="0" borderId="0" xfId="0" applyFont="1" applyAlignment="1">
      <alignment horizontal="center"/>
    </xf>
    <xf numFmtId="0" fontId="86" fillId="0" borderId="0" xfId="0" applyFont="1" applyAlignment="1">
      <alignment horizontal="left"/>
    </xf>
    <xf numFmtId="0" fontId="86" fillId="0" borderId="0" xfId="0" applyFont="1"/>
    <xf numFmtId="0" fontId="87" fillId="0" borderId="0" xfId="0" applyFont="1" applyFill="1" applyBorder="1"/>
    <xf numFmtId="0" fontId="78" fillId="0" borderId="0" xfId="0" applyFont="1"/>
    <xf numFmtId="0" fontId="86" fillId="0" borderId="0" xfId="3" applyFont="1" applyAlignment="1">
      <alignment horizontal="left"/>
    </xf>
    <xf numFmtId="0" fontId="86" fillId="0" borderId="0" xfId="0" applyFont="1" applyAlignment="1">
      <alignment horizontal="center"/>
    </xf>
    <xf numFmtId="0" fontId="86" fillId="0" borderId="0" xfId="3" applyFont="1" applyAlignment="1">
      <alignment horizontal="center"/>
    </xf>
    <xf numFmtId="0" fontId="78" fillId="0" borderId="0" xfId="3" applyFont="1" applyAlignment="1">
      <alignment horizontal="center"/>
    </xf>
    <xf numFmtId="165" fontId="86" fillId="0" borderId="0" xfId="0" applyNumberFormat="1" applyFont="1"/>
    <xf numFmtId="0" fontId="43" fillId="0" borderId="0" xfId="0" applyFont="1" applyAlignment="1">
      <alignment vertical="center"/>
    </xf>
    <xf numFmtId="49" fontId="43" fillId="0" borderId="0" xfId="0" applyNumberFormat="1" applyFont="1" applyFill="1" applyBorder="1" applyAlignment="1" applyProtection="1">
      <alignment vertical="center"/>
      <protection locked="0"/>
    </xf>
    <xf numFmtId="0" fontId="77" fillId="0" borderId="0" xfId="0" applyFont="1" applyFill="1" applyAlignment="1">
      <alignment horizontal="right" vertical="center"/>
    </xf>
    <xf numFmtId="0" fontId="77" fillId="0" borderId="0" xfId="0" applyFont="1" applyAlignment="1">
      <alignment horizontal="right" vertical="center"/>
    </xf>
    <xf numFmtId="0" fontId="52" fillId="0" borderId="0" xfId="0" applyFont="1" applyFill="1" applyBorder="1"/>
    <xf numFmtId="165" fontId="4" fillId="0" borderId="0" xfId="0" applyNumberFormat="1" applyFont="1" applyFill="1" applyBorder="1"/>
    <xf numFmtId="165" fontId="119" fillId="0" borderId="0" xfId="0" applyNumberFormat="1" applyFont="1" applyFill="1" applyBorder="1" applyAlignment="1">
      <alignment horizontal="center" vertical="center"/>
    </xf>
    <xf numFmtId="165" fontId="52" fillId="0" borderId="0" xfId="0" applyNumberFormat="1" applyFont="1" applyFill="1" applyBorder="1"/>
    <xf numFmtId="2" fontId="14" fillId="0" borderId="0" xfId="0" applyNumberFormat="1" applyFont="1"/>
    <xf numFmtId="2" fontId="22" fillId="0" borderId="0" xfId="0" applyNumberFormat="1" applyFont="1"/>
    <xf numFmtId="0" fontId="69" fillId="0" borderId="0" xfId="0" applyFont="1"/>
    <xf numFmtId="0" fontId="49" fillId="4" borderId="4" xfId="0" applyFont="1" applyFill="1" applyBorder="1" applyAlignment="1">
      <alignment horizontal="center" vertical="center"/>
    </xf>
    <xf numFmtId="165" fontId="21" fillId="0" borderId="0" xfId="0" applyNumberFormat="1" applyFont="1" applyFill="1" applyBorder="1" applyAlignment="1">
      <alignment horizontal="center" vertical="center"/>
    </xf>
    <xf numFmtId="165" fontId="129" fillId="0" borderId="21" xfId="0" applyNumberFormat="1" applyFont="1" applyFill="1" applyBorder="1" applyAlignment="1">
      <alignment horizontal="center" vertical="center"/>
    </xf>
    <xf numFmtId="165" fontId="128" fillId="0" borderId="21" xfId="0" applyNumberFormat="1" applyFont="1" applyFill="1" applyBorder="1" applyAlignment="1">
      <alignment horizontal="center" vertical="center"/>
    </xf>
    <xf numFmtId="165" fontId="128" fillId="0" borderId="21" xfId="0" applyNumberFormat="1" applyFont="1" applyFill="1" applyBorder="1" applyAlignment="1">
      <alignment horizontal="center" vertical="center" wrapText="1"/>
    </xf>
    <xf numFmtId="0" fontId="49" fillId="0" borderId="62" xfId="0" applyFont="1" applyBorder="1" applyAlignment="1">
      <alignment horizontal="center" vertical="center"/>
    </xf>
    <xf numFmtId="0" fontId="69" fillId="11" borderId="6" xfId="0" applyFont="1" applyFill="1" applyBorder="1" applyAlignment="1">
      <alignment vertical="center"/>
    </xf>
    <xf numFmtId="172" fontId="7" fillId="0" borderId="0" xfId="0" applyNumberFormat="1" applyFont="1" applyFill="1" applyBorder="1" applyAlignment="1">
      <alignment vertical="center"/>
    </xf>
    <xf numFmtId="0" fontId="22" fillId="0" borderId="0" xfId="0" applyFont="1" applyAlignment="1">
      <alignment horizontal="left"/>
    </xf>
    <xf numFmtId="4" fontId="7" fillId="0" borderId="0" xfId="0" applyNumberFormat="1" applyFont="1"/>
    <xf numFmtId="165" fontId="53" fillId="6" borderId="0" xfId="0" applyNumberFormat="1" applyFont="1" applyFill="1" applyBorder="1" applyAlignment="1">
      <alignment horizontal="center" vertical="top" wrapText="1"/>
    </xf>
    <xf numFmtId="1" fontId="34" fillId="4" borderId="5" xfId="0" applyNumberFormat="1" applyFont="1" applyFill="1" applyBorder="1" applyAlignment="1">
      <alignment horizontal="center" vertical="center"/>
    </xf>
    <xf numFmtId="1" fontId="49" fillId="4" borderId="3" xfId="0" applyNumberFormat="1" applyFont="1" applyFill="1" applyBorder="1" applyAlignment="1">
      <alignment horizontal="center" vertical="center"/>
    </xf>
    <xf numFmtId="1" fontId="135" fillId="0" borderId="3" xfId="0" applyNumberFormat="1" applyFont="1" applyFill="1" applyBorder="1" applyAlignment="1">
      <alignment horizontal="center" vertical="center"/>
    </xf>
    <xf numFmtId="1" fontId="49" fillId="4" borderId="8" xfId="0" applyNumberFormat="1" applyFont="1" applyFill="1" applyBorder="1" applyAlignment="1">
      <alignment horizontal="center" vertical="center"/>
    </xf>
    <xf numFmtId="165" fontId="42" fillId="4" borderId="0" xfId="0" applyNumberFormat="1" applyFont="1" applyFill="1" applyBorder="1" applyAlignment="1" applyProtection="1">
      <alignment horizontal="center" vertical="center"/>
      <protection locked="0"/>
    </xf>
    <xf numFmtId="165" fontId="41" fillId="4" borderId="0" xfId="0" applyNumberFormat="1" applyFont="1" applyFill="1" applyBorder="1" applyAlignment="1" applyProtection="1">
      <alignment horizontal="center" vertical="center"/>
      <protection locked="0"/>
    </xf>
    <xf numFmtId="0" fontId="119" fillId="0" borderId="11" xfId="0" applyFont="1" applyFill="1" applyBorder="1" applyAlignment="1">
      <alignment horizontal="center" vertical="center"/>
    </xf>
    <xf numFmtId="1" fontId="50" fillId="7" borderId="11" xfId="0" applyNumberFormat="1" applyFont="1" applyFill="1" applyBorder="1" applyAlignment="1">
      <alignment horizontal="center" vertical="center"/>
    </xf>
    <xf numFmtId="1" fontId="72" fillId="7" borderId="16" xfId="0" applyNumberFormat="1" applyFont="1" applyFill="1" applyBorder="1" applyAlignment="1">
      <alignment horizontal="center" vertical="center"/>
    </xf>
    <xf numFmtId="1" fontId="72" fillId="7" borderId="11" xfId="0" applyNumberFormat="1" applyFont="1" applyFill="1" applyBorder="1" applyAlignment="1">
      <alignment horizontal="center" vertical="center"/>
    </xf>
    <xf numFmtId="3" fontId="43" fillId="19" borderId="39" xfId="0" applyNumberFormat="1" applyFont="1" applyFill="1" applyBorder="1" applyAlignment="1">
      <alignment horizontal="center" vertical="center"/>
    </xf>
    <xf numFmtId="2" fontId="121" fillId="0" borderId="16" xfId="0" applyNumberFormat="1" applyFont="1" applyFill="1" applyBorder="1" applyAlignment="1">
      <alignment horizontal="center" vertical="center"/>
    </xf>
    <xf numFmtId="2" fontId="136" fillId="0" borderId="11" xfId="0" applyNumberFormat="1" applyFont="1" applyFill="1" applyBorder="1" applyAlignment="1">
      <alignment horizontal="center" vertical="center"/>
    </xf>
    <xf numFmtId="165" fontId="128" fillId="14" borderId="39" xfId="0" applyNumberFormat="1" applyFont="1" applyFill="1" applyBorder="1" applyAlignment="1" applyProtection="1">
      <alignment horizontal="center" vertical="center"/>
      <protection locked="0"/>
    </xf>
    <xf numFmtId="0" fontId="49" fillId="4" borderId="35" xfId="0" applyFont="1" applyFill="1" applyBorder="1" applyAlignment="1">
      <alignment horizontal="center" vertical="center"/>
    </xf>
    <xf numFmtId="1" fontId="19" fillId="0" borderId="3" xfId="0" applyNumberFormat="1" applyFont="1" applyFill="1" applyBorder="1" applyAlignment="1">
      <alignment horizontal="center" vertical="center"/>
    </xf>
    <xf numFmtId="165" fontId="56" fillId="0" borderId="3" xfId="0" applyNumberFormat="1" applyFont="1" applyFill="1" applyBorder="1" applyAlignment="1">
      <alignment horizontal="center" vertical="center"/>
    </xf>
    <xf numFmtId="165" fontId="56" fillId="0" borderId="13" xfId="0" applyNumberFormat="1" applyFont="1" applyFill="1" applyBorder="1" applyAlignment="1">
      <alignment horizontal="center" vertical="center"/>
    </xf>
    <xf numFmtId="165" fontId="54" fillId="0" borderId="20" xfId="0" applyNumberFormat="1" applyFont="1" applyFill="1" applyBorder="1" applyAlignment="1">
      <alignment horizontal="center" vertical="center"/>
    </xf>
    <xf numFmtId="165" fontId="129" fillId="14" borderId="39" xfId="0" applyNumberFormat="1" applyFont="1" applyFill="1" applyBorder="1" applyAlignment="1" applyProtection="1">
      <alignment horizontal="center" vertical="center"/>
      <protection locked="0"/>
    </xf>
    <xf numFmtId="1" fontId="61" fillId="4" borderId="17" xfId="0" applyNumberFormat="1" applyFont="1" applyFill="1" applyBorder="1" applyAlignment="1" applyProtection="1">
      <alignment horizontal="center" vertical="center"/>
      <protection locked="0"/>
    </xf>
    <xf numFmtId="165" fontId="19" fillId="0" borderId="26" xfId="0" applyNumberFormat="1" applyFont="1" applyFill="1" applyBorder="1" applyAlignment="1">
      <alignment horizontal="center" vertical="center"/>
    </xf>
    <xf numFmtId="165" fontId="31" fillId="0" borderId="26" xfId="0" applyNumberFormat="1" applyFont="1" applyFill="1" applyBorder="1" applyAlignment="1">
      <alignment horizontal="center" vertical="center"/>
    </xf>
    <xf numFmtId="165" fontId="31" fillId="0" borderId="63" xfId="0" applyNumberFormat="1" applyFont="1" applyFill="1" applyBorder="1" applyAlignment="1">
      <alignment horizontal="center" vertical="center"/>
    </xf>
    <xf numFmtId="165" fontId="19" fillId="0" borderId="63" xfId="0" applyNumberFormat="1" applyFont="1" applyFill="1" applyBorder="1" applyAlignment="1">
      <alignment horizontal="center" vertical="center"/>
    </xf>
    <xf numFmtId="165" fontId="21" fillId="0" borderId="38" xfId="0" applyNumberFormat="1" applyFont="1" applyFill="1" applyBorder="1" applyAlignment="1">
      <alignment horizontal="center" vertical="center"/>
    </xf>
    <xf numFmtId="165" fontId="21" fillId="7" borderId="38" xfId="0" applyNumberFormat="1" applyFont="1" applyFill="1" applyBorder="1" applyAlignment="1">
      <alignment horizontal="center" vertical="center"/>
    </xf>
    <xf numFmtId="165" fontId="19" fillId="7" borderId="63" xfId="0" applyNumberFormat="1" applyFont="1" applyFill="1" applyBorder="1" applyAlignment="1">
      <alignment horizontal="center" vertical="center"/>
    </xf>
    <xf numFmtId="165" fontId="19" fillId="7" borderId="38" xfId="0" applyNumberFormat="1" applyFont="1" applyFill="1" applyBorder="1" applyAlignment="1">
      <alignment horizontal="center" vertical="center"/>
    </xf>
    <xf numFmtId="165" fontId="125" fillId="0" borderId="34" xfId="0" applyNumberFormat="1" applyFont="1" applyFill="1" applyBorder="1" applyAlignment="1" applyProtection="1">
      <alignment horizontal="center" vertical="center"/>
      <protection locked="0"/>
    </xf>
    <xf numFmtId="165" fontId="49" fillId="0" borderId="34" xfId="0" applyNumberFormat="1" applyFont="1" applyFill="1" applyBorder="1" applyAlignment="1">
      <alignment horizontal="center" vertical="center"/>
    </xf>
    <xf numFmtId="0" fontId="69" fillId="0" borderId="21" xfId="0" applyFont="1" applyFill="1" applyBorder="1" applyAlignment="1">
      <alignment horizontal="center" vertical="center"/>
    </xf>
    <xf numFmtId="0" fontId="69" fillId="11" borderId="21" xfId="0" applyFont="1" applyFill="1" applyBorder="1" applyAlignment="1">
      <alignment vertical="center"/>
    </xf>
    <xf numFmtId="0" fontId="69" fillId="0" borderId="21" xfId="0" applyFont="1" applyFill="1" applyBorder="1" applyAlignment="1">
      <alignment vertical="center"/>
    </xf>
    <xf numFmtId="0" fontId="0" fillId="0" borderId="12" xfId="0" applyFont="1" applyFill="1" applyBorder="1" applyAlignment="1">
      <alignment vertical="center"/>
    </xf>
    <xf numFmtId="0" fontId="31" fillId="0" borderId="47" xfId="0" applyFont="1" applyFill="1" applyBorder="1" applyAlignment="1">
      <alignment horizontal="center" vertical="center"/>
    </xf>
    <xf numFmtId="0" fontId="139" fillId="0" borderId="64" xfId="0" applyFont="1" applyFill="1" applyBorder="1" applyAlignment="1">
      <alignment horizontal="center" vertical="center"/>
    </xf>
    <xf numFmtId="0" fontId="139" fillId="0" borderId="64" xfId="0" applyFont="1" applyFill="1" applyBorder="1" applyAlignment="1">
      <alignment horizontal="center" vertical="center"/>
    </xf>
    <xf numFmtId="0" fontId="139" fillId="0" borderId="47" xfId="0" applyFont="1" applyFill="1" applyBorder="1" applyAlignment="1">
      <alignment horizontal="center" vertical="center"/>
    </xf>
    <xf numFmtId="0" fontId="139" fillId="0" borderId="65" xfId="0" applyFont="1" applyFill="1" applyBorder="1" applyAlignment="1">
      <alignment horizontal="center" vertical="center"/>
    </xf>
    <xf numFmtId="0" fontId="72" fillId="0" borderId="64" xfId="0" applyFont="1" applyFill="1" applyBorder="1" applyAlignment="1">
      <alignment horizontal="center" vertical="center"/>
    </xf>
    <xf numFmtId="0" fontId="50" fillId="0" borderId="65" xfId="0" applyFont="1" applyFill="1" applyBorder="1" applyAlignment="1">
      <alignment horizontal="center" vertical="center"/>
    </xf>
    <xf numFmtId="1" fontId="50" fillId="7" borderId="65" xfId="0" applyNumberFormat="1" applyFont="1" applyFill="1" applyBorder="1" applyAlignment="1">
      <alignment horizontal="center" vertical="center"/>
    </xf>
    <xf numFmtId="1" fontId="72" fillId="7" borderId="64" xfId="0" applyNumberFormat="1" applyFont="1" applyFill="1" applyBorder="1" applyAlignment="1">
      <alignment horizontal="center" vertical="center"/>
    </xf>
    <xf numFmtId="1" fontId="72" fillId="7" borderId="65" xfId="0" applyNumberFormat="1" applyFont="1" applyFill="1" applyBorder="1" applyAlignment="1">
      <alignment horizontal="center" vertical="center"/>
    </xf>
    <xf numFmtId="1" fontId="128" fillId="14" borderId="32" xfId="0" applyNumberFormat="1" applyFont="1" applyFill="1" applyBorder="1" applyAlignment="1" applyProtection="1">
      <alignment horizontal="center" vertical="center"/>
      <protection locked="0"/>
    </xf>
    <xf numFmtId="0" fontId="49" fillId="4" borderId="34" xfId="0" applyFont="1" applyFill="1" applyBorder="1" applyAlignment="1">
      <alignment horizontal="center" vertical="center" wrapText="1"/>
    </xf>
    <xf numFmtId="3" fontId="72" fillId="0" borderId="26" xfId="0" applyNumberFormat="1" applyFont="1" applyFill="1" applyBorder="1" applyAlignment="1">
      <alignment horizontal="center" vertical="center"/>
    </xf>
    <xf numFmtId="3" fontId="50" fillId="0" borderId="63" xfId="0" applyNumberFormat="1" applyFont="1" applyFill="1" applyBorder="1" applyAlignment="1">
      <alignment horizontal="center" vertical="center"/>
    </xf>
    <xf numFmtId="3" fontId="119" fillId="0" borderId="38" xfId="0" applyNumberFormat="1" applyFont="1" applyFill="1" applyBorder="1" applyAlignment="1">
      <alignment horizontal="center" vertical="center"/>
    </xf>
    <xf numFmtId="0" fontId="50" fillId="7" borderId="38" xfId="0" applyFont="1" applyFill="1" applyBorder="1" applyAlignment="1">
      <alignment horizontal="center" vertical="center"/>
    </xf>
    <xf numFmtId="0" fontId="72" fillId="7" borderId="63" xfId="0" applyFont="1" applyFill="1" applyBorder="1" applyAlignment="1">
      <alignment horizontal="center" vertical="center"/>
    </xf>
    <xf numFmtId="0" fontId="72" fillId="7" borderId="38" xfId="0" applyFont="1" applyFill="1" applyBorder="1" applyAlignment="1">
      <alignment horizontal="center" vertical="center"/>
    </xf>
    <xf numFmtId="3" fontId="128" fillId="14" borderId="4" xfId="0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50" fillId="0" borderId="0" xfId="0" applyFont="1" applyAlignment="1">
      <alignment vertical="center"/>
    </xf>
    <xf numFmtId="0" fontId="53" fillId="0" borderId="6" xfId="0" applyFont="1" applyFill="1" applyBorder="1" applyAlignment="1">
      <alignment horizontal="left" vertical="center" wrapText="1"/>
    </xf>
    <xf numFmtId="0" fontId="53" fillId="0" borderId="21" xfId="0" applyFont="1" applyFill="1" applyBorder="1" applyAlignment="1">
      <alignment horizontal="left" vertical="center"/>
    </xf>
    <xf numFmtId="165" fontId="39" fillId="0" borderId="27" xfId="0" applyNumberFormat="1" applyFont="1" applyFill="1" applyBorder="1" applyAlignment="1">
      <alignment horizontal="center" vertical="center"/>
    </xf>
    <xf numFmtId="0" fontId="50" fillId="0" borderId="22" xfId="0" applyFont="1" applyFill="1" applyBorder="1" applyAlignment="1">
      <alignment horizontal="center" vertical="center"/>
    </xf>
    <xf numFmtId="0" fontId="121" fillId="0" borderId="6" xfId="0" applyFont="1" applyFill="1" applyBorder="1" applyAlignment="1">
      <alignment horizontal="center" vertical="center"/>
    </xf>
    <xf numFmtId="1" fontId="50" fillId="7" borderId="22" xfId="0" applyNumberFormat="1" applyFont="1" applyFill="1" applyBorder="1" applyAlignment="1">
      <alignment horizontal="center" vertical="center"/>
    </xf>
    <xf numFmtId="1" fontId="72" fillId="7" borderId="23" xfId="0" applyNumberFormat="1" applyFont="1" applyFill="1" applyBorder="1" applyAlignment="1">
      <alignment horizontal="center" vertical="center"/>
    </xf>
    <xf numFmtId="1" fontId="72" fillId="7" borderId="22" xfId="0" applyNumberFormat="1" applyFont="1" applyFill="1" applyBorder="1" applyAlignment="1">
      <alignment horizontal="center" vertical="center"/>
    </xf>
    <xf numFmtId="0" fontId="24" fillId="0" borderId="0" xfId="0" applyFont="1" applyBorder="1" applyAlignment="1">
      <alignment vertical="center"/>
    </xf>
    <xf numFmtId="1" fontId="73" fillId="4" borderId="0" xfId="0" applyNumberFormat="1" applyFont="1" applyFill="1" applyBorder="1" applyAlignment="1" applyProtection="1">
      <alignment vertical="center"/>
      <protection locked="0"/>
    </xf>
    <xf numFmtId="2" fontId="140" fillId="4" borderId="0" xfId="0" applyNumberFormat="1" applyFont="1" applyFill="1" applyBorder="1" applyAlignment="1" applyProtection="1">
      <alignment vertical="center"/>
      <protection locked="0"/>
    </xf>
    <xf numFmtId="165" fontId="138" fillId="4" borderId="47" xfId="0" applyNumberFormat="1" applyFont="1" applyFill="1" applyBorder="1" applyAlignment="1" applyProtection="1">
      <alignment horizontal="center" vertical="center"/>
      <protection locked="0"/>
    </xf>
    <xf numFmtId="165" fontId="42" fillId="4" borderId="47" xfId="0" applyNumberFormat="1" applyFont="1" applyFill="1" applyBorder="1" applyAlignment="1" applyProtection="1">
      <alignment horizontal="center" vertical="center"/>
      <protection locked="0"/>
    </xf>
    <xf numFmtId="165" fontId="41" fillId="4" borderId="47" xfId="0" applyNumberFormat="1" applyFont="1" applyFill="1" applyBorder="1" applyAlignment="1" applyProtection="1">
      <alignment horizontal="center" vertical="center"/>
      <protection locked="0"/>
    </xf>
    <xf numFmtId="3" fontId="43" fillId="19" borderId="32" xfId="0" applyNumberFormat="1" applyFont="1" applyFill="1" applyBorder="1" applyAlignment="1">
      <alignment horizontal="center" vertical="center"/>
    </xf>
    <xf numFmtId="165" fontId="138" fillId="4" borderId="30" xfId="0" applyNumberFormat="1" applyFont="1" applyFill="1" applyBorder="1" applyAlignment="1" applyProtection="1">
      <alignment horizontal="center" vertical="center"/>
      <protection locked="0"/>
    </xf>
    <xf numFmtId="3" fontId="49" fillId="4" borderId="62" xfId="0" applyNumberFormat="1" applyFont="1" applyFill="1" applyBorder="1" applyAlignment="1" applyProtection="1">
      <alignment horizontal="right" vertical="center"/>
      <protection locked="0"/>
    </xf>
    <xf numFmtId="3" fontId="128" fillId="14" borderId="36" xfId="0" applyNumberFormat="1" applyFont="1" applyFill="1" applyBorder="1" applyAlignment="1" applyProtection="1">
      <alignment horizontal="center" vertical="center"/>
      <protection locked="0"/>
    </xf>
    <xf numFmtId="3" fontId="128" fillId="14" borderId="24" xfId="0" applyNumberFormat="1" applyFont="1" applyFill="1" applyBorder="1" applyAlignment="1" applyProtection="1">
      <alignment horizontal="center" vertical="center"/>
      <protection locked="0"/>
    </xf>
    <xf numFmtId="1" fontId="33" fillId="4" borderId="13" xfId="0" applyNumberFormat="1" applyFont="1" applyFill="1" applyBorder="1" applyAlignment="1" applyProtection="1">
      <alignment vertical="center"/>
      <protection locked="0"/>
    </xf>
    <xf numFmtId="1" fontId="33" fillId="4" borderId="59" xfId="0" applyNumberFormat="1" applyFont="1" applyFill="1" applyBorder="1" applyAlignment="1" applyProtection="1">
      <alignment vertical="center"/>
      <protection locked="0"/>
    </xf>
    <xf numFmtId="1" fontId="33" fillId="4" borderId="66" xfId="0" applyNumberFormat="1" applyFont="1" applyFill="1" applyBorder="1" applyAlignment="1" applyProtection="1">
      <alignment vertical="center"/>
      <protection locked="0"/>
    </xf>
    <xf numFmtId="1" fontId="33" fillId="4" borderId="67" xfId="0" applyNumberFormat="1" applyFont="1" applyFill="1" applyBorder="1" applyAlignment="1" applyProtection="1">
      <alignment vertical="center"/>
      <protection locked="0"/>
    </xf>
    <xf numFmtId="169" fontId="141" fillId="4" borderId="31" xfId="0" applyNumberFormat="1" applyFont="1" applyFill="1" applyBorder="1" applyAlignment="1" applyProtection="1">
      <alignment horizontal="center" vertical="center"/>
      <protection locked="0"/>
    </xf>
    <xf numFmtId="165" fontId="33" fillId="6" borderId="68" xfId="0" applyNumberFormat="1" applyFont="1" applyFill="1" applyBorder="1" applyAlignment="1" applyProtection="1">
      <alignment vertical="center" wrapText="1"/>
      <protection locked="0"/>
    </xf>
    <xf numFmtId="2" fontId="126" fillId="6" borderId="31" xfId="0" applyNumberFormat="1" applyFont="1" applyFill="1" applyBorder="1" applyAlignment="1">
      <alignment horizontal="center" vertical="center"/>
    </xf>
    <xf numFmtId="0" fontId="7" fillId="0" borderId="23" xfId="0" applyFont="1" applyFill="1" applyBorder="1" applyAlignment="1">
      <alignment horizontal="center"/>
    </xf>
    <xf numFmtId="0" fontId="69" fillId="11" borderId="23" xfId="0" applyFont="1" applyFill="1" applyBorder="1" applyAlignment="1">
      <alignment vertical="center"/>
    </xf>
    <xf numFmtId="0" fontId="16" fillId="0" borderId="20" xfId="0" applyFont="1" applyFill="1" applyBorder="1" applyAlignment="1">
      <alignment horizontal="center" vertical="center"/>
    </xf>
    <xf numFmtId="0" fontId="142" fillId="0" borderId="13" xfId="0" applyFont="1" applyFill="1" applyBorder="1" applyAlignment="1">
      <alignment horizontal="center" vertical="center"/>
    </xf>
    <xf numFmtId="0" fontId="53" fillId="0" borderId="13" xfId="0" applyFont="1" applyFill="1" applyBorder="1" applyAlignment="1">
      <alignment horizontal="center" vertical="center" wrapText="1"/>
    </xf>
    <xf numFmtId="0" fontId="55" fillId="0" borderId="3" xfId="0" applyFont="1" applyFill="1" applyBorder="1" applyAlignment="1">
      <alignment horizontal="center" vertical="center" wrapText="1"/>
    </xf>
    <xf numFmtId="0" fontId="55" fillId="0" borderId="13" xfId="0" applyFont="1" applyFill="1" applyBorder="1" applyAlignment="1">
      <alignment horizontal="center" vertical="center" wrapText="1"/>
    </xf>
    <xf numFmtId="49" fontId="16" fillId="0" borderId="20" xfId="0" applyNumberFormat="1" applyFont="1" applyFill="1" applyBorder="1" applyAlignment="1">
      <alignment horizontal="center" vertical="center"/>
    </xf>
    <xf numFmtId="0" fontId="54" fillId="0" borderId="6" xfId="0" applyFont="1" applyFill="1" applyBorder="1" applyAlignment="1">
      <alignment vertical="center"/>
    </xf>
    <xf numFmtId="0" fontId="54" fillId="0" borderId="22" xfId="0" applyFont="1" applyFill="1" applyBorder="1" applyAlignment="1">
      <alignment vertical="center"/>
    </xf>
    <xf numFmtId="0" fontId="54" fillId="0" borderId="23" xfId="0" applyFont="1" applyFill="1" applyBorder="1" applyAlignment="1">
      <alignment vertical="center"/>
    </xf>
    <xf numFmtId="0" fontId="54" fillId="0" borderId="22" xfId="0" applyFont="1" applyFill="1" applyBorder="1" applyAlignment="1">
      <alignment horizontal="left" vertical="center"/>
    </xf>
    <xf numFmtId="0" fontId="54" fillId="0" borderId="6" xfId="0" applyFont="1" applyFill="1" applyBorder="1" applyAlignment="1">
      <alignment horizontal="left" vertical="center"/>
    </xf>
    <xf numFmtId="2" fontId="12" fillId="0" borderId="0" xfId="0" applyNumberFormat="1" applyFont="1" applyFill="1"/>
    <xf numFmtId="3" fontId="43" fillId="0" borderId="29" xfId="0" applyNumberFormat="1" applyFont="1" applyFill="1" applyBorder="1" applyAlignment="1">
      <alignment horizontal="center" vertical="center"/>
    </xf>
    <xf numFmtId="0" fontId="50" fillId="0" borderId="0" xfId="0" applyFont="1" applyFill="1" applyBorder="1" applyAlignment="1"/>
    <xf numFmtId="0" fontId="2" fillId="0" borderId="1" xfId="0" applyFont="1" applyFill="1" applyBorder="1" applyAlignment="1"/>
    <xf numFmtId="1" fontId="54" fillId="0" borderId="13" xfId="0" applyNumberFormat="1" applyFont="1" applyFill="1" applyBorder="1" applyAlignment="1">
      <alignment horizontal="center" vertical="center"/>
    </xf>
    <xf numFmtId="1" fontId="49" fillId="0" borderId="8" xfId="0" applyNumberFormat="1" applyFont="1" applyFill="1" applyBorder="1" applyAlignment="1">
      <alignment horizontal="center" vertical="center"/>
    </xf>
    <xf numFmtId="1" fontId="133" fillId="0" borderId="30" xfId="0" applyNumberFormat="1" applyFont="1" applyFill="1" applyBorder="1" applyAlignment="1">
      <alignment horizontal="center" vertical="center"/>
    </xf>
    <xf numFmtId="165" fontId="26" fillId="0" borderId="0" xfId="0" applyNumberFormat="1" applyFont="1" applyFill="1"/>
    <xf numFmtId="4" fontId="54" fillId="0" borderId="23" xfId="0" applyNumberFormat="1" applyFont="1" applyFill="1" applyBorder="1" applyAlignment="1">
      <alignment horizontal="center" vertical="center"/>
    </xf>
    <xf numFmtId="4" fontId="54" fillId="0" borderId="11" xfId="0" applyNumberFormat="1" applyFont="1" applyFill="1" applyBorder="1" applyAlignment="1">
      <alignment horizontal="center" vertical="center"/>
    </xf>
    <xf numFmtId="0" fontId="129" fillId="0" borderId="6" xfId="0" applyFont="1" applyFill="1" applyBorder="1" applyAlignment="1" applyProtection="1">
      <alignment horizontal="center" vertical="center"/>
      <protection locked="0"/>
    </xf>
    <xf numFmtId="0" fontId="129" fillId="0" borderId="6" xfId="0" applyFont="1" applyFill="1" applyBorder="1" applyAlignment="1" applyProtection="1">
      <alignment horizontal="center" vertical="center"/>
      <protection locked="0"/>
    </xf>
    <xf numFmtId="0" fontId="129" fillId="19" borderId="4" xfId="0" applyFont="1" applyFill="1" applyBorder="1" applyAlignment="1" applyProtection="1">
      <alignment horizontal="center" vertical="center"/>
      <protection locked="0"/>
    </xf>
    <xf numFmtId="4" fontId="143" fillId="0" borderId="6" xfId="0" applyNumberFormat="1" applyFont="1" applyFill="1" applyBorder="1" applyAlignment="1">
      <alignment horizontal="center" vertical="center"/>
    </xf>
    <xf numFmtId="165" fontId="33" fillId="6" borderId="8" xfId="0" applyNumberFormat="1" applyFont="1" applyFill="1" applyBorder="1" applyAlignment="1" applyProtection="1">
      <alignment vertical="top" wrapText="1"/>
      <protection locked="0"/>
    </xf>
    <xf numFmtId="165" fontId="33" fillId="6" borderId="1" xfId="0" applyNumberFormat="1" applyFont="1" applyFill="1" applyBorder="1" applyAlignment="1" applyProtection="1">
      <alignment vertical="top" wrapText="1"/>
      <protection locked="0"/>
    </xf>
    <xf numFmtId="2" fontId="90" fillId="0" borderId="0" xfId="0" applyNumberFormat="1" applyFont="1" applyFill="1" applyBorder="1" applyAlignment="1">
      <alignment horizontal="center" vertical="center"/>
    </xf>
    <xf numFmtId="2" fontId="144" fillId="0" borderId="47" xfId="0" applyNumberFormat="1" applyFont="1" applyFill="1" applyBorder="1" applyAlignment="1">
      <alignment horizontal="center" vertical="center"/>
    </xf>
    <xf numFmtId="1" fontId="91" fillId="0" borderId="14" xfId="0" applyNumberFormat="1" applyFont="1" applyFill="1" applyBorder="1" applyAlignment="1">
      <alignment horizontal="center" vertical="center"/>
    </xf>
    <xf numFmtId="1" fontId="91" fillId="0" borderId="11" xfId="0" applyNumberFormat="1" applyFont="1" applyFill="1" applyBorder="1" applyAlignment="1">
      <alignment horizontal="center" vertical="center"/>
    </xf>
    <xf numFmtId="165" fontId="91" fillId="0" borderId="13" xfId="0" applyNumberFormat="1" applyFont="1" applyFill="1" applyBorder="1" applyAlignment="1">
      <alignment horizontal="center" vertical="center"/>
    </xf>
    <xf numFmtId="1" fontId="145" fillId="0" borderId="10" xfId="0" applyNumberFormat="1" applyFont="1" applyFill="1" applyBorder="1" applyAlignment="1">
      <alignment horizontal="center" vertical="center"/>
    </xf>
    <xf numFmtId="2" fontId="145" fillId="0" borderId="10" xfId="0" applyNumberFormat="1" applyFont="1" applyFill="1" applyBorder="1" applyAlignment="1">
      <alignment horizontal="center" vertical="center"/>
    </xf>
    <xf numFmtId="3" fontId="90" fillId="0" borderId="26" xfId="0" applyNumberFormat="1" applyFont="1" applyFill="1" applyBorder="1" applyAlignment="1">
      <alignment horizontal="center" vertical="center"/>
    </xf>
    <xf numFmtId="3" fontId="90" fillId="0" borderId="6" xfId="0" applyNumberFormat="1" applyFont="1" applyFill="1" applyBorder="1" applyAlignment="1">
      <alignment horizontal="center" vertical="center"/>
    </xf>
    <xf numFmtId="1" fontId="91" fillId="0" borderId="31" xfId="0" applyNumberFormat="1" applyFont="1" applyFill="1" applyBorder="1" applyAlignment="1">
      <alignment horizontal="center" vertical="center"/>
    </xf>
    <xf numFmtId="1" fontId="91" fillId="0" borderId="0" xfId="0" applyNumberFormat="1" applyFont="1" applyFill="1" applyBorder="1" applyAlignment="1">
      <alignment horizontal="center" vertical="center"/>
    </xf>
    <xf numFmtId="165" fontId="91" fillId="0" borderId="3" xfId="0" applyNumberFormat="1" applyFont="1" applyFill="1" applyBorder="1" applyAlignment="1">
      <alignment horizontal="center" vertical="center"/>
    </xf>
    <xf numFmtId="1" fontId="145" fillId="0" borderId="27" xfId="0" applyNumberFormat="1" applyFont="1" applyFill="1" applyBorder="1" applyAlignment="1">
      <alignment horizontal="center" vertical="center"/>
    </xf>
    <xf numFmtId="2" fontId="145" fillId="0" borderId="27" xfId="0" applyNumberFormat="1" applyFont="1" applyFill="1" applyBorder="1" applyAlignment="1">
      <alignment horizontal="center" vertical="center"/>
    </xf>
    <xf numFmtId="0" fontId="92" fillId="0" borderId="3" xfId="0" applyFont="1" applyFill="1" applyBorder="1" applyAlignment="1">
      <alignment horizontal="center" vertical="center"/>
    </xf>
    <xf numFmtId="0" fontId="93" fillId="0" borderId="26" xfId="0" applyFont="1" applyFill="1" applyBorder="1" applyAlignment="1">
      <alignment horizontal="center" vertical="center"/>
    </xf>
    <xf numFmtId="2" fontId="93" fillId="0" borderId="0" xfId="0" applyNumberFormat="1" applyFont="1" applyFill="1" applyBorder="1" applyAlignment="1">
      <alignment horizontal="center" vertical="center"/>
    </xf>
    <xf numFmtId="0" fontId="146" fillId="0" borderId="47" xfId="0" applyFont="1" applyFill="1" applyBorder="1" applyAlignment="1">
      <alignment horizontal="center" vertical="center"/>
    </xf>
    <xf numFmtId="3" fontId="93" fillId="0" borderId="26" xfId="0" applyNumberFormat="1" applyFont="1" applyFill="1" applyBorder="1" applyAlignment="1">
      <alignment horizontal="center" vertical="center"/>
    </xf>
    <xf numFmtId="1" fontId="94" fillId="0" borderId="31" xfId="0" applyNumberFormat="1" applyFont="1" applyFill="1" applyBorder="1" applyAlignment="1">
      <alignment horizontal="center" vertical="center"/>
    </xf>
    <xf numFmtId="1" fontId="94" fillId="0" borderId="0" xfId="0" applyNumberFormat="1" applyFont="1" applyFill="1" applyBorder="1" applyAlignment="1">
      <alignment horizontal="center" vertical="center"/>
    </xf>
    <xf numFmtId="1" fontId="94" fillId="0" borderId="6" xfId="0" applyNumberFormat="1" applyFont="1" applyFill="1" applyBorder="1" applyAlignment="1">
      <alignment horizontal="center" vertical="center"/>
    </xf>
    <xf numFmtId="165" fontId="94" fillId="0" borderId="3" xfId="0" applyNumberFormat="1" applyFont="1" applyFill="1" applyBorder="1" applyAlignment="1">
      <alignment horizontal="center" vertical="center"/>
    </xf>
    <xf numFmtId="0" fontId="93" fillId="0" borderId="38" xfId="0" applyFont="1" applyFill="1" applyBorder="1" applyAlignment="1">
      <alignment horizontal="center" vertical="center"/>
    </xf>
    <xf numFmtId="2" fontId="93" fillId="0" borderId="11" xfId="0" applyNumberFormat="1" applyFont="1" applyFill="1" applyBorder="1" applyAlignment="1">
      <alignment horizontal="center" vertical="center"/>
    </xf>
    <xf numFmtId="0" fontId="146" fillId="0" borderId="50" xfId="0" applyFont="1" applyFill="1" applyBorder="1" applyAlignment="1">
      <alignment horizontal="center" vertical="center"/>
    </xf>
    <xf numFmtId="3" fontId="93" fillId="0" borderId="38" xfId="0" applyNumberFormat="1" applyFont="1" applyFill="1" applyBorder="1" applyAlignment="1">
      <alignment horizontal="center" vertical="center"/>
    </xf>
    <xf numFmtId="3" fontId="90" fillId="0" borderId="22" xfId="0" applyNumberFormat="1" applyFont="1" applyFill="1" applyBorder="1" applyAlignment="1">
      <alignment horizontal="center" vertical="center"/>
    </xf>
    <xf numFmtId="1" fontId="94" fillId="0" borderId="14" xfId="0" applyNumberFormat="1" applyFont="1" applyFill="1" applyBorder="1" applyAlignment="1">
      <alignment horizontal="center" vertical="center"/>
    </xf>
    <xf numFmtId="1" fontId="94" fillId="0" borderId="11" xfId="0" applyNumberFormat="1" applyFont="1" applyFill="1" applyBorder="1" applyAlignment="1">
      <alignment horizontal="center" vertical="center"/>
    </xf>
    <xf numFmtId="1" fontId="94" fillId="0" borderId="22" xfId="0" applyNumberFormat="1" applyFont="1" applyFill="1" applyBorder="1" applyAlignment="1">
      <alignment horizontal="center" vertical="center"/>
    </xf>
    <xf numFmtId="165" fontId="94" fillId="0" borderId="13" xfId="0" applyNumberFormat="1" applyFont="1" applyFill="1" applyBorder="1" applyAlignment="1">
      <alignment horizontal="center" vertical="center"/>
    </xf>
    <xf numFmtId="1" fontId="147" fillId="0" borderId="10" xfId="0" applyNumberFormat="1" applyFont="1" applyFill="1" applyBorder="1" applyAlignment="1">
      <alignment horizontal="center" vertical="center"/>
    </xf>
    <xf numFmtId="2" fontId="147" fillId="0" borderId="10" xfId="0" applyNumberFormat="1" applyFont="1" applyFill="1" applyBorder="1" applyAlignment="1">
      <alignment horizontal="center" vertical="center"/>
    </xf>
    <xf numFmtId="0" fontId="92" fillId="0" borderId="20" xfId="0" applyFont="1" applyFill="1" applyBorder="1" applyAlignment="1">
      <alignment horizontal="center" vertical="center"/>
    </xf>
    <xf numFmtId="0" fontId="93" fillId="0" borderId="63" xfId="0" applyFont="1" applyFill="1" applyBorder="1" applyAlignment="1">
      <alignment horizontal="center" vertical="center"/>
    </xf>
    <xf numFmtId="2" fontId="93" fillId="0" borderId="16" xfId="0" applyNumberFormat="1" applyFont="1" applyFill="1" applyBorder="1" applyAlignment="1">
      <alignment horizontal="center" vertical="center"/>
    </xf>
    <xf numFmtId="0" fontId="146" fillId="0" borderId="64" xfId="0" applyFont="1" applyFill="1" applyBorder="1" applyAlignment="1">
      <alignment horizontal="center" vertical="center"/>
    </xf>
    <xf numFmtId="3" fontId="93" fillId="0" borderId="63" xfId="0" applyNumberFormat="1" applyFont="1" applyFill="1" applyBorder="1" applyAlignment="1">
      <alignment horizontal="center" vertical="center"/>
    </xf>
    <xf numFmtId="1" fontId="94" fillId="0" borderId="15" xfId="0" applyNumberFormat="1" applyFont="1" applyFill="1" applyBorder="1" applyAlignment="1">
      <alignment horizontal="center" vertical="center"/>
    </xf>
    <xf numFmtId="1" fontId="94" fillId="0" borderId="16" xfId="0" applyNumberFormat="1" applyFont="1" applyFill="1" applyBorder="1" applyAlignment="1">
      <alignment horizontal="center" vertical="center"/>
    </xf>
    <xf numFmtId="1" fontId="94" fillId="0" borderId="23" xfId="0" applyNumberFormat="1" applyFont="1" applyFill="1" applyBorder="1" applyAlignment="1">
      <alignment horizontal="center" vertical="center"/>
    </xf>
    <xf numFmtId="165" fontId="94" fillId="0" borderId="20" xfId="0" applyNumberFormat="1" applyFont="1" applyFill="1" applyBorder="1" applyAlignment="1">
      <alignment horizontal="center" vertical="center"/>
    </xf>
    <xf numFmtId="1" fontId="145" fillId="0" borderId="9" xfId="0" applyNumberFormat="1" applyFont="1" applyFill="1" applyBorder="1" applyAlignment="1">
      <alignment horizontal="center" vertical="center"/>
    </xf>
    <xf numFmtId="2" fontId="145" fillId="0" borderId="9" xfId="0" applyNumberFormat="1" applyFont="1" applyFill="1" applyBorder="1" applyAlignment="1">
      <alignment horizontal="center" vertical="center"/>
    </xf>
    <xf numFmtId="0" fontId="92" fillId="0" borderId="13" xfId="0" applyFont="1" applyFill="1" applyBorder="1" applyAlignment="1">
      <alignment horizontal="center" vertical="center"/>
    </xf>
    <xf numFmtId="0" fontId="146" fillId="0" borderId="65" xfId="0" applyFont="1" applyFill="1" applyBorder="1" applyAlignment="1">
      <alignment horizontal="center" vertical="center"/>
    </xf>
    <xf numFmtId="3" fontId="90" fillId="0" borderId="38" xfId="0" applyNumberFormat="1" applyFont="1" applyFill="1" applyBorder="1" applyAlignment="1">
      <alignment horizontal="center" vertical="center"/>
    </xf>
    <xf numFmtId="165" fontId="94" fillId="0" borderId="38" xfId="0" applyNumberFormat="1" applyFont="1" applyFill="1" applyBorder="1" applyAlignment="1">
      <alignment horizontal="center" vertical="center"/>
    </xf>
    <xf numFmtId="165" fontId="94" fillId="0" borderId="59" xfId="0" applyNumberFormat="1" applyFont="1" applyFill="1" applyBorder="1" applyAlignment="1">
      <alignment horizontal="center" vertical="center"/>
    </xf>
    <xf numFmtId="165" fontId="94" fillId="0" borderId="10" xfId="0" applyNumberFormat="1" applyFont="1" applyFill="1" applyBorder="1" applyAlignment="1">
      <alignment horizontal="center" vertical="center"/>
    </xf>
    <xf numFmtId="1" fontId="94" fillId="0" borderId="10" xfId="0" applyNumberFormat="1" applyFont="1" applyFill="1" applyBorder="1" applyAlignment="1">
      <alignment horizontal="center" vertical="center"/>
    </xf>
    <xf numFmtId="167" fontId="94" fillId="0" borderId="14" xfId="0" applyNumberFormat="1" applyFont="1" applyFill="1" applyBorder="1" applyAlignment="1">
      <alignment horizontal="center" vertical="center"/>
    </xf>
    <xf numFmtId="3" fontId="90" fillId="0" borderId="63" xfId="0" applyNumberFormat="1" applyFont="1" applyFill="1" applyBorder="1" applyAlignment="1">
      <alignment horizontal="center" vertical="center"/>
    </xf>
    <xf numFmtId="3" fontId="90" fillId="0" borderId="23" xfId="0" applyNumberFormat="1" applyFont="1" applyFill="1" applyBorder="1" applyAlignment="1">
      <alignment horizontal="center" vertical="center"/>
    </xf>
    <xf numFmtId="165" fontId="94" fillId="0" borderId="63" xfId="0" applyNumberFormat="1" applyFont="1" applyFill="1" applyBorder="1" applyAlignment="1">
      <alignment horizontal="center" vertical="center"/>
    </xf>
    <xf numFmtId="165" fontId="94" fillId="0" borderId="60" xfId="0" applyNumberFormat="1" applyFont="1" applyFill="1" applyBorder="1" applyAlignment="1">
      <alignment horizontal="center" vertical="center"/>
    </xf>
    <xf numFmtId="165" fontId="94" fillId="0" borderId="9" xfId="0" applyNumberFormat="1" applyFont="1" applyFill="1" applyBorder="1" applyAlignment="1">
      <alignment horizontal="center" vertical="center"/>
    </xf>
    <xf numFmtId="1" fontId="94" fillId="0" borderId="9" xfId="0" applyNumberFormat="1" applyFont="1" applyFill="1" applyBorder="1" applyAlignment="1">
      <alignment horizontal="center" vertical="center"/>
    </xf>
    <xf numFmtId="167" fontId="94" fillId="0" borderId="15" xfId="0" applyNumberFormat="1" applyFont="1" applyFill="1" applyBorder="1" applyAlignment="1">
      <alignment horizontal="center" vertical="center"/>
    </xf>
    <xf numFmtId="2" fontId="146" fillId="0" borderId="47" xfId="0" applyNumberFormat="1" applyFont="1" applyFill="1" applyBorder="1" applyAlignment="1">
      <alignment horizontal="center" vertical="center"/>
    </xf>
    <xf numFmtId="3" fontId="93" fillId="0" borderId="22" xfId="0" applyNumberFormat="1" applyFont="1" applyFill="1" applyBorder="1" applyAlignment="1">
      <alignment horizontal="center" vertical="center"/>
    </xf>
    <xf numFmtId="1" fontId="146" fillId="0" borderId="47" xfId="0" applyNumberFormat="1" applyFont="1" applyFill="1" applyBorder="1" applyAlignment="1">
      <alignment horizontal="center" vertical="center"/>
    </xf>
    <xf numFmtId="165" fontId="94" fillId="0" borderId="26" xfId="0" applyNumberFormat="1" applyFont="1" applyFill="1" applyBorder="1" applyAlignment="1">
      <alignment horizontal="center" vertical="center"/>
    </xf>
    <xf numFmtId="165" fontId="94" fillId="0" borderId="58" xfId="0" applyNumberFormat="1" applyFont="1" applyFill="1" applyBorder="1" applyAlignment="1">
      <alignment horizontal="center" vertical="center"/>
    </xf>
    <xf numFmtId="165" fontId="94" fillId="0" borderId="27" xfId="0" applyNumberFormat="1" applyFont="1" applyFill="1" applyBorder="1" applyAlignment="1">
      <alignment horizontal="center" vertical="center"/>
    </xf>
    <xf numFmtId="1" fontId="94" fillId="0" borderId="27" xfId="0" applyNumberFormat="1" applyFont="1" applyFill="1" applyBorder="1" applyAlignment="1">
      <alignment horizontal="center" vertical="center"/>
    </xf>
    <xf numFmtId="167" fontId="94" fillId="0" borderId="31" xfId="0" applyNumberFormat="1" applyFont="1" applyFill="1" applyBorder="1" applyAlignment="1">
      <alignment horizontal="center" vertical="center"/>
    </xf>
    <xf numFmtId="0" fontId="92" fillId="0" borderId="20" xfId="0" applyFont="1" applyFill="1" applyBorder="1" applyAlignment="1">
      <alignment horizontal="center" vertical="center" wrapText="1"/>
    </xf>
    <xf numFmtId="1" fontId="146" fillId="0" borderId="64" xfId="0" applyNumberFormat="1" applyFont="1" applyFill="1" applyBorder="1" applyAlignment="1">
      <alignment horizontal="center" vertical="center"/>
    </xf>
    <xf numFmtId="0" fontId="92" fillId="0" borderId="54" xfId="0" applyFont="1" applyFill="1" applyBorder="1" applyAlignment="1">
      <alignment horizontal="center" vertical="center" wrapText="1"/>
    </xf>
    <xf numFmtId="2" fontId="90" fillId="0" borderId="12" xfId="0" applyNumberFormat="1" applyFont="1" applyFill="1" applyBorder="1" applyAlignment="1">
      <alignment horizontal="center" vertical="center"/>
    </xf>
    <xf numFmtId="0" fontId="144" fillId="0" borderId="50" xfId="0" applyFont="1" applyFill="1" applyBorder="1" applyAlignment="1">
      <alignment horizontal="center" vertical="center"/>
    </xf>
    <xf numFmtId="3" fontId="90" fillId="0" borderId="45" xfId="0" applyNumberFormat="1" applyFont="1" applyFill="1" applyBorder="1" applyAlignment="1">
      <alignment horizontal="center" vertical="center"/>
    </xf>
    <xf numFmtId="3" fontId="90" fillId="0" borderId="21" xfId="0" applyNumberFormat="1" applyFont="1" applyFill="1" applyBorder="1" applyAlignment="1">
      <alignment horizontal="center" vertical="center"/>
    </xf>
    <xf numFmtId="1" fontId="94" fillId="0" borderId="55" xfId="0" applyNumberFormat="1" applyFont="1" applyFill="1" applyBorder="1" applyAlignment="1">
      <alignment horizontal="center" vertical="center"/>
    </xf>
    <xf numFmtId="1" fontId="91" fillId="0" borderId="12" xfId="0" applyNumberFormat="1" applyFont="1" applyFill="1" applyBorder="1" applyAlignment="1">
      <alignment horizontal="center" vertical="center"/>
    </xf>
    <xf numFmtId="1" fontId="91" fillId="0" borderId="21" xfId="0" applyNumberFormat="1" applyFont="1" applyFill="1" applyBorder="1" applyAlignment="1">
      <alignment horizontal="center" vertical="center"/>
    </xf>
    <xf numFmtId="165" fontId="91" fillId="0" borderId="54" xfId="0" applyNumberFormat="1" applyFont="1" applyFill="1" applyBorder="1" applyAlignment="1">
      <alignment horizontal="center" vertical="center"/>
    </xf>
    <xf numFmtId="165" fontId="94" fillId="0" borderId="45" xfId="0" applyNumberFormat="1" applyFont="1" applyFill="1" applyBorder="1" applyAlignment="1">
      <alignment horizontal="center" vertical="center"/>
    </xf>
    <xf numFmtId="165" fontId="94" fillId="0" borderId="48" xfId="0" applyNumberFormat="1" applyFont="1" applyFill="1" applyBorder="1" applyAlignment="1">
      <alignment horizontal="center" vertical="center"/>
    </xf>
    <xf numFmtId="165" fontId="94" fillId="0" borderId="28" xfId="0" applyNumberFormat="1" applyFont="1" applyFill="1" applyBorder="1" applyAlignment="1">
      <alignment horizontal="center" vertical="center"/>
    </xf>
    <xf numFmtId="1" fontId="145" fillId="0" borderId="28" xfId="0" applyNumberFormat="1" applyFont="1" applyFill="1" applyBorder="1" applyAlignment="1">
      <alignment horizontal="center" vertical="center"/>
    </xf>
    <xf numFmtId="2" fontId="145" fillId="0" borderId="28" xfId="0" applyNumberFormat="1" applyFont="1" applyFill="1" applyBorder="1" applyAlignment="1">
      <alignment horizontal="center" vertical="center"/>
    </xf>
    <xf numFmtId="1" fontId="94" fillId="0" borderId="28" xfId="0" applyNumberFormat="1" applyFont="1" applyFill="1" applyBorder="1" applyAlignment="1">
      <alignment horizontal="center" vertical="center"/>
    </xf>
    <xf numFmtId="167" fontId="94" fillId="0" borderId="55" xfId="0" applyNumberFormat="1" applyFont="1" applyFill="1" applyBorder="1" applyAlignment="1">
      <alignment horizontal="center" vertical="center"/>
    </xf>
    <xf numFmtId="2" fontId="90" fillId="0" borderId="11" xfId="0" applyNumberFormat="1" applyFont="1" applyFill="1" applyBorder="1" applyAlignment="1">
      <alignment horizontal="center" vertical="center"/>
    </xf>
    <xf numFmtId="0" fontId="144" fillId="0" borderId="65" xfId="0" applyFont="1" applyFill="1" applyBorder="1" applyAlignment="1">
      <alignment horizontal="center" vertical="center"/>
    </xf>
    <xf numFmtId="165" fontId="94" fillId="0" borderId="22" xfId="0" applyNumberFormat="1" applyFont="1" applyFill="1" applyBorder="1" applyAlignment="1">
      <alignment horizontal="center" vertical="center"/>
    </xf>
    <xf numFmtId="165" fontId="94" fillId="0" borderId="23" xfId="0" applyNumberFormat="1" applyFont="1" applyFill="1" applyBorder="1" applyAlignment="1">
      <alignment horizontal="center" vertical="center"/>
    </xf>
    <xf numFmtId="165" fontId="91" fillId="0" borderId="22" xfId="0" applyNumberFormat="1" applyFont="1" applyFill="1" applyBorder="1" applyAlignment="1">
      <alignment horizontal="center" vertical="center"/>
    </xf>
    <xf numFmtId="0" fontId="92" fillId="0" borderId="3" xfId="0" applyFont="1" applyFill="1" applyBorder="1" applyAlignment="1">
      <alignment horizontal="center" vertical="center" wrapText="1"/>
    </xf>
    <xf numFmtId="165" fontId="91" fillId="0" borderId="26" xfId="0" applyNumberFormat="1" applyFont="1" applyFill="1" applyBorder="1" applyAlignment="1">
      <alignment horizontal="center" vertical="center"/>
    </xf>
    <xf numFmtId="165" fontId="91" fillId="0" borderId="58" xfId="0" applyNumberFormat="1" applyFont="1" applyFill="1" applyBorder="1" applyAlignment="1">
      <alignment horizontal="center" vertical="center"/>
    </xf>
    <xf numFmtId="165" fontId="91" fillId="0" borderId="27" xfId="0" applyNumberFormat="1" applyFont="1" applyFill="1" applyBorder="1" applyAlignment="1">
      <alignment horizontal="center" vertical="center"/>
    </xf>
    <xf numFmtId="1" fontId="91" fillId="0" borderId="27" xfId="0" applyNumberFormat="1" applyFont="1" applyFill="1" applyBorder="1" applyAlignment="1">
      <alignment horizontal="center" vertical="center"/>
    </xf>
    <xf numFmtId="167" fontId="91" fillId="0" borderId="31" xfId="0" applyNumberFormat="1" applyFont="1" applyFill="1" applyBorder="1" applyAlignment="1">
      <alignment horizontal="center" vertical="center"/>
    </xf>
    <xf numFmtId="3" fontId="93" fillId="0" borderId="23" xfId="0" applyNumberFormat="1" applyFont="1" applyFill="1" applyBorder="1" applyAlignment="1">
      <alignment horizontal="center" vertical="center"/>
    </xf>
    <xf numFmtId="1" fontId="147" fillId="0" borderId="9" xfId="0" applyNumberFormat="1" applyFont="1" applyFill="1" applyBorder="1" applyAlignment="1">
      <alignment horizontal="center" vertical="center"/>
    </xf>
    <xf numFmtId="2" fontId="147" fillId="0" borderId="9" xfId="0" applyNumberFormat="1" applyFont="1" applyFill="1" applyBorder="1" applyAlignment="1">
      <alignment horizontal="center" vertical="center"/>
    </xf>
    <xf numFmtId="165" fontId="91" fillId="0" borderId="59" xfId="0" applyNumberFormat="1" applyFont="1" applyFill="1" applyBorder="1" applyAlignment="1">
      <alignment horizontal="center" vertical="center"/>
    </xf>
    <xf numFmtId="167" fontId="91" fillId="0" borderId="14" xfId="0" applyNumberFormat="1" applyFont="1" applyFill="1" applyBorder="1" applyAlignment="1">
      <alignment horizontal="center" vertical="center"/>
    </xf>
    <xf numFmtId="0" fontId="90" fillId="0" borderId="6" xfId="0" applyFont="1" applyFill="1" applyBorder="1" applyAlignment="1">
      <alignment horizontal="center" vertical="center"/>
    </xf>
    <xf numFmtId="165" fontId="94" fillId="0" borderId="6" xfId="0" applyNumberFormat="1" applyFont="1" applyFill="1" applyBorder="1" applyAlignment="1">
      <alignment horizontal="center" vertical="center"/>
    </xf>
    <xf numFmtId="1" fontId="93" fillId="0" borderId="23" xfId="0" applyNumberFormat="1" applyFont="1" applyFill="1" applyBorder="1" applyAlignment="1">
      <alignment horizontal="center" vertical="center"/>
    </xf>
    <xf numFmtId="2" fontId="93" fillId="0" borderId="12" xfId="0" applyNumberFormat="1" applyFont="1" applyFill="1" applyBorder="1" applyAlignment="1">
      <alignment horizontal="center" vertical="center"/>
    </xf>
    <xf numFmtId="1" fontId="94" fillId="0" borderId="12" xfId="0" applyNumberFormat="1" applyFont="1" applyFill="1" applyBorder="1" applyAlignment="1">
      <alignment horizontal="center" vertical="center"/>
    </xf>
    <xf numFmtId="165" fontId="94" fillId="0" borderId="54" xfId="0" applyNumberFormat="1" applyFont="1" applyFill="1" applyBorder="1" applyAlignment="1">
      <alignment horizontal="center" vertical="center"/>
    </xf>
    <xf numFmtId="1" fontId="147" fillId="0" borderId="28" xfId="0" applyNumberFormat="1" applyFont="1" applyFill="1" applyBorder="1" applyAlignment="1">
      <alignment horizontal="center" vertical="center"/>
    </xf>
    <xf numFmtId="2" fontId="147" fillId="0" borderId="28" xfId="0" applyNumberFormat="1" applyFont="1" applyFill="1" applyBorder="1" applyAlignment="1">
      <alignment horizontal="center" vertical="center"/>
    </xf>
    <xf numFmtId="3" fontId="93" fillId="0" borderId="6" xfId="0" applyNumberFormat="1" applyFont="1" applyFill="1" applyBorder="1" applyAlignment="1">
      <alignment horizontal="center" vertical="center"/>
    </xf>
    <xf numFmtId="1" fontId="147" fillId="0" borderId="27" xfId="0" applyNumberFormat="1" applyFont="1" applyFill="1" applyBorder="1" applyAlignment="1">
      <alignment horizontal="center" vertical="center"/>
    </xf>
    <xf numFmtId="2" fontId="147" fillId="0" borderId="27" xfId="0" applyNumberFormat="1" applyFont="1" applyFill="1" applyBorder="1" applyAlignment="1">
      <alignment horizontal="center" vertical="center"/>
    </xf>
    <xf numFmtId="0" fontId="92" fillId="0" borderId="50" xfId="0" applyFont="1" applyFill="1" applyBorder="1" applyAlignment="1">
      <alignment horizontal="center" vertical="center"/>
    </xf>
    <xf numFmtId="0" fontId="92" fillId="0" borderId="13" xfId="0" applyFont="1" applyFill="1" applyBorder="1" applyAlignment="1">
      <alignment horizontal="center" vertical="center" wrapText="1"/>
    </xf>
    <xf numFmtId="0" fontId="90" fillId="0" borderId="63" xfId="0" applyFont="1" applyFill="1" applyBorder="1" applyAlignment="1">
      <alignment horizontal="center" vertical="center"/>
    </xf>
    <xf numFmtId="2" fontId="90" fillId="0" borderId="16" xfId="0" applyNumberFormat="1" applyFont="1" applyFill="1" applyBorder="1" applyAlignment="1">
      <alignment horizontal="center" vertical="center"/>
    </xf>
    <xf numFmtId="0" fontId="144" fillId="0" borderId="64" xfId="0" applyFont="1" applyFill="1" applyBorder="1" applyAlignment="1">
      <alignment horizontal="center" vertical="center"/>
    </xf>
    <xf numFmtId="1" fontId="91" fillId="0" borderId="15" xfId="0" applyNumberFormat="1" applyFont="1" applyFill="1" applyBorder="1" applyAlignment="1">
      <alignment horizontal="center" vertical="center"/>
    </xf>
    <xf numFmtId="1" fontId="91" fillId="0" borderId="16" xfId="0" applyNumberFormat="1" applyFont="1" applyFill="1" applyBorder="1" applyAlignment="1">
      <alignment horizontal="center" vertical="center"/>
    </xf>
    <xf numFmtId="165" fontId="91" fillId="0" borderId="20" xfId="0" applyNumberFormat="1" applyFont="1" applyFill="1" applyBorder="1" applyAlignment="1">
      <alignment horizontal="center" vertical="center"/>
    </xf>
    <xf numFmtId="0" fontId="90" fillId="0" borderId="0" xfId="0" applyFont="1" applyFill="1" applyBorder="1" applyAlignment="1">
      <alignment horizontal="center" vertical="center"/>
    </xf>
    <xf numFmtId="0" fontId="121" fillId="0" borderId="26" xfId="0" applyFont="1" applyFill="1" applyBorder="1" applyAlignment="1">
      <alignment horizontal="center" vertical="center"/>
    </xf>
    <xf numFmtId="49" fontId="92" fillId="0" borderId="20" xfId="0" applyNumberFormat="1" applyFont="1" applyFill="1" applyBorder="1" applyAlignment="1">
      <alignment horizontal="center" vertical="center"/>
    </xf>
    <xf numFmtId="0" fontId="119" fillId="0" borderId="38" xfId="0" applyFont="1" applyFill="1" applyBorder="1" applyAlignment="1">
      <alignment horizontal="center" vertical="center"/>
    </xf>
    <xf numFmtId="0" fontId="90" fillId="0" borderId="11" xfId="0" applyFont="1" applyFill="1" applyBorder="1" applyAlignment="1">
      <alignment horizontal="center" vertical="center"/>
    </xf>
    <xf numFmtId="0" fontId="93" fillId="0" borderId="16" xfId="0" applyFont="1" applyFill="1" applyBorder="1" applyAlignment="1">
      <alignment horizontal="center" vertical="center"/>
    </xf>
    <xf numFmtId="49" fontId="92" fillId="0" borderId="13" xfId="0" applyNumberFormat="1" applyFont="1" applyFill="1" applyBorder="1" applyAlignment="1">
      <alignment horizontal="center" vertical="center"/>
    </xf>
    <xf numFmtId="165" fontId="32" fillId="0" borderId="9" xfId="0" applyNumberFormat="1" applyFont="1" applyFill="1" applyBorder="1" applyAlignment="1">
      <alignment horizontal="center" vertical="center"/>
    </xf>
    <xf numFmtId="0" fontId="53" fillId="0" borderId="3" xfId="0" applyFont="1" applyFill="1" applyBorder="1" applyAlignment="1">
      <alignment horizontal="center" vertical="center"/>
    </xf>
    <xf numFmtId="0" fontId="32" fillId="0" borderId="6" xfId="0" applyFont="1" applyFill="1" applyBorder="1" applyAlignment="1">
      <alignment horizontal="center" vertical="center"/>
    </xf>
    <xf numFmtId="0" fontId="32" fillId="0" borderId="6" xfId="0" applyFont="1" applyFill="1" applyBorder="1" applyAlignment="1">
      <alignment vertical="center"/>
    </xf>
    <xf numFmtId="0" fontId="93" fillId="0" borderId="6" xfId="0" applyFont="1" applyFill="1" applyBorder="1" applyAlignment="1">
      <alignment horizontal="center" vertical="center"/>
    </xf>
    <xf numFmtId="165" fontId="94" fillId="0" borderId="26" xfId="2" applyNumberFormat="1" applyFont="1" applyFill="1" applyBorder="1" applyAlignment="1">
      <alignment horizontal="center" vertical="center"/>
    </xf>
    <xf numFmtId="165" fontId="94" fillId="0" borderId="58" xfId="2" applyNumberFormat="1" applyFont="1" applyFill="1" applyBorder="1" applyAlignment="1">
      <alignment horizontal="center" vertical="center"/>
    </xf>
    <xf numFmtId="165" fontId="94" fillId="0" borderId="27" xfId="2" applyNumberFormat="1" applyFont="1" applyFill="1" applyBorder="1" applyAlignment="1">
      <alignment horizontal="center" vertical="center"/>
    </xf>
    <xf numFmtId="165" fontId="119" fillId="0" borderId="27" xfId="2" applyNumberFormat="1" applyFont="1" applyFill="1" applyBorder="1" applyAlignment="1">
      <alignment horizontal="center" vertical="center"/>
    </xf>
    <xf numFmtId="1" fontId="94" fillId="0" borderId="27" xfId="2" applyNumberFormat="1" applyFont="1" applyFill="1" applyBorder="1" applyAlignment="1">
      <alignment horizontal="center" vertical="center"/>
    </xf>
    <xf numFmtId="1" fontId="147" fillId="0" borderId="27" xfId="2" applyNumberFormat="1" applyFont="1" applyFill="1" applyBorder="1" applyAlignment="1">
      <alignment horizontal="center" vertical="center"/>
    </xf>
    <xf numFmtId="2" fontId="147" fillId="0" borderId="27" xfId="2" applyNumberFormat="1" applyFont="1" applyFill="1" applyBorder="1" applyAlignment="1">
      <alignment horizontal="center" vertical="center"/>
    </xf>
    <xf numFmtId="0" fontId="32" fillId="0" borderId="23" xfId="0" applyFont="1" applyFill="1" applyBorder="1" applyAlignment="1">
      <alignment vertical="center"/>
    </xf>
    <xf numFmtId="0" fontId="92" fillId="0" borderId="64" xfId="0" applyFont="1" applyFill="1" applyBorder="1" applyAlignment="1">
      <alignment horizontal="center" vertical="center"/>
    </xf>
    <xf numFmtId="0" fontId="32" fillId="0" borderId="6" xfId="0" applyFont="1" applyFill="1" applyBorder="1" applyAlignment="1">
      <alignment horizontal="left" vertical="center"/>
    </xf>
    <xf numFmtId="0" fontId="93" fillId="0" borderId="64" xfId="0" applyFont="1" applyFill="1" applyBorder="1" applyAlignment="1">
      <alignment horizontal="center" vertical="center"/>
    </xf>
    <xf numFmtId="165" fontId="32" fillId="0" borderId="60" xfId="0" applyNumberFormat="1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vertical="center"/>
    </xf>
    <xf numFmtId="0" fontId="32" fillId="0" borderId="23" xfId="0" applyFont="1" applyFill="1" applyBorder="1" applyAlignment="1">
      <alignment horizontal="left" vertical="center" wrapText="1"/>
    </xf>
    <xf numFmtId="0" fontId="7" fillId="0" borderId="16" xfId="0" applyFont="1" applyFill="1" applyBorder="1" applyAlignment="1">
      <alignment vertical="center"/>
    </xf>
    <xf numFmtId="165" fontId="90" fillId="4" borderId="26" xfId="0" applyNumberFormat="1" applyFont="1" applyFill="1" applyBorder="1" applyAlignment="1" applyProtection="1">
      <alignment horizontal="center" vertical="center"/>
      <protection locked="0"/>
    </xf>
    <xf numFmtId="0" fontId="49" fillId="0" borderId="2" xfId="0" applyFont="1" applyFill="1" applyBorder="1" applyAlignment="1" applyProtection="1">
      <alignment horizontal="right" vertical="center"/>
      <protection locked="0"/>
    </xf>
    <xf numFmtId="0" fontId="54" fillId="0" borderId="6" xfId="0" applyFont="1" applyFill="1" applyBorder="1" applyAlignment="1" applyProtection="1">
      <alignment horizontal="right" vertical="center"/>
      <protection locked="0"/>
    </xf>
    <xf numFmtId="0" fontId="54" fillId="0" borderId="7" xfId="0" applyFont="1" applyFill="1" applyBorder="1" applyAlignment="1" applyProtection="1">
      <alignment horizontal="right" vertical="center"/>
      <protection locked="0"/>
    </xf>
    <xf numFmtId="165" fontId="136" fillId="0" borderId="0" xfId="0" applyNumberFormat="1" applyFont="1" applyFill="1" applyBorder="1" applyAlignment="1">
      <alignment horizontal="center" vertical="center"/>
    </xf>
    <xf numFmtId="1" fontId="136" fillId="0" borderId="0" xfId="0" applyNumberFormat="1" applyFont="1" applyFill="1" applyBorder="1" applyAlignment="1">
      <alignment horizontal="center" vertical="center"/>
    </xf>
    <xf numFmtId="2" fontId="136" fillId="0" borderId="0" xfId="0" applyNumberFormat="1" applyFont="1" applyFill="1" applyBorder="1" applyAlignment="1">
      <alignment horizontal="center" vertical="center"/>
    </xf>
    <xf numFmtId="0" fontId="95" fillId="0" borderId="0" xfId="0" applyFont="1" applyAlignment="1">
      <alignment horizontal="right"/>
    </xf>
    <xf numFmtId="49" fontId="95" fillId="0" borderId="0" xfId="0" applyNumberFormat="1" applyFont="1" applyFill="1" applyBorder="1" applyAlignment="1" applyProtection="1">
      <alignment horizontal="left" vertical="center"/>
      <protection locked="0"/>
    </xf>
    <xf numFmtId="0" fontId="95" fillId="0" borderId="0" xfId="0" applyFont="1" applyFill="1"/>
    <xf numFmtId="0" fontId="95" fillId="0" borderId="0" xfId="0" applyFont="1"/>
    <xf numFmtId="0" fontId="95" fillId="0" borderId="0" xfId="0" applyFont="1" applyFill="1" applyAlignment="1"/>
    <xf numFmtId="0" fontId="29" fillId="0" borderId="0" xfId="0" applyFont="1" applyFill="1"/>
    <xf numFmtId="0" fontId="96" fillId="0" borderId="0" xfId="0" applyFont="1" applyAlignment="1"/>
    <xf numFmtId="0" fontId="95" fillId="0" borderId="0" xfId="0" applyFont="1" applyAlignment="1"/>
    <xf numFmtId="0" fontId="97" fillId="0" borderId="0" xfId="0" applyFont="1" applyBorder="1"/>
    <xf numFmtId="0" fontId="98" fillId="0" borderId="0" xfId="0" applyFont="1" applyFill="1" applyBorder="1" applyAlignment="1">
      <alignment horizontal="center" vertical="center"/>
    </xf>
    <xf numFmtId="0" fontId="98" fillId="0" borderId="0" xfId="0" applyFont="1" applyFill="1" applyBorder="1" applyAlignment="1">
      <alignment horizontal="left"/>
    </xf>
    <xf numFmtId="0" fontId="98" fillId="0" borderId="0" xfId="0" applyFont="1" applyFill="1" applyBorder="1" applyAlignment="1">
      <alignment horizontal="center"/>
    </xf>
    <xf numFmtId="0" fontId="96" fillId="0" borderId="0" xfId="0" applyFont="1" applyFill="1" applyBorder="1" applyAlignment="1" applyProtection="1">
      <alignment horizontal="left" vertical="center"/>
      <protection locked="0"/>
    </xf>
    <xf numFmtId="2" fontId="29" fillId="0" borderId="0" xfId="0" applyNumberFormat="1" applyFont="1" applyFill="1"/>
    <xf numFmtId="1" fontId="96" fillId="0" borderId="0" xfId="0" applyNumberFormat="1" applyFont="1" applyFill="1" applyBorder="1" applyAlignment="1" applyProtection="1">
      <alignment horizontal="center" vertical="center"/>
      <protection locked="0"/>
    </xf>
    <xf numFmtId="0" fontId="96" fillId="0" borderId="0" xfId="0" applyFont="1" applyFill="1" applyAlignment="1"/>
    <xf numFmtId="0" fontId="97" fillId="0" borderId="0" xfId="0" applyFont="1" applyFill="1" applyBorder="1"/>
    <xf numFmtId="0" fontId="96" fillId="0" borderId="0" xfId="0" applyFont="1" applyFill="1" applyAlignment="1">
      <alignment vertical="center"/>
    </xf>
    <xf numFmtId="0" fontId="96" fillId="0" borderId="0" xfId="0" applyFont="1"/>
    <xf numFmtId="0" fontId="96" fillId="0" borderId="0" xfId="0" applyFont="1" applyFill="1" applyAlignment="1">
      <alignment horizontal="right"/>
    </xf>
    <xf numFmtId="49" fontId="95" fillId="0" borderId="0" xfId="0" applyNumberFormat="1" applyFont="1" applyFill="1" applyBorder="1" applyAlignment="1" applyProtection="1">
      <alignment vertical="center"/>
      <protection locked="0"/>
    </xf>
    <xf numFmtId="0" fontId="29" fillId="0" borderId="0" xfId="0" applyFont="1" applyFill="1" applyBorder="1" applyAlignment="1" applyProtection="1">
      <alignment vertical="center"/>
      <protection locked="0"/>
    </xf>
    <xf numFmtId="2" fontId="29" fillId="0" borderId="0" xfId="0" applyNumberFormat="1" applyFont="1" applyFill="1" applyAlignment="1"/>
    <xf numFmtId="0" fontId="29" fillId="0" borderId="0" xfId="0" applyFont="1" applyFill="1" applyAlignment="1"/>
    <xf numFmtId="0" fontId="96" fillId="0" borderId="0" xfId="0" applyFont="1" applyAlignment="1">
      <alignment horizontal="right"/>
    </xf>
    <xf numFmtId="0" fontId="95" fillId="0" borderId="0" xfId="0" applyFont="1" applyFill="1" applyAlignment="1">
      <alignment horizontal="center"/>
    </xf>
    <xf numFmtId="0" fontId="29" fillId="0" borderId="0" xfId="0" applyFont="1" applyFill="1" applyBorder="1" applyAlignment="1" applyProtection="1">
      <alignment horizontal="left"/>
      <protection locked="0"/>
    </xf>
    <xf numFmtId="1" fontId="95" fillId="0" borderId="0" xfId="0" applyNumberFormat="1" applyFont="1" applyFill="1" applyBorder="1" applyAlignment="1" applyProtection="1">
      <alignment vertical="top"/>
      <protection locked="0"/>
    </xf>
    <xf numFmtId="1" fontId="96" fillId="0" borderId="0" xfId="0" applyNumberFormat="1" applyFont="1" applyFill="1" applyBorder="1" applyAlignment="1" applyProtection="1">
      <alignment horizontal="left" vertical="top"/>
      <protection locked="0"/>
    </xf>
    <xf numFmtId="1" fontId="95" fillId="0" borderId="0" xfId="0" applyNumberFormat="1" applyFont="1" applyFill="1" applyBorder="1" applyAlignment="1" applyProtection="1">
      <alignment horizontal="left" vertical="top"/>
      <protection locked="0"/>
    </xf>
    <xf numFmtId="0" fontId="95" fillId="0" borderId="0" xfId="0" applyFont="1" applyFill="1" applyAlignment="1">
      <alignment horizontal="left"/>
    </xf>
    <xf numFmtId="0" fontId="97" fillId="0" borderId="0" xfId="0" applyFont="1" applyFill="1" applyBorder="1" applyAlignment="1">
      <alignment vertical="top"/>
    </xf>
    <xf numFmtId="0" fontId="97" fillId="0" borderId="0" xfId="0" applyFont="1" applyBorder="1" applyAlignment="1">
      <alignment vertical="top"/>
    </xf>
    <xf numFmtId="0" fontId="98" fillId="0" borderId="0" xfId="0" applyFont="1" applyFill="1" applyBorder="1" applyAlignment="1">
      <alignment horizontal="center" vertical="top"/>
    </xf>
    <xf numFmtId="0" fontId="98" fillId="0" borderId="0" xfId="0" applyFont="1" applyFill="1" applyBorder="1" applyAlignment="1">
      <alignment horizontal="left" vertical="top"/>
    </xf>
    <xf numFmtId="0" fontId="97" fillId="0" borderId="0" xfId="0" applyFont="1" applyFill="1"/>
    <xf numFmtId="0" fontId="29" fillId="0" borderId="0" xfId="0" applyFont="1" applyFill="1" applyBorder="1" applyAlignment="1" applyProtection="1">
      <protection locked="0"/>
    </xf>
    <xf numFmtId="0" fontId="116" fillId="0" borderId="0" xfId="0" applyFont="1" applyFill="1" applyBorder="1" applyAlignment="1" applyProtection="1">
      <protection locked="0"/>
    </xf>
    <xf numFmtId="0" fontId="116" fillId="0" borderId="0" xfId="0" applyFont="1"/>
    <xf numFmtId="4" fontId="29" fillId="0" borderId="0" xfId="0" applyNumberFormat="1" applyFont="1" applyFill="1"/>
    <xf numFmtId="0" fontId="29" fillId="0" borderId="0" xfId="0" applyFont="1"/>
    <xf numFmtId="0" fontId="95" fillId="0" borderId="0" xfId="0" applyFont="1" applyAlignment="1">
      <alignment horizontal="center"/>
    </xf>
    <xf numFmtId="165" fontId="136" fillId="0" borderId="2" xfId="0" applyNumberFormat="1" applyFont="1" applyFill="1" applyBorder="1" applyAlignment="1" applyProtection="1">
      <alignment horizontal="center" vertical="center"/>
      <protection locked="0"/>
    </xf>
    <xf numFmtId="165" fontId="93" fillId="4" borderId="26" xfId="0" applyNumberFormat="1" applyFont="1" applyFill="1" applyBorder="1" applyAlignment="1" applyProtection="1">
      <alignment horizontal="center" vertical="center"/>
      <protection locked="0"/>
    </xf>
    <xf numFmtId="169" fontId="147" fillId="0" borderId="40" xfId="0" applyNumberFormat="1" applyFont="1" applyFill="1" applyBorder="1" applyAlignment="1" applyProtection="1">
      <alignment horizontal="center" vertical="center"/>
      <protection locked="0"/>
    </xf>
    <xf numFmtId="3" fontId="119" fillId="4" borderId="7" xfId="0" applyNumberFormat="1" applyFont="1" applyFill="1" applyBorder="1" applyAlignment="1" applyProtection="1">
      <alignment horizontal="right" vertical="center"/>
      <protection locked="0"/>
    </xf>
    <xf numFmtId="0" fontId="54" fillId="0" borderId="3" xfId="0" applyFont="1" applyFill="1" applyBorder="1" applyAlignment="1">
      <alignment horizontal="center" vertical="center"/>
    </xf>
    <xf numFmtId="0" fontId="54" fillId="0" borderId="5" xfId="0" applyFont="1" applyFill="1" applyBorder="1" applyAlignment="1">
      <alignment horizontal="center" vertical="center"/>
    </xf>
    <xf numFmtId="0" fontId="119" fillId="0" borderId="7" xfId="0" applyFont="1" applyFill="1" applyBorder="1" applyAlignment="1">
      <alignment horizontal="center" vertical="center"/>
    </xf>
    <xf numFmtId="0" fontId="54" fillId="0" borderId="2" xfId="0" applyFont="1" applyFill="1" applyBorder="1" applyAlignment="1">
      <alignment horizontal="center" vertical="center"/>
    </xf>
    <xf numFmtId="0" fontId="54" fillId="0" borderId="0" xfId="0" applyFont="1" applyFill="1" applyBorder="1" applyAlignment="1">
      <alignment vertical="center"/>
    </xf>
    <xf numFmtId="0" fontId="54" fillId="0" borderId="24" xfId="0" applyFont="1" applyFill="1" applyBorder="1" applyAlignment="1">
      <alignment horizontal="left" vertical="center"/>
    </xf>
    <xf numFmtId="0" fontId="54" fillId="0" borderId="0" xfId="0" applyFont="1" applyFill="1" applyBorder="1" applyAlignment="1">
      <alignment horizontal="left" vertical="center"/>
    </xf>
    <xf numFmtId="0" fontId="148" fillId="0" borderId="0" xfId="0" applyFont="1" applyFill="1" applyBorder="1" applyAlignment="1">
      <alignment horizontal="left" vertical="center"/>
    </xf>
    <xf numFmtId="0" fontId="54" fillId="9" borderId="0" xfId="0" applyFont="1" applyFill="1" applyBorder="1" applyAlignment="1">
      <alignment horizontal="left" vertical="center"/>
    </xf>
    <xf numFmtId="0" fontId="54" fillId="0" borderId="7" xfId="0" applyFont="1" applyFill="1" applyBorder="1" applyAlignment="1">
      <alignment horizontal="center" vertical="center"/>
    </xf>
    <xf numFmtId="0" fontId="54" fillId="0" borderId="1" xfId="0" applyFont="1" applyFill="1" applyBorder="1" applyAlignment="1">
      <alignment horizontal="left" vertical="center"/>
    </xf>
    <xf numFmtId="0" fontId="54" fillId="0" borderId="4" xfId="0" applyFont="1" applyFill="1" applyBorder="1" applyAlignment="1">
      <alignment horizontal="center" vertical="center"/>
    </xf>
    <xf numFmtId="0" fontId="54" fillId="0" borderId="5" xfId="0" applyFont="1" applyFill="1" applyBorder="1" applyAlignment="1">
      <alignment vertical="center"/>
    </xf>
    <xf numFmtId="0" fontId="54" fillId="0" borderId="3" xfId="0" applyFont="1" applyFill="1" applyBorder="1" applyAlignment="1">
      <alignment vertical="center"/>
    </xf>
    <xf numFmtId="0" fontId="54" fillId="0" borderId="8" xfId="0" applyFont="1" applyFill="1" applyBorder="1" applyAlignment="1">
      <alignment horizontal="center" vertical="center"/>
    </xf>
    <xf numFmtId="0" fontId="54" fillId="0" borderId="8" xfId="0" applyFont="1" applyFill="1" applyBorder="1" applyAlignment="1">
      <alignment vertical="center"/>
    </xf>
    <xf numFmtId="0" fontId="119" fillId="0" borderId="2" xfId="0" applyFont="1" applyFill="1" applyBorder="1" applyAlignment="1">
      <alignment horizontal="center" vertical="center"/>
    </xf>
    <xf numFmtId="0" fontId="54" fillId="0" borderId="24" xfId="0" applyFont="1" applyFill="1" applyBorder="1" applyAlignment="1">
      <alignment vertical="center"/>
    </xf>
    <xf numFmtId="0" fontId="54" fillId="0" borderId="1" xfId="0" applyFont="1" applyFill="1" applyBorder="1" applyAlignment="1">
      <alignment vertical="center"/>
    </xf>
    <xf numFmtId="0" fontId="54" fillId="0" borderId="5" xfId="0" applyFont="1" applyFill="1" applyBorder="1" applyAlignment="1">
      <alignment horizontal="center" vertical="center" wrapText="1"/>
    </xf>
    <xf numFmtId="0" fontId="119" fillId="0" borderId="3" xfId="0" applyFont="1" applyFill="1" applyBorder="1" applyAlignment="1">
      <alignment horizontal="center" vertical="center" wrapText="1"/>
    </xf>
    <xf numFmtId="0" fontId="54" fillId="0" borderId="20" xfId="0" applyFont="1" applyFill="1" applyBorder="1" applyAlignment="1">
      <alignment horizontal="center" vertical="center"/>
    </xf>
    <xf numFmtId="0" fontId="54" fillId="0" borderId="5" xfId="0" applyFont="1" applyFill="1" applyBorder="1" applyAlignment="1">
      <alignment horizontal="left" vertical="center"/>
    </xf>
    <xf numFmtId="0" fontId="54" fillId="0" borderId="8" xfId="0" applyFont="1" applyFill="1" applyBorder="1" applyAlignment="1">
      <alignment horizontal="left" vertical="center"/>
    </xf>
    <xf numFmtId="0" fontId="119" fillId="0" borderId="6" xfId="0" applyFont="1" applyFill="1" applyBorder="1" applyAlignment="1">
      <alignment horizontal="center" vertical="center" wrapText="1"/>
    </xf>
    <xf numFmtId="49" fontId="119" fillId="0" borderId="8" xfId="0" applyNumberFormat="1" applyFont="1" applyFill="1" applyBorder="1" applyAlignment="1">
      <alignment horizontal="center" vertical="center"/>
    </xf>
    <xf numFmtId="49" fontId="54" fillId="0" borderId="20" xfId="0" applyNumberFormat="1" applyFont="1" applyFill="1" applyBorder="1" applyAlignment="1">
      <alignment horizontal="center" vertical="center"/>
    </xf>
    <xf numFmtId="0" fontId="54" fillId="0" borderId="3" xfId="0" applyFont="1" applyFill="1" applyBorder="1" applyAlignment="1">
      <alignment horizontal="center" vertical="center" wrapText="1"/>
    </xf>
    <xf numFmtId="0" fontId="54" fillId="0" borderId="20" xfId="0" applyFont="1" applyFill="1" applyBorder="1" applyAlignment="1">
      <alignment horizontal="center" vertical="center" wrapText="1"/>
    </xf>
    <xf numFmtId="0" fontId="54" fillId="0" borderId="3" xfId="0" applyFont="1" applyFill="1" applyBorder="1" applyAlignment="1">
      <alignment horizontal="left" vertical="center"/>
    </xf>
    <xf numFmtId="0" fontId="54" fillId="0" borderId="8" xfId="0" applyFont="1" applyFill="1" applyBorder="1" applyAlignment="1">
      <alignment horizontal="center" vertical="center" wrapText="1"/>
    </xf>
    <xf numFmtId="4" fontId="148" fillId="0" borderId="6" xfId="0" applyNumberFormat="1" applyFont="1" applyFill="1" applyBorder="1" applyAlignment="1">
      <alignment horizontal="center" vertical="center"/>
    </xf>
    <xf numFmtId="4" fontId="148" fillId="0" borderId="7" xfId="0" applyNumberFormat="1" applyFont="1" applyFill="1" applyBorder="1" applyAlignment="1">
      <alignment horizontal="center" vertical="center"/>
    </xf>
    <xf numFmtId="4" fontId="148" fillId="0" borderId="2" xfId="0" applyNumberFormat="1" applyFont="1" applyFill="1" applyBorder="1" applyAlignment="1">
      <alignment horizontal="center" vertical="center"/>
    </xf>
    <xf numFmtId="2" fontId="145" fillId="0" borderId="5" xfId="0" applyNumberFormat="1" applyFont="1" applyFill="1" applyBorder="1" applyAlignment="1">
      <alignment horizontal="center" vertical="center"/>
    </xf>
    <xf numFmtId="2" fontId="91" fillId="0" borderId="8" xfId="0" applyNumberFormat="1" applyFont="1" applyFill="1" applyBorder="1" applyAlignment="1">
      <alignment horizontal="center" vertical="center"/>
    </xf>
    <xf numFmtId="2" fontId="145" fillId="0" borderId="24" xfId="0" applyNumberFormat="1" applyFont="1" applyFill="1" applyBorder="1" applyAlignment="1">
      <alignment horizontal="center" vertical="center"/>
    </xf>
    <xf numFmtId="2" fontId="145" fillId="0" borderId="0" xfId="0" applyNumberFormat="1" applyFont="1" applyFill="1" applyBorder="1" applyAlignment="1">
      <alignment horizontal="center" vertical="center"/>
    </xf>
    <xf numFmtId="2" fontId="145" fillId="9" borderId="0" xfId="0" applyNumberFormat="1" applyFont="1" applyFill="1" applyBorder="1" applyAlignment="1">
      <alignment horizontal="center" vertical="center"/>
    </xf>
    <xf numFmtId="2" fontId="145" fillId="0" borderId="1" xfId="0" applyNumberFormat="1" applyFont="1" applyFill="1" applyBorder="1" applyAlignment="1">
      <alignment horizontal="center" vertical="center"/>
    </xf>
    <xf numFmtId="2" fontId="145" fillId="0" borderId="39" xfId="0" applyNumberFormat="1" applyFont="1" applyFill="1" applyBorder="1" applyAlignment="1">
      <alignment horizontal="center" vertical="center"/>
    </xf>
    <xf numFmtId="0" fontId="54" fillId="0" borderId="3" xfId="0" applyFont="1" applyFill="1" applyBorder="1" applyAlignment="1">
      <alignment horizontal="center"/>
    </xf>
    <xf numFmtId="0" fontId="54" fillId="0" borderId="6" xfId="0" applyFont="1" applyFill="1" applyBorder="1" applyAlignment="1">
      <alignment horizontal="center"/>
    </xf>
    <xf numFmtId="1" fontId="54" fillId="0" borderId="6" xfId="0" applyNumberFormat="1" applyFont="1" applyFill="1" applyBorder="1" applyAlignment="1">
      <alignment horizontal="center" vertical="center"/>
    </xf>
    <xf numFmtId="1" fontId="54" fillId="0" borderId="0" xfId="0" applyNumberFormat="1" applyFont="1" applyFill="1" applyBorder="1" applyAlignment="1">
      <alignment horizontal="center"/>
    </xf>
    <xf numFmtId="165" fontId="54" fillId="0" borderId="6" xfId="0" applyNumberFormat="1" applyFont="1" applyFill="1" applyBorder="1" applyAlignment="1">
      <alignment horizontal="center"/>
    </xf>
    <xf numFmtId="165" fontId="54" fillId="0" borderId="26" xfId="0" applyNumberFormat="1" applyFont="1" applyFill="1" applyBorder="1" applyAlignment="1">
      <alignment horizontal="center" vertical="center"/>
    </xf>
    <xf numFmtId="165" fontId="54" fillId="0" borderId="27" xfId="0" applyNumberFormat="1" applyFont="1" applyFill="1" applyBorder="1" applyAlignment="1">
      <alignment horizontal="center" vertical="center"/>
    </xf>
    <xf numFmtId="1" fontId="129" fillId="0" borderId="27" xfId="0" applyNumberFormat="1" applyFont="1" applyFill="1" applyBorder="1" applyAlignment="1">
      <alignment horizontal="center" vertical="center"/>
    </xf>
    <xf numFmtId="2" fontId="129" fillId="0" borderId="27" xfId="0" applyNumberFormat="1" applyFont="1" applyFill="1" applyBorder="1" applyAlignment="1">
      <alignment horizontal="center" vertical="center"/>
    </xf>
    <xf numFmtId="1" fontId="54" fillId="0" borderId="27" xfId="0" applyNumberFormat="1" applyFont="1" applyFill="1" applyBorder="1" applyAlignment="1">
      <alignment horizontal="center" vertical="center"/>
    </xf>
    <xf numFmtId="2" fontId="54" fillId="0" borderId="40" xfId="0" applyNumberFormat="1" applyFont="1" applyFill="1" applyBorder="1" applyAlignment="1">
      <alignment horizontal="center" vertical="center"/>
    </xf>
    <xf numFmtId="167" fontId="54" fillId="0" borderId="31" xfId="0" applyNumberFormat="1" applyFont="1" applyFill="1" applyBorder="1" applyAlignment="1">
      <alignment horizontal="center" vertical="center"/>
    </xf>
    <xf numFmtId="0" fontId="148" fillId="0" borderId="6" xfId="0" applyFont="1" applyFill="1" applyBorder="1" applyAlignment="1">
      <alignment horizontal="center" vertical="center"/>
    </xf>
    <xf numFmtId="1" fontId="54" fillId="0" borderId="0" xfId="0" applyNumberFormat="1" applyFont="1" applyFill="1" applyBorder="1" applyAlignment="1">
      <alignment horizontal="center" vertical="center"/>
    </xf>
    <xf numFmtId="165" fontId="49" fillId="15" borderId="27" xfId="0" applyNumberFormat="1" applyFont="1" applyFill="1" applyBorder="1" applyAlignment="1">
      <alignment horizontal="center" vertical="center"/>
    </xf>
    <xf numFmtId="0" fontId="54" fillId="0" borderId="5" xfId="0" applyFont="1" applyFill="1" applyBorder="1" applyAlignment="1">
      <alignment horizontal="center"/>
    </xf>
    <xf numFmtId="1" fontId="54" fillId="0" borderId="2" xfId="0" applyNumberFormat="1" applyFont="1" applyFill="1" applyBorder="1" applyAlignment="1">
      <alignment horizontal="center" vertical="center"/>
    </xf>
    <xf numFmtId="165" fontId="54" fillId="0" borderId="36" xfId="0" applyNumberFormat="1" applyFont="1" applyFill="1" applyBorder="1" applyAlignment="1">
      <alignment horizontal="center" vertical="center"/>
    </xf>
    <xf numFmtId="165" fontId="54" fillId="0" borderId="25" xfId="0" applyNumberFormat="1" applyFont="1" applyFill="1" applyBorder="1" applyAlignment="1">
      <alignment horizontal="center" vertical="center"/>
    </xf>
    <xf numFmtId="1" fontId="129" fillId="0" borderId="25" xfId="0" applyNumberFormat="1" applyFont="1" applyFill="1" applyBorder="1" applyAlignment="1">
      <alignment horizontal="center" vertical="center"/>
    </xf>
    <xf numFmtId="2" fontId="129" fillId="0" borderId="25" xfId="0" applyNumberFormat="1" applyFont="1" applyFill="1" applyBorder="1" applyAlignment="1">
      <alignment horizontal="center" vertical="center"/>
    </xf>
    <xf numFmtId="1" fontId="54" fillId="0" borderId="25" xfId="0" applyNumberFormat="1" applyFont="1" applyFill="1" applyBorder="1" applyAlignment="1">
      <alignment horizontal="center" vertical="center"/>
    </xf>
    <xf numFmtId="2" fontId="54" fillId="0" borderId="37" xfId="0" applyNumberFormat="1" applyFont="1" applyFill="1" applyBorder="1" applyAlignment="1">
      <alignment horizontal="center" vertical="center"/>
    </xf>
    <xf numFmtId="167" fontId="54" fillId="0" borderId="30" xfId="0" applyNumberFormat="1" applyFont="1" applyFill="1" applyBorder="1" applyAlignment="1">
      <alignment horizontal="center" vertical="center"/>
    </xf>
    <xf numFmtId="0" fontId="54" fillId="0" borderId="8" xfId="0" applyFont="1" applyFill="1" applyBorder="1" applyAlignment="1">
      <alignment horizontal="center"/>
    </xf>
    <xf numFmtId="1" fontId="54" fillId="0" borderId="1" xfId="0" applyNumberFormat="1" applyFont="1" applyFill="1" applyBorder="1" applyAlignment="1">
      <alignment horizontal="center" vertical="center"/>
    </xf>
    <xf numFmtId="165" fontId="54" fillId="0" borderId="7" xfId="0" applyNumberFormat="1" applyFont="1" applyFill="1" applyBorder="1" applyAlignment="1">
      <alignment horizontal="center"/>
    </xf>
    <xf numFmtId="165" fontId="54" fillId="0" borderId="43" xfId="0" applyNumberFormat="1" applyFont="1" applyFill="1" applyBorder="1" applyAlignment="1">
      <alignment horizontal="center" vertical="center"/>
    </xf>
    <xf numFmtId="165" fontId="54" fillId="0" borderId="35" xfId="0" applyNumberFormat="1" applyFont="1" applyFill="1" applyBorder="1" applyAlignment="1">
      <alignment horizontal="center" vertical="center"/>
    </xf>
    <xf numFmtId="1" fontId="129" fillId="0" borderId="35" xfId="0" applyNumberFormat="1" applyFont="1" applyFill="1" applyBorder="1" applyAlignment="1">
      <alignment horizontal="center" vertical="center"/>
    </xf>
    <xf numFmtId="2" fontId="129" fillId="0" borderId="35" xfId="0" applyNumberFormat="1" applyFont="1" applyFill="1" applyBorder="1" applyAlignment="1">
      <alignment horizontal="center" vertical="center"/>
    </xf>
    <xf numFmtId="1" fontId="54" fillId="0" borderId="35" xfId="0" applyNumberFormat="1" applyFont="1" applyFill="1" applyBorder="1" applyAlignment="1">
      <alignment horizontal="center" vertical="center"/>
    </xf>
    <xf numFmtId="2" fontId="54" fillId="0" borderId="61" xfId="0" applyNumberFormat="1" applyFont="1" applyFill="1" applyBorder="1" applyAlignment="1">
      <alignment horizontal="center" vertical="center"/>
    </xf>
    <xf numFmtId="167" fontId="54" fillId="0" borderId="62" xfId="0" applyNumberFormat="1" applyFont="1" applyFill="1" applyBorder="1" applyAlignment="1">
      <alignment horizontal="center" vertical="center"/>
    </xf>
    <xf numFmtId="0" fontId="54" fillId="0" borderId="24" xfId="0" applyFont="1" applyFill="1" applyBorder="1" applyAlignment="1">
      <alignment horizontal="center" vertical="center"/>
    </xf>
    <xf numFmtId="3" fontId="54" fillId="0" borderId="2" xfId="0" applyNumberFormat="1" applyFont="1" applyFill="1" applyBorder="1" applyAlignment="1">
      <alignment horizontal="center" vertical="center"/>
    </xf>
    <xf numFmtId="1" fontId="54" fillId="0" borderId="24" xfId="0" applyNumberFormat="1" applyFont="1" applyFill="1" applyBorder="1" applyAlignment="1">
      <alignment horizontal="center" vertical="center"/>
    </xf>
    <xf numFmtId="0" fontId="54" fillId="0" borderId="0" xfId="0" applyFont="1" applyFill="1" applyBorder="1" applyAlignment="1">
      <alignment horizontal="center" vertical="center"/>
    </xf>
    <xf numFmtId="165" fontId="54" fillId="0" borderId="0" xfId="0" applyNumberFormat="1" applyFont="1" applyFill="1" applyBorder="1" applyAlignment="1">
      <alignment horizontal="center" vertical="center"/>
    </xf>
    <xf numFmtId="3" fontId="54" fillId="0" borderId="6" xfId="0" applyNumberFormat="1" applyFont="1" applyFill="1" applyBorder="1" applyAlignment="1">
      <alignment horizontal="center" vertical="center"/>
    </xf>
    <xf numFmtId="0" fontId="54" fillId="0" borderId="27" xfId="0" applyFont="1" applyFill="1" applyBorder="1" applyAlignment="1">
      <alignment horizontal="center" vertical="center"/>
    </xf>
    <xf numFmtId="165" fontId="54" fillId="0" borderId="2" xfId="0" applyNumberFormat="1" applyFont="1" applyFill="1" applyBorder="1" applyAlignment="1">
      <alignment horizontal="center" vertical="center"/>
    </xf>
    <xf numFmtId="165" fontId="54" fillId="0" borderId="6" xfId="0" applyNumberFormat="1" applyFont="1" applyFill="1" applyBorder="1" applyAlignment="1">
      <alignment horizontal="center" vertical="center"/>
    </xf>
    <xf numFmtId="0" fontId="148" fillId="0" borderId="0" xfId="0" applyFont="1" applyFill="1" applyBorder="1" applyAlignment="1">
      <alignment horizontal="center" vertical="center"/>
    </xf>
    <xf numFmtId="1" fontId="148" fillId="0" borderId="27" xfId="0" applyNumberFormat="1" applyFont="1" applyFill="1" applyBorder="1" applyAlignment="1">
      <alignment horizontal="center" vertical="center"/>
    </xf>
    <xf numFmtId="2" fontId="148" fillId="0" borderId="40" xfId="0" applyNumberFormat="1" applyFont="1" applyFill="1" applyBorder="1" applyAlignment="1">
      <alignment horizontal="center" vertical="center"/>
    </xf>
    <xf numFmtId="167" fontId="148" fillId="0" borderId="31" xfId="0" applyNumberFormat="1" applyFont="1" applyFill="1" applyBorder="1" applyAlignment="1">
      <alignment horizontal="center" vertical="center"/>
    </xf>
    <xf numFmtId="0" fontId="54" fillId="9" borderId="0" xfId="0" applyFont="1" applyFill="1" applyBorder="1" applyAlignment="1">
      <alignment horizontal="center" vertical="center"/>
    </xf>
    <xf numFmtId="3" fontId="54" fillId="9" borderId="6" xfId="0" applyNumberFormat="1" applyFont="1" applyFill="1" applyBorder="1" applyAlignment="1">
      <alignment horizontal="center" vertical="center"/>
    </xf>
    <xf numFmtId="1" fontId="54" fillId="9" borderId="6" xfId="0" applyNumberFormat="1" applyFont="1" applyFill="1" applyBorder="1" applyAlignment="1">
      <alignment horizontal="center" vertical="center"/>
    </xf>
    <xf numFmtId="1" fontId="54" fillId="9" borderId="0" xfId="0" applyNumberFormat="1" applyFont="1" applyFill="1" applyBorder="1" applyAlignment="1">
      <alignment horizontal="center" vertical="center"/>
    </xf>
    <xf numFmtId="165" fontId="54" fillId="9" borderId="6" xfId="0" applyNumberFormat="1" applyFont="1" applyFill="1" applyBorder="1" applyAlignment="1">
      <alignment horizontal="center" vertical="center"/>
    </xf>
    <xf numFmtId="165" fontId="54" fillId="9" borderId="26" xfId="0" applyNumberFormat="1" applyFont="1" applyFill="1" applyBorder="1" applyAlignment="1">
      <alignment horizontal="center" vertical="center"/>
    </xf>
    <xf numFmtId="165" fontId="54" fillId="9" borderId="27" xfId="0" applyNumberFormat="1" applyFont="1" applyFill="1" applyBorder="1" applyAlignment="1">
      <alignment horizontal="center" vertical="center"/>
    </xf>
    <xf numFmtId="0" fontId="54" fillId="9" borderId="27" xfId="0" applyFont="1" applyFill="1" applyBorder="1" applyAlignment="1">
      <alignment horizontal="center" vertical="center"/>
    </xf>
    <xf numFmtId="1" fontId="54" fillId="9" borderId="27" xfId="0" applyNumberFormat="1" applyFont="1" applyFill="1" applyBorder="1" applyAlignment="1">
      <alignment horizontal="center" vertical="center"/>
    </xf>
    <xf numFmtId="2" fontId="54" fillId="9" borderId="40" xfId="0" applyNumberFormat="1" applyFont="1" applyFill="1" applyBorder="1" applyAlignment="1">
      <alignment horizontal="center" vertical="center"/>
    </xf>
    <xf numFmtId="167" fontId="54" fillId="9" borderId="31" xfId="0" applyNumberFormat="1" applyFont="1" applyFill="1" applyBorder="1" applyAlignment="1">
      <alignment horizontal="center" vertical="center"/>
    </xf>
    <xf numFmtId="0" fontId="54" fillId="0" borderId="1" xfId="0" applyFont="1" applyFill="1" applyBorder="1" applyAlignment="1">
      <alignment horizontal="center" vertical="center"/>
    </xf>
    <xf numFmtId="3" fontId="54" fillId="0" borderId="7" xfId="0" applyNumberFormat="1" applyFont="1" applyFill="1" applyBorder="1" applyAlignment="1">
      <alignment horizontal="center" vertical="center"/>
    </xf>
    <xf numFmtId="165" fontId="54" fillId="0" borderId="7" xfId="0" applyNumberFormat="1" applyFont="1" applyFill="1" applyBorder="1" applyAlignment="1">
      <alignment horizontal="center" vertical="center"/>
    </xf>
    <xf numFmtId="0" fontId="54" fillId="0" borderId="35" xfId="0" applyFont="1" applyFill="1" applyBorder="1" applyAlignment="1">
      <alignment horizontal="center" vertical="center"/>
    </xf>
    <xf numFmtId="3" fontId="54" fillId="0" borderId="4" xfId="0" applyNumberFormat="1" applyFont="1" applyFill="1" applyBorder="1" applyAlignment="1">
      <alignment horizontal="center" vertical="center"/>
    </xf>
    <xf numFmtId="1" fontId="54" fillId="0" borderId="4" xfId="0" applyNumberFormat="1" applyFont="1" applyFill="1" applyBorder="1" applyAlignment="1">
      <alignment horizontal="center" vertical="center"/>
    </xf>
    <xf numFmtId="165" fontId="54" fillId="0" borderId="39" xfId="0" applyNumberFormat="1" applyFont="1" applyFill="1" applyBorder="1" applyAlignment="1">
      <alignment horizontal="center" vertical="center"/>
    </xf>
    <xf numFmtId="165" fontId="54" fillId="0" borderId="34" xfId="0" applyNumberFormat="1" applyFont="1" applyFill="1" applyBorder="1" applyAlignment="1">
      <alignment horizontal="center" vertical="center"/>
    </xf>
    <xf numFmtId="165" fontId="54" fillId="0" borderId="33" xfId="0" applyNumberFormat="1" applyFont="1" applyFill="1" applyBorder="1" applyAlignment="1">
      <alignment horizontal="center" vertical="center"/>
    </xf>
    <xf numFmtId="0" fontId="54" fillId="0" borderId="33" xfId="0" applyFont="1" applyFill="1" applyBorder="1" applyAlignment="1">
      <alignment horizontal="center" vertical="center"/>
    </xf>
    <xf numFmtId="1" fontId="54" fillId="0" borderId="33" xfId="0" applyNumberFormat="1" applyFont="1" applyFill="1" applyBorder="1" applyAlignment="1">
      <alignment horizontal="center" vertical="center"/>
    </xf>
    <xf numFmtId="2" fontId="54" fillId="0" borderId="18" xfId="0" applyNumberFormat="1" applyFont="1" applyFill="1" applyBorder="1" applyAlignment="1">
      <alignment horizontal="center" vertical="center"/>
    </xf>
    <xf numFmtId="167" fontId="54" fillId="0" borderId="19" xfId="0" applyNumberFormat="1" applyFont="1" applyFill="1" applyBorder="1" applyAlignment="1">
      <alignment horizontal="center" vertical="center"/>
    </xf>
    <xf numFmtId="0" fontId="54" fillId="0" borderId="62" xfId="0" applyFont="1" applyFill="1" applyBorder="1" applyAlignment="1">
      <alignment horizontal="center" vertical="center"/>
    </xf>
    <xf numFmtId="165" fontId="54" fillId="0" borderId="1" xfId="0" applyNumberFormat="1" applyFont="1" applyFill="1" applyBorder="1" applyAlignment="1">
      <alignment horizontal="center" vertical="center"/>
    </xf>
    <xf numFmtId="0" fontId="54" fillId="0" borderId="31" xfId="0" applyFont="1" applyFill="1" applyBorder="1" applyAlignment="1">
      <alignment horizontal="center" vertical="center"/>
    </xf>
    <xf numFmtId="0" fontId="54" fillId="0" borderId="25" xfId="0" applyFont="1" applyFill="1" applyBorder="1" applyAlignment="1">
      <alignment horizontal="center" vertical="center"/>
    </xf>
    <xf numFmtId="167" fontId="54" fillId="0" borderId="2" xfId="0" applyNumberFormat="1" applyFont="1" applyFill="1" applyBorder="1" applyAlignment="1">
      <alignment horizontal="center" vertical="center"/>
    </xf>
    <xf numFmtId="3" fontId="148" fillId="0" borderId="6" xfId="0" applyNumberFormat="1" applyFont="1" applyFill="1" applyBorder="1" applyAlignment="1">
      <alignment horizontal="center" vertical="center"/>
    </xf>
    <xf numFmtId="0" fontId="54" fillId="0" borderId="30" xfId="0" applyFont="1" applyFill="1" applyBorder="1" applyAlignment="1">
      <alignment horizontal="center" vertical="center"/>
    </xf>
    <xf numFmtId="3" fontId="148" fillId="0" borderId="2" xfId="0" applyNumberFormat="1" applyFont="1" applyFill="1" applyBorder="1" applyAlignment="1">
      <alignment horizontal="center" vertical="center"/>
    </xf>
    <xf numFmtId="167" fontId="54" fillId="0" borderId="7" xfId="0" applyNumberFormat="1" applyFont="1" applyFill="1" applyBorder="1" applyAlignment="1">
      <alignment horizontal="center" vertical="center"/>
    </xf>
    <xf numFmtId="165" fontId="54" fillId="0" borderId="26" xfId="2" applyNumberFormat="1" applyFont="1" applyFill="1" applyBorder="1" applyAlignment="1">
      <alignment horizontal="center" vertical="center"/>
    </xf>
    <xf numFmtId="0" fontId="54" fillId="0" borderId="27" xfId="2" applyFont="1" applyFill="1" applyBorder="1" applyAlignment="1">
      <alignment horizontal="center" vertical="center"/>
    </xf>
    <xf numFmtId="1" fontId="54" fillId="0" borderId="27" xfId="2" applyNumberFormat="1" applyFont="1" applyFill="1" applyBorder="1" applyAlignment="1">
      <alignment horizontal="center" vertical="center"/>
    </xf>
    <xf numFmtId="0" fontId="54" fillId="0" borderId="16" xfId="0" applyFont="1" applyFill="1" applyBorder="1" applyAlignment="1">
      <alignment horizontal="center" vertical="center"/>
    </xf>
    <xf numFmtId="3" fontId="148" fillId="0" borderId="23" xfId="0" applyNumberFormat="1" applyFont="1" applyFill="1" applyBorder="1" applyAlignment="1">
      <alignment horizontal="center" vertical="center"/>
    </xf>
    <xf numFmtId="165" fontId="54" fillId="0" borderId="63" xfId="0" applyNumberFormat="1" applyFont="1" applyFill="1" applyBorder="1" applyAlignment="1">
      <alignment horizontal="center" vertical="center"/>
    </xf>
    <xf numFmtId="165" fontId="54" fillId="0" borderId="9" xfId="0" applyNumberFormat="1" applyFont="1" applyFill="1" applyBorder="1" applyAlignment="1">
      <alignment horizontal="center" vertical="center"/>
    </xf>
    <xf numFmtId="0" fontId="54" fillId="0" borderId="9" xfId="0" applyFont="1" applyFill="1" applyBorder="1" applyAlignment="1">
      <alignment horizontal="center" vertical="center"/>
    </xf>
    <xf numFmtId="1" fontId="54" fillId="0" borderId="9" xfId="0" applyNumberFormat="1" applyFont="1" applyFill="1" applyBorder="1" applyAlignment="1">
      <alignment horizontal="center" vertical="center"/>
    </xf>
    <xf numFmtId="2" fontId="54" fillId="0" borderId="69" xfId="0" applyNumberFormat="1" applyFont="1" applyFill="1" applyBorder="1" applyAlignment="1">
      <alignment horizontal="center" vertical="center"/>
    </xf>
    <xf numFmtId="165" fontId="49" fillId="15" borderId="25" xfId="0" applyNumberFormat="1" applyFont="1" applyFill="1" applyBorder="1" applyAlignment="1">
      <alignment horizontal="center" vertical="center"/>
    </xf>
    <xf numFmtId="165" fontId="49" fillId="0" borderId="27" xfId="0" applyNumberFormat="1" applyFont="1" applyFill="1" applyBorder="1" applyAlignment="1">
      <alignment horizontal="center" vertical="center"/>
    </xf>
    <xf numFmtId="1" fontId="54" fillId="0" borderId="3" xfId="0" applyNumberFormat="1" applyFont="1" applyFill="1" applyBorder="1" applyAlignment="1">
      <alignment horizontal="center" vertical="center"/>
    </xf>
    <xf numFmtId="3" fontId="49" fillId="0" borderId="7" xfId="0" applyNumberFormat="1" applyFont="1" applyFill="1" applyBorder="1" applyAlignment="1">
      <alignment horizontal="center" vertical="center"/>
    </xf>
    <xf numFmtId="1" fontId="54" fillId="0" borderId="8" xfId="0" applyNumberFormat="1" applyFont="1" applyFill="1" applyBorder="1" applyAlignment="1">
      <alignment horizontal="center" vertical="center"/>
    </xf>
    <xf numFmtId="3" fontId="49" fillId="0" borderId="22" xfId="0" applyNumberFormat="1" applyFont="1" applyFill="1" applyBorder="1" applyAlignment="1">
      <alignment horizontal="center" vertical="center"/>
    </xf>
    <xf numFmtId="3" fontId="49" fillId="0" borderId="23" xfId="0" applyNumberFormat="1" applyFont="1" applyFill="1" applyBorder="1" applyAlignment="1">
      <alignment horizontal="center" vertical="center"/>
    </xf>
    <xf numFmtId="167" fontId="54" fillId="0" borderId="15" xfId="0" applyNumberFormat="1" applyFont="1" applyFill="1" applyBorder="1" applyAlignment="1">
      <alignment horizontal="center" vertical="center"/>
    </xf>
    <xf numFmtId="3" fontId="49" fillId="0" borderId="6" xfId="0" applyNumberFormat="1" applyFont="1" applyFill="1" applyBorder="1" applyAlignment="1">
      <alignment horizontal="center" vertical="center"/>
    </xf>
    <xf numFmtId="3" fontId="49" fillId="0" borderId="2" xfId="0" applyNumberFormat="1" applyFont="1" applyFill="1" applyBorder="1" applyAlignment="1">
      <alignment horizontal="center" vertical="center"/>
    </xf>
    <xf numFmtId="0" fontId="148" fillId="0" borderId="35" xfId="0" applyFont="1" applyFill="1" applyBorder="1" applyAlignment="1">
      <alignment horizontal="center" vertical="center"/>
    </xf>
    <xf numFmtId="0" fontId="148" fillId="0" borderId="27" xfId="0" applyFont="1" applyFill="1" applyBorder="1" applyAlignment="1">
      <alignment horizontal="center" vertical="center"/>
    </xf>
    <xf numFmtId="0" fontId="148" fillId="0" borderId="25" xfId="0" applyFont="1" applyFill="1" applyBorder="1" applyAlignment="1">
      <alignment horizontal="center" vertical="center"/>
    </xf>
    <xf numFmtId="1" fontId="49" fillId="15" borderId="2" xfId="0" applyNumberFormat="1" applyFont="1" applyFill="1" applyBorder="1" applyAlignment="1">
      <alignment horizontal="center" vertical="center"/>
    </xf>
    <xf numFmtId="165" fontId="49" fillId="15" borderId="36" xfId="0" applyNumberFormat="1" applyFont="1" applyFill="1" applyBorder="1" applyAlignment="1">
      <alignment horizontal="center" vertical="center"/>
    </xf>
    <xf numFmtId="1" fontId="49" fillId="15" borderId="25" xfId="0" applyNumberFormat="1" applyFont="1" applyFill="1" applyBorder="1" applyAlignment="1">
      <alignment horizontal="center" vertical="center"/>
    </xf>
    <xf numFmtId="2" fontId="49" fillId="15" borderId="37" xfId="0" applyNumberFormat="1" applyFont="1" applyFill="1" applyBorder="1" applyAlignment="1">
      <alignment horizontal="center" vertical="center"/>
    </xf>
    <xf numFmtId="167" fontId="49" fillId="15" borderId="30" xfId="0" applyNumberFormat="1" applyFont="1" applyFill="1" applyBorder="1" applyAlignment="1">
      <alignment horizontal="center" vertical="center"/>
    </xf>
    <xf numFmtId="165" fontId="49" fillId="15" borderId="26" xfId="0" applyNumberFormat="1" applyFont="1" applyFill="1" applyBorder="1" applyAlignment="1">
      <alignment horizontal="center" vertical="center"/>
    </xf>
    <xf numFmtId="1" fontId="134" fillId="15" borderId="27" xfId="0" applyNumberFormat="1" applyFont="1" applyFill="1" applyBorder="1" applyAlignment="1">
      <alignment horizontal="center" vertical="center"/>
    </xf>
    <xf numFmtId="2" fontId="134" fillId="15" borderId="27" xfId="0" applyNumberFormat="1" applyFont="1" applyFill="1" applyBorder="1" applyAlignment="1">
      <alignment horizontal="center" vertical="center"/>
    </xf>
    <xf numFmtId="1" fontId="49" fillId="15" borderId="27" xfId="0" applyNumberFormat="1" applyFont="1" applyFill="1" applyBorder="1" applyAlignment="1">
      <alignment horizontal="center" vertical="center"/>
    </xf>
    <xf numFmtId="2" fontId="49" fillId="15" borderId="40" xfId="0" applyNumberFormat="1" applyFont="1" applyFill="1" applyBorder="1" applyAlignment="1">
      <alignment horizontal="center" vertical="center"/>
    </xf>
    <xf numFmtId="167" fontId="49" fillId="15" borderId="31" xfId="0" applyNumberFormat="1" applyFont="1" applyFill="1" applyBorder="1" applyAlignment="1">
      <alignment horizontal="center" vertical="center"/>
    </xf>
    <xf numFmtId="1" fontId="49" fillId="0" borderId="24" xfId="0" applyNumberFormat="1" applyFont="1" applyFill="1" applyBorder="1" applyAlignment="1">
      <alignment horizontal="center" vertical="center"/>
    </xf>
    <xf numFmtId="1" fontId="49" fillId="0" borderId="2" xfId="0" applyNumberFormat="1" applyFont="1" applyFill="1" applyBorder="1" applyAlignment="1">
      <alignment horizontal="center" vertical="center"/>
    </xf>
    <xf numFmtId="0" fontId="49" fillId="15" borderId="0" xfId="0" applyFont="1" applyFill="1" applyBorder="1" applyAlignment="1">
      <alignment vertical="center"/>
    </xf>
    <xf numFmtId="0" fontId="49" fillId="15" borderId="6" xfId="0" applyFont="1" applyFill="1" applyBorder="1" applyAlignment="1">
      <alignment horizontal="center" vertical="center"/>
    </xf>
    <xf numFmtId="0" fontId="49" fillId="15" borderId="0" xfId="0" applyFont="1" applyFill="1" applyBorder="1" applyAlignment="1">
      <alignment horizontal="center" vertical="center"/>
    </xf>
    <xf numFmtId="3" fontId="49" fillId="15" borderId="6" xfId="0" applyNumberFormat="1" applyFont="1" applyFill="1" applyBorder="1" applyAlignment="1">
      <alignment horizontal="center" vertical="center"/>
    </xf>
    <xf numFmtId="1" fontId="49" fillId="15" borderId="0" xfId="0" applyNumberFormat="1" applyFont="1" applyFill="1" applyBorder="1" applyAlignment="1">
      <alignment horizontal="center" vertical="center"/>
    </xf>
    <xf numFmtId="1" fontId="49" fillId="15" borderId="6" xfId="0" applyNumberFormat="1" applyFont="1" applyFill="1" applyBorder="1" applyAlignment="1">
      <alignment horizontal="center" vertical="center"/>
    </xf>
    <xf numFmtId="0" fontId="82" fillId="15" borderId="0" xfId="0" applyFont="1" applyFill="1" applyBorder="1" applyAlignment="1">
      <alignment horizontal="center" vertical="center"/>
    </xf>
    <xf numFmtId="3" fontId="49" fillId="15" borderId="2" xfId="0" applyNumberFormat="1" applyFont="1" applyFill="1" applyBorder="1" applyAlignment="1">
      <alignment horizontal="center" vertical="center"/>
    </xf>
    <xf numFmtId="0" fontId="119" fillId="0" borderId="0" xfId="0" applyFont="1"/>
    <xf numFmtId="0" fontId="100" fillId="0" borderId="0" xfId="0" applyFont="1"/>
    <xf numFmtId="0" fontId="119" fillId="0" borderId="0" xfId="0" applyFont="1" applyAlignment="1">
      <alignment horizontal="left"/>
    </xf>
    <xf numFmtId="0" fontId="119" fillId="0" borderId="0" xfId="0" applyFont="1" applyAlignment="1"/>
    <xf numFmtId="0" fontId="100" fillId="0" borderId="0" xfId="0" applyFont="1" applyBorder="1" applyAlignment="1">
      <alignment horizontal="center" vertical="center"/>
    </xf>
    <xf numFmtId="49" fontId="100" fillId="0" borderId="17" xfId="0" applyNumberFormat="1" applyFont="1" applyBorder="1" applyAlignment="1">
      <alignment horizontal="center"/>
    </xf>
    <xf numFmtId="49" fontId="100" fillId="0" borderId="4" xfId="0" applyNumberFormat="1" applyFont="1" applyBorder="1" applyAlignment="1">
      <alignment horizontal="center"/>
    </xf>
    <xf numFmtId="49" fontId="100" fillId="0" borderId="19" xfId="0" applyNumberFormat="1" applyFont="1" applyBorder="1" applyAlignment="1">
      <alignment horizontal="center"/>
    </xf>
    <xf numFmtId="0" fontId="100" fillId="0" borderId="0" xfId="0" applyFont="1" applyAlignment="1"/>
    <xf numFmtId="165" fontId="100" fillId="0" borderId="8" xfId="0" applyNumberFormat="1" applyFont="1" applyBorder="1" applyAlignment="1">
      <alignment horizontal="center"/>
    </xf>
    <xf numFmtId="165" fontId="100" fillId="0" borderId="7" xfId="0" applyNumberFormat="1" applyFont="1" applyBorder="1" applyAlignment="1">
      <alignment horizontal="center"/>
    </xf>
    <xf numFmtId="165" fontId="100" fillId="0" borderId="62" xfId="0" applyNumberFormat="1" applyFont="1" applyBorder="1" applyAlignment="1">
      <alignment horizontal="center"/>
    </xf>
    <xf numFmtId="165" fontId="100" fillId="0" borderId="0" xfId="0" applyNumberFormat="1" applyFont="1"/>
    <xf numFmtId="0" fontId="145" fillId="0" borderId="0" xfId="0" applyFont="1"/>
    <xf numFmtId="0" fontId="145" fillId="0" borderId="0" xfId="0" applyFont="1" applyAlignment="1"/>
    <xf numFmtId="0" fontId="145" fillId="0" borderId="0" xfId="0" applyFont="1" applyAlignment="1">
      <alignment wrapText="1"/>
    </xf>
    <xf numFmtId="165" fontId="145" fillId="0" borderId="0" xfId="0" applyNumberFormat="1" applyFont="1" applyAlignment="1">
      <alignment horizontal="center"/>
    </xf>
    <xf numFmtId="0" fontId="145" fillId="0" borderId="0" xfId="0" applyFont="1" applyAlignment="1">
      <alignment horizontal="center"/>
    </xf>
    <xf numFmtId="165" fontId="145" fillId="0" borderId="0" xfId="0" applyNumberFormat="1" applyFont="1"/>
    <xf numFmtId="1" fontId="100" fillId="0" borderId="2" xfId="0" applyNumberFormat="1" applyFont="1" applyFill="1" applyBorder="1" applyAlignment="1">
      <alignment horizontal="center"/>
    </xf>
    <xf numFmtId="1" fontId="100" fillId="0" borderId="5" xfId="0" applyNumberFormat="1" applyFont="1" applyFill="1" applyBorder="1" applyAlignment="1">
      <alignment horizontal="center"/>
    </xf>
    <xf numFmtId="165" fontId="100" fillId="0" borderId="8" xfId="0" applyNumberFormat="1" applyFont="1" applyFill="1" applyBorder="1" applyAlignment="1">
      <alignment horizontal="center" vertical="center"/>
    </xf>
    <xf numFmtId="165" fontId="100" fillId="0" borderId="7" xfId="0" applyNumberFormat="1" applyFont="1" applyFill="1" applyBorder="1" applyAlignment="1">
      <alignment horizontal="center" vertical="center"/>
    </xf>
    <xf numFmtId="1" fontId="100" fillId="0" borderId="7" xfId="0" applyNumberFormat="1" applyFont="1" applyFill="1" applyBorder="1" applyAlignment="1">
      <alignment horizontal="center" vertical="center"/>
    </xf>
    <xf numFmtId="1" fontId="91" fillId="0" borderId="4" xfId="0" applyNumberFormat="1" applyFont="1" applyFill="1" applyBorder="1" applyAlignment="1">
      <alignment horizontal="center" vertical="center"/>
    </xf>
    <xf numFmtId="165" fontId="91" fillId="0" borderId="4" xfId="0" applyNumberFormat="1" applyFont="1" applyFill="1" applyBorder="1" applyAlignment="1">
      <alignment horizontal="center" vertical="center"/>
    </xf>
    <xf numFmtId="0" fontId="91" fillId="0" borderId="4" xfId="0" applyFont="1" applyFill="1" applyBorder="1" applyAlignment="1">
      <alignment horizontal="center" vertical="center"/>
    </xf>
    <xf numFmtId="165" fontId="91" fillId="0" borderId="17" xfId="0" applyNumberFormat="1" applyFont="1" applyFill="1" applyBorder="1" applyAlignment="1">
      <alignment horizontal="center" vertical="center"/>
    </xf>
    <xf numFmtId="173" fontId="100" fillId="0" borderId="0" xfId="0" applyNumberFormat="1" applyFont="1" applyBorder="1" applyAlignment="1">
      <alignment horizontal="center" vertical="center"/>
    </xf>
    <xf numFmtId="1" fontId="94" fillId="4" borderId="70" xfId="0" applyNumberFormat="1" applyFont="1" applyFill="1" applyBorder="1" applyAlignment="1">
      <alignment horizontal="center" vertical="center"/>
    </xf>
    <xf numFmtId="1" fontId="94" fillId="4" borderId="7" xfId="0" applyNumberFormat="1" applyFont="1" applyFill="1" applyBorder="1" applyAlignment="1">
      <alignment horizontal="center" vertical="center"/>
    </xf>
    <xf numFmtId="4" fontId="54" fillId="0" borderId="6" xfId="0" applyNumberFormat="1" applyFont="1" applyFill="1" applyBorder="1" applyAlignment="1">
      <alignment horizontal="center" vertical="center"/>
    </xf>
    <xf numFmtId="2" fontId="147" fillId="0" borderId="0" xfId="0" applyNumberFormat="1" applyFont="1" applyFill="1" applyBorder="1" applyAlignment="1">
      <alignment horizontal="center" vertical="center"/>
    </xf>
    <xf numFmtId="0" fontId="60" fillId="0" borderId="2" xfId="0" applyFont="1" applyFill="1" applyBorder="1" applyAlignment="1">
      <alignment horizontal="center"/>
    </xf>
    <xf numFmtId="0" fontId="60" fillId="0" borderId="60" xfId="0" applyFont="1" applyFill="1" applyBorder="1" applyAlignment="1">
      <alignment horizontal="center"/>
    </xf>
    <xf numFmtId="0" fontId="60" fillId="0" borderId="48" xfId="0" applyFont="1" applyFill="1" applyBorder="1" applyAlignment="1">
      <alignment horizontal="center"/>
    </xf>
    <xf numFmtId="0" fontId="60" fillId="0" borderId="12" xfId="0" applyFont="1" applyFill="1" applyBorder="1" applyAlignment="1">
      <alignment horizontal="center"/>
    </xf>
    <xf numFmtId="0" fontId="60" fillId="0" borderId="53" xfId="0" applyFont="1" applyFill="1" applyBorder="1" applyAlignment="1">
      <alignment horizontal="center"/>
    </xf>
    <xf numFmtId="0" fontId="60" fillId="0" borderId="21" xfId="0" applyFont="1" applyFill="1" applyBorder="1" applyAlignment="1">
      <alignment horizontal="center"/>
    </xf>
    <xf numFmtId="0" fontId="60" fillId="0" borderId="48" xfId="0" applyFont="1" applyFill="1" applyBorder="1" applyAlignment="1">
      <alignment horizontal="center" vertical="center"/>
    </xf>
    <xf numFmtId="0" fontId="60" fillId="0" borderId="53" xfId="0" applyFont="1" applyFill="1" applyBorder="1" applyAlignment="1">
      <alignment horizontal="center" vertical="center"/>
    </xf>
    <xf numFmtId="0" fontId="60" fillId="0" borderId="21" xfId="0" applyFont="1" applyFill="1" applyBorder="1" applyAlignment="1">
      <alignment horizontal="center" vertical="center"/>
    </xf>
    <xf numFmtId="0" fontId="61" fillId="0" borderId="12" xfId="0" applyFont="1" applyFill="1" applyBorder="1" applyAlignment="1">
      <alignment horizontal="center" vertical="center"/>
    </xf>
    <xf numFmtId="0" fontId="61" fillId="0" borderId="21" xfId="0" applyFont="1" applyFill="1" applyBorder="1" applyAlignment="1">
      <alignment horizontal="center" vertical="center"/>
    </xf>
    <xf numFmtId="0" fontId="60" fillId="0" borderId="22" xfId="0" applyFont="1" applyFill="1" applyBorder="1" applyAlignment="1">
      <alignment horizontal="center" vertical="center"/>
    </xf>
    <xf numFmtId="0" fontId="60" fillId="0" borderId="23" xfId="0" applyFont="1" applyFill="1" applyBorder="1" applyAlignment="1">
      <alignment horizontal="center" vertical="center"/>
    </xf>
    <xf numFmtId="0" fontId="57" fillId="0" borderId="21" xfId="0" applyFont="1" applyFill="1" applyBorder="1" applyAlignment="1">
      <alignment horizontal="center" vertical="center"/>
    </xf>
    <xf numFmtId="0" fontId="61" fillId="0" borderId="23" xfId="0" applyFont="1" applyFill="1" applyBorder="1" applyAlignment="1">
      <alignment horizontal="center" vertical="center"/>
    </xf>
    <xf numFmtId="0" fontId="60" fillId="0" borderId="29" xfId="0" applyFont="1" applyFill="1" applyBorder="1" applyAlignment="1">
      <alignment horizontal="center" vertical="center"/>
    </xf>
    <xf numFmtId="2" fontId="134" fillId="5" borderId="17" xfId="0" applyNumberFormat="1" applyFont="1" applyFill="1" applyBorder="1" applyAlignment="1">
      <alignment horizontal="center" vertical="center"/>
    </xf>
    <xf numFmtId="0" fontId="92" fillId="0" borderId="6" xfId="0" applyFont="1" applyFill="1" applyBorder="1" applyAlignment="1">
      <alignment vertical="center"/>
    </xf>
    <xf numFmtId="0" fontId="149" fillId="0" borderId="5" xfId="0" applyFont="1" applyFill="1" applyBorder="1" applyAlignment="1" applyProtection="1">
      <alignment horizontal="center" vertical="center"/>
      <protection locked="0"/>
    </xf>
    <xf numFmtId="0" fontId="92" fillId="0" borderId="22" xfId="0" applyFont="1" applyFill="1" applyBorder="1" applyAlignment="1">
      <alignment vertical="center"/>
    </xf>
    <xf numFmtId="1" fontId="95" fillId="0" borderId="0" xfId="0" applyNumberFormat="1" applyFont="1" applyFill="1" applyBorder="1" applyAlignment="1" applyProtection="1">
      <alignment horizontal="center" vertical="top"/>
      <protection locked="0"/>
    </xf>
    <xf numFmtId="0" fontId="101" fillId="0" borderId="0" xfId="0" applyFont="1" applyFill="1" applyAlignment="1">
      <alignment horizontal="right" vertical="center"/>
    </xf>
    <xf numFmtId="0" fontId="102" fillId="0" borderId="0" xfId="0" applyFont="1" applyFill="1" applyAlignment="1">
      <alignment horizontal="left"/>
    </xf>
    <xf numFmtId="167" fontId="54" fillId="0" borderId="6" xfId="0" applyNumberFormat="1" applyFont="1" applyFill="1" applyBorder="1" applyAlignment="1">
      <alignment horizontal="center" vertical="center"/>
    </xf>
    <xf numFmtId="0" fontId="70" fillId="0" borderId="0" xfId="0" applyFont="1" applyFill="1" applyAlignment="1">
      <alignment horizontal="right" vertical="top"/>
    </xf>
    <xf numFmtId="0" fontId="34" fillId="0" borderId="0" xfId="0" applyFont="1" applyFill="1" applyAlignment="1">
      <alignment vertical="top"/>
    </xf>
    <xf numFmtId="4" fontId="54" fillId="0" borderId="2" xfId="0" applyNumberFormat="1" applyFont="1" applyFill="1" applyBorder="1" applyAlignment="1">
      <alignment horizontal="center" vertical="center"/>
    </xf>
    <xf numFmtId="165" fontId="119" fillId="0" borderId="2" xfId="0" applyNumberFormat="1" applyFont="1" applyFill="1" applyBorder="1" applyAlignment="1">
      <alignment horizontal="center"/>
    </xf>
    <xf numFmtId="2" fontId="94" fillId="0" borderId="3" xfId="0" applyNumberFormat="1" applyFont="1" applyFill="1" applyBorder="1" applyAlignment="1">
      <alignment horizontal="center" vertical="center"/>
    </xf>
    <xf numFmtId="2" fontId="121" fillId="0" borderId="3" xfId="0" applyNumberFormat="1" applyFont="1" applyFill="1" applyBorder="1" applyAlignment="1">
      <alignment horizontal="center" vertical="center"/>
    </xf>
    <xf numFmtId="2" fontId="94" fillId="0" borderId="8" xfId="0" applyNumberFormat="1" applyFont="1" applyFill="1" applyBorder="1" applyAlignment="1">
      <alignment horizontal="center" vertical="center"/>
    </xf>
    <xf numFmtId="0" fontId="56" fillId="0" borderId="5" xfId="0" applyFont="1" applyFill="1" applyBorder="1" applyAlignment="1">
      <alignment vertical="center"/>
    </xf>
    <xf numFmtId="0" fontId="56" fillId="0" borderId="3" xfId="0" applyFont="1" applyFill="1" applyBorder="1" applyAlignment="1">
      <alignment vertical="center"/>
    </xf>
    <xf numFmtId="0" fontId="148" fillId="0" borderId="3" xfId="0" applyFont="1" applyFill="1" applyBorder="1" applyAlignment="1">
      <alignment vertical="center"/>
    </xf>
    <xf numFmtId="0" fontId="54" fillId="0" borderId="17" xfId="0" applyFont="1" applyFill="1" applyBorder="1" applyAlignment="1">
      <alignment horizontal="left" vertical="center"/>
    </xf>
    <xf numFmtId="0" fontId="54" fillId="0" borderId="5" xfId="0" applyFont="1" applyFill="1" applyBorder="1" applyAlignment="1">
      <alignment horizontal="left" vertical="center" wrapText="1"/>
    </xf>
    <xf numFmtId="0" fontId="54" fillId="0" borderId="20" xfId="0" applyFont="1" applyFill="1" applyBorder="1" applyAlignment="1">
      <alignment vertical="center"/>
    </xf>
    <xf numFmtId="0" fontId="49" fillId="0" borderId="5" xfId="0" applyFont="1" applyFill="1" applyBorder="1" applyAlignment="1" applyProtection="1">
      <alignment horizontal="right" vertical="center"/>
      <protection locked="0"/>
    </xf>
    <xf numFmtId="0" fontId="54" fillId="0" borderId="3" xfId="0" applyFont="1" applyFill="1" applyBorder="1" applyAlignment="1" applyProtection="1">
      <alignment horizontal="right" vertical="center"/>
      <protection locked="0"/>
    </xf>
    <xf numFmtId="0" fontId="54" fillId="0" borderId="8" xfId="0" applyFont="1" applyFill="1" applyBorder="1" applyAlignment="1" applyProtection="1">
      <alignment horizontal="right" vertical="center"/>
      <protection locked="0"/>
    </xf>
    <xf numFmtId="3" fontId="90" fillId="0" borderId="71" xfId="0" applyNumberFormat="1" applyFont="1" applyFill="1" applyBorder="1" applyAlignment="1">
      <alignment horizontal="center" vertical="center"/>
    </xf>
    <xf numFmtId="0" fontId="49" fillId="0" borderId="18" xfId="0" applyFont="1" applyFill="1" applyBorder="1" applyAlignment="1">
      <alignment horizontal="center" vertical="center"/>
    </xf>
    <xf numFmtId="0" fontId="31" fillId="0" borderId="40" xfId="0" applyFont="1" applyFill="1" applyBorder="1" applyAlignment="1">
      <alignment horizontal="center" vertical="center"/>
    </xf>
    <xf numFmtId="3" fontId="93" fillId="0" borderId="40" xfId="0" applyNumberFormat="1" applyFont="1" applyFill="1" applyBorder="1" applyAlignment="1">
      <alignment horizontal="center" vertical="center"/>
    </xf>
    <xf numFmtId="3" fontId="93" fillId="0" borderId="69" xfId="0" applyNumberFormat="1" applyFont="1" applyFill="1" applyBorder="1" applyAlignment="1">
      <alignment horizontal="center" vertical="center"/>
    </xf>
    <xf numFmtId="3" fontId="90" fillId="0" borderId="69" xfId="0" applyNumberFormat="1" applyFont="1" applyFill="1" applyBorder="1" applyAlignment="1">
      <alignment horizontal="center" vertical="center"/>
    </xf>
    <xf numFmtId="3" fontId="93" fillId="0" borderId="71" xfId="0" applyNumberFormat="1" applyFont="1" applyFill="1" applyBorder="1" applyAlignment="1">
      <alignment horizontal="center" vertical="center"/>
    </xf>
    <xf numFmtId="3" fontId="90" fillId="0" borderId="40" xfId="0" applyNumberFormat="1" applyFont="1" applyFill="1" applyBorder="1" applyAlignment="1">
      <alignment horizontal="center" vertical="center"/>
    </xf>
    <xf numFmtId="3" fontId="90" fillId="0" borderId="53" xfId="0" applyNumberFormat="1" applyFont="1" applyFill="1" applyBorder="1" applyAlignment="1">
      <alignment horizontal="center" vertical="center"/>
    </xf>
    <xf numFmtId="3" fontId="119" fillId="0" borderId="71" xfId="0" applyNumberFormat="1" applyFont="1" applyFill="1" applyBorder="1" applyAlignment="1">
      <alignment horizontal="center" vertical="center"/>
    </xf>
    <xf numFmtId="3" fontId="50" fillId="0" borderId="69" xfId="0" applyNumberFormat="1" applyFont="1" applyFill="1" applyBorder="1" applyAlignment="1">
      <alignment horizontal="center" vertical="center"/>
    </xf>
    <xf numFmtId="3" fontId="72" fillId="0" borderId="40" xfId="0" applyNumberFormat="1" applyFont="1" applyFill="1" applyBorder="1" applyAlignment="1">
      <alignment horizontal="center" vertical="center"/>
    </xf>
    <xf numFmtId="0" fontId="72" fillId="0" borderId="69" xfId="0" applyFont="1" applyFill="1" applyBorder="1" applyAlignment="1">
      <alignment horizontal="center" vertical="center"/>
    </xf>
    <xf numFmtId="0" fontId="50" fillId="0" borderId="71" xfId="0" applyFont="1" applyFill="1" applyBorder="1" applyAlignment="1">
      <alignment horizontal="center" vertical="center"/>
    </xf>
    <xf numFmtId="0" fontId="72" fillId="0" borderId="71" xfId="0" applyFont="1" applyFill="1" applyBorder="1" applyAlignment="1">
      <alignment horizontal="center" vertical="center"/>
    </xf>
    <xf numFmtId="0" fontId="50" fillId="0" borderId="61" xfId="0" applyFont="1" applyFill="1" applyBorder="1" applyAlignment="1">
      <alignment horizontal="center" vertical="center"/>
    </xf>
    <xf numFmtId="0" fontId="18" fillId="15" borderId="0" xfId="0" applyFont="1" applyFill="1" applyBorder="1" applyAlignment="1">
      <alignment vertical="center"/>
    </xf>
    <xf numFmtId="0" fontId="92" fillId="0" borderId="47" xfId="0" applyFont="1" applyFill="1" applyBorder="1" applyAlignment="1">
      <alignment horizontal="center" vertical="center" wrapText="1"/>
    </xf>
    <xf numFmtId="2" fontId="93" fillId="0" borderId="47" xfId="0" applyNumberFormat="1" applyFont="1" applyFill="1" applyBorder="1" applyAlignment="1">
      <alignment horizontal="center" vertical="center"/>
    </xf>
    <xf numFmtId="3" fontId="90" fillId="0" borderId="2" xfId="0" applyNumberFormat="1" applyFont="1" applyFill="1" applyBorder="1" applyAlignment="1">
      <alignment horizontal="center" vertical="center"/>
    </xf>
    <xf numFmtId="4" fontId="54" fillId="0" borderId="21" xfId="0" applyNumberFormat="1" applyFont="1" applyFill="1" applyBorder="1" applyAlignment="1">
      <alignment horizontal="center" vertical="center"/>
    </xf>
    <xf numFmtId="0" fontId="19" fillId="0" borderId="22" xfId="0" applyFont="1" applyFill="1" applyBorder="1" applyAlignment="1">
      <alignment horizontal="center" vertical="center"/>
    </xf>
    <xf numFmtId="0" fontId="119" fillId="0" borderId="38" xfId="0" applyFont="1" applyFill="1" applyBorder="1" applyAlignment="1">
      <alignment horizontal="center" vertical="center"/>
    </xf>
    <xf numFmtId="3" fontId="93" fillId="0" borderId="36" xfId="0" applyNumberFormat="1" applyFont="1" applyFill="1" applyBorder="1" applyAlignment="1">
      <alignment horizontal="center" vertical="center"/>
    </xf>
    <xf numFmtId="3" fontId="93" fillId="0" borderId="37" xfId="0" applyNumberFormat="1" applyFont="1" applyFill="1" applyBorder="1" applyAlignment="1">
      <alignment horizontal="center" vertical="center"/>
    </xf>
    <xf numFmtId="165" fontId="31" fillId="0" borderId="38" xfId="0" applyNumberFormat="1" applyFont="1" applyFill="1" applyBorder="1" applyAlignment="1">
      <alignment horizontal="center" vertical="center"/>
    </xf>
    <xf numFmtId="165" fontId="31" fillId="0" borderId="59" xfId="0" applyNumberFormat="1" applyFont="1" applyFill="1" applyBorder="1" applyAlignment="1">
      <alignment horizontal="center" vertical="center"/>
    </xf>
    <xf numFmtId="165" fontId="31" fillId="0" borderId="10" xfId="0" applyNumberFormat="1" applyFont="1" applyFill="1" applyBorder="1" applyAlignment="1">
      <alignment horizontal="center" vertical="center"/>
    </xf>
    <xf numFmtId="2" fontId="94" fillId="0" borderId="10" xfId="0" applyNumberFormat="1" applyFont="1" applyFill="1" applyBorder="1" applyAlignment="1">
      <alignment horizontal="center" vertical="center"/>
    </xf>
    <xf numFmtId="1" fontId="31" fillId="0" borderId="10" xfId="0" applyNumberFormat="1" applyFont="1" applyFill="1" applyBorder="1" applyAlignment="1">
      <alignment horizontal="center" vertical="center"/>
    </xf>
    <xf numFmtId="167" fontId="31" fillId="0" borderId="14" xfId="0" applyNumberFormat="1" applyFont="1" applyFill="1" applyBorder="1" applyAlignment="1">
      <alignment horizontal="center" vertical="center"/>
    </xf>
    <xf numFmtId="0" fontId="69" fillId="0" borderId="70" xfId="0" applyFont="1" applyFill="1" applyBorder="1" applyAlignment="1">
      <alignment vertical="center"/>
    </xf>
    <xf numFmtId="0" fontId="16" fillId="0" borderId="2" xfId="0" applyFont="1" applyFill="1" applyBorder="1" applyAlignment="1">
      <alignment vertical="center"/>
    </xf>
    <xf numFmtId="0" fontId="17" fillId="15" borderId="0" xfId="0" applyFont="1" applyFill="1" applyBorder="1" applyAlignment="1">
      <alignment vertical="center"/>
    </xf>
    <xf numFmtId="0" fontId="90" fillId="0" borderId="16" xfId="0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center" vertical="center" wrapText="1"/>
    </xf>
    <xf numFmtId="3" fontId="23" fillId="0" borderId="1" xfId="0" applyNumberFormat="1" applyFont="1" applyFill="1" applyBorder="1" applyAlignment="1">
      <alignment horizontal="center" vertical="center"/>
    </xf>
    <xf numFmtId="0" fontId="51" fillId="0" borderId="1" xfId="0" applyFont="1" applyFill="1" applyBorder="1" applyAlignment="1">
      <alignment vertical="center"/>
    </xf>
    <xf numFmtId="1" fontId="50" fillId="0" borderId="7" xfId="0" applyNumberFormat="1" applyFont="1" applyFill="1" applyBorder="1" applyAlignment="1">
      <alignment horizontal="center" vertical="center"/>
    </xf>
    <xf numFmtId="1" fontId="50" fillId="0" borderId="1" xfId="0" applyNumberFormat="1" applyFont="1" applyFill="1" applyBorder="1" applyAlignment="1">
      <alignment horizontal="center" vertical="center"/>
    </xf>
    <xf numFmtId="1" fontId="50" fillId="0" borderId="46" xfId="0" applyNumberFormat="1" applyFont="1" applyFill="1" applyBorder="1" applyAlignment="1">
      <alignment horizontal="center" vertical="center"/>
    </xf>
    <xf numFmtId="0" fontId="50" fillId="0" borderId="43" xfId="0" applyFont="1" applyFill="1" applyBorder="1" applyAlignment="1">
      <alignment horizontal="center" vertical="center"/>
    </xf>
    <xf numFmtId="3" fontId="74" fillId="0" borderId="7" xfId="0" applyNumberFormat="1" applyFont="1" applyFill="1" applyBorder="1" applyAlignment="1">
      <alignment horizontal="center" vertical="center"/>
    </xf>
    <xf numFmtId="1" fontId="49" fillId="0" borderId="62" xfId="0" applyNumberFormat="1" applyFont="1" applyFill="1" applyBorder="1" applyAlignment="1">
      <alignment horizontal="center" vertical="center"/>
    </xf>
    <xf numFmtId="1" fontId="49" fillId="0" borderId="1" xfId="0" applyNumberFormat="1" applyFont="1" applyFill="1" applyBorder="1" applyAlignment="1">
      <alignment horizontal="center" vertical="center"/>
    </xf>
    <xf numFmtId="165" fontId="21" fillId="0" borderId="43" xfId="0" applyNumberFormat="1" applyFont="1" applyFill="1" applyBorder="1" applyAlignment="1">
      <alignment horizontal="center" vertical="center"/>
    </xf>
    <xf numFmtId="165" fontId="21" fillId="0" borderId="42" xfId="0" applyNumberFormat="1" applyFont="1" applyFill="1" applyBorder="1" applyAlignment="1">
      <alignment horizontal="center" vertical="center"/>
    </xf>
    <xf numFmtId="0" fontId="131" fillId="0" borderId="35" xfId="0" applyFont="1" applyFill="1" applyBorder="1" applyAlignment="1">
      <alignment horizontal="center" vertical="center"/>
    </xf>
    <xf numFmtId="165" fontId="131" fillId="0" borderId="35" xfId="0" applyNumberFormat="1" applyFont="1" applyFill="1" applyBorder="1" applyAlignment="1">
      <alignment horizontal="center" vertical="center"/>
    </xf>
    <xf numFmtId="2" fontId="25" fillId="0" borderId="35" xfId="0" applyNumberFormat="1" applyFont="1" applyFill="1" applyBorder="1" applyAlignment="1">
      <alignment horizontal="center" vertical="center"/>
    </xf>
    <xf numFmtId="2" fontId="21" fillId="0" borderId="62" xfId="0" applyNumberFormat="1" applyFont="1" applyFill="1" applyBorder="1" applyAlignment="1">
      <alignment horizontal="center" vertical="center"/>
    </xf>
    <xf numFmtId="165" fontId="49" fillId="0" borderId="26" xfId="0" applyNumberFormat="1" applyFont="1" applyFill="1" applyBorder="1" applyAlignment="1">
      <alignment horizontal="center" vertical="center"/>
    </xf>
    <xf numFmtId="1" fontId="134" fillId="0" borderId="27" xfId="0" applyNumberFormat="1" applyFont="1" applyFill="1" applyBorder="1" applyAlignment="1">
      <alignment horizontal="center" vertical="center"/>
    </xf>
    <xf numFmtId="2" fontId="134" fillId="0" borderId="27" xfId="0" applyNumberFormat="1" applyFont="1" applyFill="1" applyBorder="1" applyAlignment="1">
      <alignment horizontal="center" vertical="center"/>
    </xf>
    <xf numFmtId="1" fontId="49" fillId="0" borderId="27" xfId="0" applyNumberFormat="1" applyFont="1" applyFill="1" applyBorder="1" applyAlignment="1">
      <alignment horizontal="center" vertical="center"/>
    </xf>
    <xf numFmtId="2" fontId="49" fillId="0" borderId="40" xfId="0" applyNumberFormat="1" applyFont="1" applyFill="1" applyBorder="1" applyAlignment="1">
      <alignment horizontal="center" vertical="center"/>
    </xf>
    <xf numFmtId="167" fontId="49" fillId="0" borderId="31" xfId="0" applyNumberFormat="1" applyFont="1" applyFill="1" applyBorder="1" applyAlignment="1">
      <alignment horizontal="center" vertical="center"/>
    </xf>
    <xf numFmtId="0" fontId="6" fillId="0" borderId="56" xfId="0" applyFont="1" applyFill="1" applyBorder="1" applyAlignment="1">
      <alignment horizontal="center"/>
    </xf>
    <xf numFmtId="0" fontId="6" fillId="0" borderId="29" xfId="0" applyFont="1" applyFill="1" applyBorder="1" applyAlignment="1">
      <alignment horizontal="center"/>
    </xf>
    <xf numFmtId="0" fontId="6" fillId="0" borderId="57" xfId="0" applyFont="1" applyFill="1" applyBorder="1" applyAlignment="1">
      <alignment horizontal="center"/>
    </xf>
    <xf numFmtId="0" fontId="82" fillId="0" borderId="0" xfId="0" applyFont="1" applyFill="1" applyBorder="1" applyAlignment="1">
      <alignment horizontal="center" vertical="center"/>
    </xf>
    <xf numFmtId="0" fontId="49" fillId="0" borderId="3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116" fillId="0" borderId="2" xfId="0" applyFont="1" applyFill="1" applyBorder="1" applyAlignment="1" applyProtection="1">
      <alignment horizontal="center" vertical="center"/>
      <protection locked="0"/>
    </xf>
    <xf numFmtId="2" fontId="90" fillId="15" borderId="11" xfId="0" applyNumberFormat="1" applyFont="1" applyFill="1" applyBorder="1" applyAlignment="1">
      <alignment horizontal="center" vertical="center"/>
    </xf>
    <xf numFmtId="3" fontId="90" fillId="15" borderId="38" xfId="0" applyNumberFormat="1" applyFont="1" applyFill="1" applyBorder="1" applyAlignment="1">
      <alignment horizontal="center" vertical="center"/>
    </xf>
    <xf numFmtId="3" fontId="90" fillId="15" borderId="71" xfId="0" applyNumberFormat="1" applyFont="1" applyFill="1" applyBorder="1" applyAlignment="1">
      <alignment horizontal="center" vertical="center"/>
    </xf>
    <xf numFmtId="3" fontId="90" fillId="15" borderId="22" xfId="0" applyNumberFormat="1" applyFont="1" applyFill="1" applyBorder="1" applyAlignment="1">
      <alignment horizontal="center" vertical="center"/>
    </xf>
    <xf numFmtId="1" fontId="91" fillId="15" borderId="14" xfId="0" applyNumberFormat="1" applyFont="1" applyFill="1" applyBorder="1" applyAlignment="1">
      <alignment horizontal="center" vertical="center"/>
    </xf>
    <xf numFmtId="1" fontId="91" fillId="15" borderId="11" xfId="0" applyNumberFormat="1" applyFont="1" applyFill="1" applyBorder="1" applyAlignment="1">
      <alignment horizontal="center" vertical="center"/>
    </xf>
    <xf numFmtId="165" fontId="91" fillId="15" borderId="13" xfId="0" applyNumberFormat="1" applyFont="1" applyFill="1" applyBorder="1" applyAlignment="1">
      <alignment horizontal="center" vertical="center"/>
    </xf>
    <xf numFmtId="1" fontId="145" fillId="15" borderId="10" xfId="0" applyNumberFormat="1" applyFont="1" applyFill="1" applyBorder="1" applyAlignment="1">
      <alignment horizontal="center" vertical="center"/>
    </xf>
    <xf numFmtId="2" fontId="145" fillId="15" borderId="10" xfId="0" applyNumberFormat="1" applyFont="1" applyFill="1" applyBorder="1" applyAlignment="1">
      <alignment horizontal="center" vertical="center"/>
    </xf>
    <xf numFmtId="0" fontId="49" fillId="15" borderId="22" xfId="0" applyFont="1" applyFill="1" applyBorder="1" applyAlignment="1">
      <alignment horizontal="center" vertical="center"/>
    </xf>
    <xf numFmtId="0" fontId="144" fillId="15" borderId="65" xfId="0" applyFont="1" applyFill="1" applyBorder="1" applyAlignment="1">
      <alignment horizontal="center" vertical="center"/>
    </xf>
    <xf numFmtId="165" fontId="91" fillId="15" borderId="38" xfId="0" applyNumberFormat="1" applyFont="1" applyFill="1" applyBorder="1" applyAlignment="1">
      <alignment horizontal="center" vertical="center"/>
    </xf>
    <xf numFmtId="165" fontId="91" fillId="15" borderId="59" xfId="0" applyNumberFormat="1" applyFont="1" applyFill="1" applyBorder="1" applyAlignment="1">
      <alignment horizontal="center" vertical="center"/>
    </xf>
    <xf numFmtId="165" fontId="91" fillId="15" borderId="10" xfId="0" applyNumberFormat="1" applyFont="1" applyFill="1" applyBorder="1" applyAlignment="1">
      <alignment horizontal="center" vertical="center"/>
    </xf>
    <xf numFmtId="1" fontId="91" fillId="15" borderId="10" xfId="0" applyNumberFormat="1" applyFont="1" applyFill="1" applyBorder="1" applyAlignment="1">
      <alignment horizontal="center" vertical="center"/>
    </xf>
    <xf numFmtId="167" fontId="91" fillId="15" borderId="14" xfId="0" applyNumberFormat="1" applyFont="1" applyFill="1" applyBorder="1" applyAlignment="1">
      <alignment horizontal="center" vertical="center"/>
    </xf>
    <xf numFmtId="0" fontId="61" fillId="15" borderId="48" xfId="0" applyFont="1" applyFill="1" applyBorder="1" applyAlignment="1">
      <alignment horizontal="center" vertical="center"/>
    </xf>
    <xf numFmtId="0" fontId="61" fillId="15" borderId="12" xfId="0" applyFont="1" applyFill="1" applyBorder="1" applyAlignment="1">
      <alignment horizontal="center" vertical="center"/>
    </xf>
    <xf numFmtId="0" fontId="61" fillId="15" borderId="53" xfId="0" applyFont="1" applyFill="1" applyBorder="1" applyAlignment="1">
      <alignment horizontal="center" vertical="center"/>
    </xf>
    <xf numFmtId="0" fontId="61" fillId="15" borderId="21" xfId="0" applyFont="1" applyFill="1" applyBorder="1" applyAlignment="1">
      <alignment horizontal="center" vertical="center"/>
    </xf>
    <xf numFmtId="0" fontId="52" fillId="15" borderId="6" xfId="0" applyFont="1" applyFill="1" applyBorder="1" applyAlignment="1">
      <alignment horizontal="center" vertical="center"/>
    </xf>
    <xf numFmtId="0" fontId="52" fillId="15" borderId="6" xfId="0" applyFont="1" applyFill="1" applyBorder="1" applyAlignment="1">
      <alignment vertical="center"/>
    </xf>
    <xf numFmtId="0" fontId="53" fillId="15" borderId="22" xfId="0" applyFont="1" applyFill="1" applyBorder="1" applyAlignment="1">
      <alignment vertical="center"/>
    </xf>
    <xf numFmtId="0" fontId="18" fillId="15" borderId="12" xfId="0" applyFont="1" applyFill="1" applyBorder="1" applyAlignment="1">
      <alignment vertical="center"/>
    </xf>
    <xf numFmtId="0" fontId="92" fillId="0" borderId="23" xfId="0" applyFont="1" applyFill="1" applyBorder="1" applyAlignment="1">
      <alignment vertical="center"/>
    </xf>
    <xf numFmtId="0" fontId="53" fillId="7" borderId="22" xfId="0" applyFont="1" applyFill="1" applyBorder="1" applyAlignment="1">
      <alignment vertical="center"/>
    </xf>
    <xf numFmtId="0" fontId="92" fillId="7" borderId="23" xfId="0" applyFont="1" applyFill="1" applyBorder="1" applyAlignment="1">
      <alignment vertical="center"/>
    </xf>
    <xf numFmtId="0" fontId="92" fillId="0" borderId="7" xfId="0" applyFont="1" applyFill="1" applyBorder="1" applyAlignment="1">
      <alignment vertical="center"/>
    </xf>
    <xf numFmtId="0" fontId="90" fillId="4" borderId="6" xfId="0" applyFont="1" applyFill="1" applyBorder="1" applyAlignment="1" applyProtection="1">
      <alignment horizontal="center" vertical="center"/>
      <protection locked="0"/>
    </xf>
    <xf numFmtId="0" fontId="90" fillId="4" borderId="7" xfId="0" applyFont="1" applyFill="1" applyBorder="1" applyAlignment="1" applyProtection="1">
      <alignment horizontal="center" vertical="center"/>
      <protection locked="0"/>
    </xf>
    <xf numFmtId="166" fontId="129" fillId="0" borderId="26" xfId="0" applyNumberFormat="1" applyFont="1" applyFill="1" applyBorder="1" applyAlignment="1">
      <alignment horizontal="center" vertical="center"/>
    </xf>
    <xf numFmtId="166" fontId="145" fillId="0" borderId="38" xfId="0" applyNumberFormat="1" applyFont="1" applyFill="1" applyBorder="1" applyAlignment="1">
      <alignment horizontal="center" vertical="center"/>
    </xf>
    <xf numFmtId="166" fontId="147" fillId="0" borderId="26" xfId="0" applyNumberFormat="1" applyFont="1" applyFill="1" applyBorder="1" applyAlignment="1">
      <alignment horizontal="center" vertical="center"/>
    </xf>
    <xf numFmtId="166" fontId="145" fillId="0" borderId="26" xfId="0" applyNumberFormat="1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119" fillId="0" borderId="47" xfId="0" applyFont="1" applyFill="1" applyBorder="1" applyAlignment="1">
      <alignment horizontal="center" vertical="center"/>
    </xf>
    <xf numFmtId="1" fontId="121" fillId="0" borderId="2" xfId="0" applyNumberFormat="1" applyFont="1" applyFill="1" applyBorder="1" applyAlignment="1">
      <alignment horizontal="center" vertical="center"/>
    </xf>
    <xf numFmtId="1" fontId="121" fillId="0" borderId="3" xfId="0" applyNumberFormat="1" applyFont="1" applyFill="1" applyBorder="1" applyAlignment="1">
      <alignment horizontal="center" vertical="center"/>
    </xf>
    <xf numFmtId="0" fontId="60" fillId="0" borderId="59" xfId="0" applyFont="1" applyFill="1" applyBorder="1" applyAlignment="1">
      <alignment horizontal="center"/>
    </xf>
    <xf numFmtId="0" fontId="60" fillId="0" borderId="11" xfId="0" applyFont="1" applyFill="1" applyBorder="1" applyAlignment="1">
      <alignment horizontal="center"/>
    </xf>
    <xf numFmtId="0" fontId="60" fillId="0" borderId="37" xfId="0" applyFont="1" applyFill="1" applyBorder="1" applyAlignment="1">
      <alignment horizontal="center"/>
    </xf>
    <xf numFmtId="0" fontId="60" fillId="0" borderId="16" xfId="0" applyFont="1" applyFill="1" applyBorder="1" applyAlignment="1">
      <alignment horizontal="center"/>
    </xf>
    <xf numFmtId="0" fontId="60" fillId="0" borderId="69" xfId="0" applyFont="1" applyFill="1" applyBorder="1" applyAlignment="1">
      <alignment horizontal="center"/>
    </xf>
    <xf numFmtId="0" fontId="60" fillId="0" borderId="23" xfId="0" applyFont="1" applyFill="1" applyBorder="1" applyAlignment="1">
      <alignment horizontal="center"/>
    </xf>
    <xf numFmtId="166" fontId="145" fillId="0" borderId="5" xfId="0" applyNumberFormat="1" applyFont="1" applyFill="1" applyBorder="1" applyAlignment="1">
      <alignment horizontal="center" vertical="center"/>
    </xf>
    <xf numFmtId="165" fontId="94" fillId="6" borderId="22" xfId="0" applyNumberFormat="1" applyFont="1" applyFill="1" applyBorder="1" applyAlignment="1">
      <alignment horizontal="center" vertical="center"/>
    </xf>
    <xf numFmtId="165" fontId="94" fillId="6" borderId="13" xfId="0" applyNumberFormat="1" applyFont="1" applyFill="1" applyBorder="1" applyAlignment="1">
      <alignment horizontal="center" vertical="center"/>
    </xf>
    <xf numFmtId="0" fontId="32" fillId="0" borderId="21" xfId="0" applyFont="1" applyFill="1" applyBorder="1" applyAlignment="1">
      <alignment horizontal="left" vertical="center"/>
    </xf>
    <xf numFmtId="0" fontId="82" fillId="15" borderId="22" xfId="0" applyFont="1" applyFill="1" applyBorder="1" applyAlignment="1">
      <alignment vertical="center"/>
    </xf>
    <xf numFmtId="1" fontId="94" fillId="0" borderId="20" xfId="0" applyNumberFormat="1" applyFont="1" applyFill="1" applyBorder="1" applyAlignment="1">
      <alignment horizontal="center" vertical="center"/>
    </xf>
    <xf numFmtId="0" fontId="90" fillId="0" borderId="69" xfId="0" applyFont="1" applyFill="1" applyBorder="1" applyAlignment="1">
      <alignment horizontal="center" vertical="center"/>
    </xf>
    <xf numFmtId="1" fontId="90" fillId="0" borderId="15" xfId="0" applyNumberFormat="1" applyFont="1" applyFill="1" applyBorder="1" applyAlignment="1">
      <alignment horizontal="center" vertical="center"/>
    </xf>
    <xf numFmtId="1" fontId="90" fillId="0" borderId="16" xfId="0" applyNumberFormat="1" applyFont="1" applyFill="1" applyBorder="1" applyAlignment="1">
      <alignment horizontal="center" vertical="center"/>
    </xf>
    <xf numFmtId="3" fontId="49" fillId="0" borderId="4" xfId="0" applyNumberFormat="1" applyFont="1" applyFill="1" applyBorder="1" applyAlignment="1">
      <alignment horizontal="center" vertical="center"/>
    </xf>
    <xf numFmtId="1" fontId="49" fillId="0" borderId="4" xfId="0" applyNumberFormat="1" applyFont="1" applyFill="1" applyBorder="1" applyAlignment="1">
      <alignment horizontal="center" vertical="center"/>
    </xf>
    <xf numFmtId="0" fontId="54" fillId="0" borderId="17" xfId="0" applyFont="1" applyFill="1" applyBorder="1" applyAlignment="1">
      <alignment vertical="center"/>
    </xf>
    <xf numFmtId="2" fontId="74" fillId="4" borderId="65" xfId="0" applyNumberFormat="1" applyFont="1" applyFill="1" applyBorder="1" applyAlignment="1" applyProtection="1">
      <alignment horizontal="center" vertical="center"/>
      <protection locked="0"/>
    </xf>
    <xf numFmtId="1" fontId="49" fillId="0" borderId="6" xfId="0" applyNumberFormat="1" applyFont="1" applyFill="1" applyBorder="1" applyAlignment="1">
      <alignment horizontal="center" vertical="center"/>
    </xf>
    <xf numFmtId="4" fontId="20" fillId="0" borderId="0" xfId="0" applyNumberFormat="1" applyFont="1"/>
    <xf numFmtId="0" fontId="49" fillId="0" borderId="13" xfId="0" applyFont="1" applyFill="1" applyBorder="1" applyAlignment="1">
      <alignment horizontal="center" vertical="center" wrapText="1"/>
    </xf>
    <xf numFmtId="0" fontId="49" fillId="0" borderId="2" xfId="0" applyFont="1" applyFill="1" applyBorder="1" applyAlignment="1">
      <alignment horizontal="center" vertical="center"/>
    </xf>
    <xf numFmtId="0" fontId="49" fillId="0" borderId="24" xfId="0" applyFont="1" applyFill="1" applyBorder="1" applyAlignment="1">
      <alignment horizontal="center" vertical="center"/>
    </xf>
    <xf numFmtId="165" fontId="145" fillId="0" borderId="63" xfId="0" applyNumberFormat="1" applyFont="1" applyFill="1" applyBorder="1" applyAlignment="1">
      <alignment horizontal="center" vertical="center"/>
    </xf>
    <xf numFmtId="165" fontId="145" fillId="0" borderId="38" xfId="0" applyNumberFormat="1" applyFont="1" applyFill="1" applyBorder="1" applyAlignment="1">
      <alignment horizontal="center" vertical="center"/>
    </xf>
    <xf numFmtId="165" fontId="128" fillId="14" borderId="36" xfId="0" applyNumberFormat="1" applyFont="1" applyFill="1" applyBorder="1" applyAlignment="1" applyProtection="1">
      <alignment horizontal="center" vertical="center"/>
      <protection locked="0"/>
    </xf>
    <xf numFmtId="0" fontId="33" fillId="17" borderId="46" xfId="0" applyFont="1" applyFill="1" applyBorder="1" applyAlignment="1">
      <alignment horizontal="center" vertical="center"/>
    </xf>
    <xf numFmtId="0" fontId="49" fillId="20" borderId="51" xfId="0" applyFont="1" applyFill="1" applyBorder="1" applyAlignment="1">
      <alignment horizontal="center" vertical="center" wrapText="1"/>
    </xf>
    <xf numFmtId="0" fontId="33" fillId="20" borderId="34" xfId="0" applyFont="1" applyFill="1" applyBorder="1" applyAlignment="1">
      <alignment horizontal="center" vertical="center"/>
    </xf>
    <xf numFmtId="2" fontId="54" fillId="20" borderId="52" xfId="0" applyNumberFormat="1" applyFont="1" applyFill="1" applyBorder="1" applyAlignment="1">
      <alignment horizontal="center" vertical="center"/>
    </xf>
    <xf numFmtId="2" fontId="73" fillId="20" borderId="50" xfId="0" applyNumberFormat="1" applyFont="1" applyFill="1" applyBorder="1" applyAlignment="1">
      <alignment horizontal="center" vertical="center"/>
    </xf>
    <xf numFmtId="2" fontId="73" fillId="20" borderId="50" xfId="0" applyNumberFormat="1" applyFont="1" applyFill="1" applyBorder="1" applyAlignment="1">
      <alignment horizontal="center" vertical="center" wrapText="1"/>
    </xf>
    <xf numFmtId="165" fontId="73" fillId="20" borderId="50" xfId="0" applyNumberFormat="1" applyFont="1" applyFill="1" applyBorder="1" applyAlignment="1">
      <alignment horizontal="center" vertical="center"/>
    </xf>
    <xf numFmtId="4" fontId="150" fillId="0" borderId="12" xfId="0" applyNumberFormat="1" applyFont="1" applyFill="1" applyBorder="1" applyAlignment="1">
      <alignment horizontal="center" vertical="center"/>
    </xf>
    <xf numFmtId="2" fontId="74" fillId="0" borderId="71" xfId="0" applyNumberFormat="1" applyFont="1" applyFill="1" applyBorder="1" applyAlignment="1" applyProtection="1">
      <alignment horizontal="center" vertical="center"/>
      <protection locked="0"/>
    </xf>
    <xf numFmtId="0" fontId="49" fillId="0" borderId="3" xfId="0" applyFont="1" applyFill="1" applyBorder="1" applyAlignment="1">
      <alignment vertical="center"/>
    </xf>
    <xf numFmtId="2" fontId="91" fillId="0" borderId="3" xfId="0" applyNumberFormat="1" applyFont="1" applyFill="1" applyBorder="1" applyAlignment="1">
      <alignment horizontal="center" vertical="center"/>
    </xf>
    <xf numFmtId="0" fontId="49" fillId="0" borderId="3" xfId="0" applyFont="1" applyFill="1" applyBorder="1" applyAlignment="1">
      <alignment horizontal="center"/>
    </xf>
    <xf numFmtId="0" fontId="49" fillId="0" borderId="6" xfId="0" applyFont="1" applyFill="1" applyBorder="1" applyAlignment="1">
      <alignment horizontal="center"/>
    </xf>
    <xf numFmtId="1" fontId="49" fillId="0" borderId="0" xfId="0" applyNumberFormat="1" applyFont="1" applyFill="1" applyBorder="1" applyAlignment="1">
      <alignment horizontal="center"/>
    </xf>
    <xf numFmtId="165" fontId="49" fillId="0" borderId="6" xfId="0" applyNumberFormat="1" applyFont="1" applyFill="1" applyBorder="1" applyAlignment="1">
      <alignment horizontal="center"/>
    </xf>
    <xf numFmtId="0" fontId="54" fillId="0" borderId="13" xfId="0" applyFont="1" applyFill="1" applyBorder="1" applyAlignment="1">
      <alignment vertical="center"/>
    </xf>
    <xf numFmtId="4" fontId="54" fillId="0" borderId="22" xfId="0" applyNumberFormat="1" applyFont="1" applyFill="1" applyBorder="1" applyAlignment="1">
      <alignment horizontal="center" vertical="center"/>
    </xf>
    <xf numFmtId="0" fontId="53" fillId="15" borderId="13" xfId="0" applyFont="1" applyFill="1" applyBorder="1" applyAlignment="1">
      <alignment horizontal="center" vertical="center"/>
    </xf>
    <xf numFmtId="0" fontId="52" fillId="15" borderId="22" xfId="0" applyFont="1" applyFill="1" applyBorder="1" applyAlignment="1">
      <alignment horizontal="center" vertical="center"/>
    </xf>
    <xf numFmtId="0" fontId="52" fillId="15" borderId="22" xfId="0" applyFont="1" applyFill="1" applyBorder="1" applyAlignment="1">
      <alignment vertical="center"/>
    </xf>
    <xf numFmtId="0" fontId="52" fillId="15" borderId="2" xfId="0" applyFont="1" applyFill="1" applyBorder="1" applyAlignment="1">
      <alignment vertical="center"/>
    </xf>
    <xf numFmtId="0" fontId="17" fillId="15" borderId="6" xfId="0" applyFont="1" applyFill="1" applyBorder="1" applyAlignment="1">
      <alignment vertical="center"/>
    </xf>
    <xf numFmtId="1" fontId="93" fillId="0" borderId="20" xfId="0" applyNumberFormat="1" applyFont="1" applyFill="1" applyBorder="1" applyAlignment="1">
      <alignment horizontal="center" vertical="center"/>
    </xf>
    <xf numFmtId="165" fontId="148" fillId="0" borderId="25" xfId="0" applyNumberFormat="1" applyFont="1" applyFill="1" applyBorder="1" applyAlignment="1">
      <alignment horizontal="center" vertical="center"/>
    </xf>
    <xf numFmtId="0" fontId="2" fillId="0" borderId="56" xfId="0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0" fontId="2" fillId="0" borderId="57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4" fontId="54" fillId="0" borderId="4" xfId="0" applyNumberFormat="1" applyFont="1" applyFill="1" applyBorder="1" applyAlignment="1">
      <alignment horizontal="center" vertical="center"/>
    </xf>
    <xf numFmtId="0" fontId="54" fillId="0" borderId="39" xfId="0" applyFont="1" applyFill="1" applyBorder="1" applyAlignment="1">
      <alignment horizontal="center" vertical="center"/>
    </xf>
    <xf numFmtId="165" fontId="132" fillId="0" borderId="5" xfId="0" applyNumberFormat="1" applyFont="1" applyFill="1" applyBorder="1" applyAlignment="1" applyProtection="1">
      <alignment horizontal="center" vertical="center"/>
      <protection locked="0"/>
    </xf>
    <xf numFmtId="0" fontId="7" fillId="0" borderId="23" xfId="0" applyFont="1" applyFill="1" applyBorder="1" applyAlignment="1">
      <alignment horizontal="center" vertical="center"/>
    </xf>
    <xf numFmtId="2" fontId="145" fillId="0" borderId="26" xfId="0" applyNumberFormat="1" applyFont="1" applyFill="1" applyBorder="1" applyAlignment="1">
      <alignment horizontal="center" vertical="center"/>
    </xf>
    <xf numFmtId="49" fontId="54" fillId="0" borderId="17" xfId="0" applyNumberFormat="1" applyFont="1" applyFill="1" applyBorder="1" applyAlignment="1">
      <alignment horizontal="center" vertical="center"/>
    </xf>
    <xf numFmtId="1" fontId="49" fillId="0" borderId="7" xfId="0" applyNumberFormat="1" applyFont="1" applyFill="1" applyBorder="1" applyAlignment="1">
      <alignment horizontal="center" vertical="center"/>
    </xf>
    <xf numFmtId="0" fontId="93" fillId="0" borderId="0" xfId="0" applyFont="1" applyFill="1" applyBorder="1" applyAlignment="1">
      <alignment horizontal="center" vertical="center"/>
    </xf>
    <xf numFmtId="165" fontId="54" fillId="0" borderId="3" xfId="0" applyNumberFormat="1" applyFont="1" applyFill="1" applyBorder="1" applyAlignment="1">
      <alignment horizontal="center" vertical="center"/>
    </xf>
    <xf numFmtId="0" fontId="22" fillId="0" borderId="0" xfId="0" applyFont="1" applyFill="1" applyAlignment="1">
      <alignment horizontal="left"/>
    </xf>
    <xf numFmtId="0" fontId="102" fillId="0" borderId="0" xfId="0" applyFont="1" applyFill="1" applyAlignment="1">
      <alignment vertical="center" wrapText="1"/>
    </xf>
    <xf numFmtId="0" fontId="101" fillId="0" borderId="0" xfId="0" applyFont="1" applyFill="1" applyAlignment="1">
      <alignment vertical="center"/>
    </xf>
    <xf numFmtId="0" fontId="101" fillId="0" borderId="0" xfId="0" applyFont="1" applyFill="1" applyAlignment="1">
      <alignment horizontal="center" vertical="center"/>
    </xf>
    <xf numFmtId="0" fontId="101" fillId="0" borderId="0" xfId="0" applyFont="1" applyFill="1" applyBorder="1" applyAlignment="1" applyProtection="1">
      <alignment horizontal="left" vertical="center"/>
      <protection locked="0"/>
    </xf>
    <xf numFmtId="0" fontId="105" fillId="0" borderId="0" xfId="0" applyFont="1" applyFill="1" applyBorder="1" applyAlignment="1">
      <alignment horizontal="center" vertical="center"/>
    </xf>
    <xf numFmtId="1" fontId="101" fillId="0" borderId="0" xfId="0" applyNumberFormat="1" applyFont="1" applyFill="1" applyBorder="1" applyAlignment="1" applyProtection="1">
      <alignment horizontal="center" vertical="center"/>
      <protection locked="0"/>
    </xf>
    <xf numFmtId="0" fontId="148" fillId="0" borderId="24" xfId="0" applyFont="1" applyFill="1" applyBorder="1" applyAlignment="1">
      <alignment vertical="center"/>
    </xf>
    <xf numFmtId="165" fontId="49" fillId="0" borderId="2" xfId="0" applyNumberFormat="1" applyFont="1" applyFill="1" applyBorder="1" applyAlignment="1">
      <alignment horizontal="center" vertical="center"/>
    </xf>
    <xf numFmtId="0" fontId="129" fillId="0" borderId="0" xfId="0" applyFont="1" applyAlignment="1"/>
    <xf numFmtId="166" fontId="134" fillId="0" borderId="31" xfId="0" applyNumberFormat="1" applyFont="1" applyFill="1" applyBorder="1" applyAlignment="1" applyProtection="1">
      <alignment horizontal="center" vertical="center"/>
      <protection locked="0"/>
    </xf>
    <xf numFmtId="169" fontId="145" fillId="0" borderId="26" xfId="0" applyNumberFormat="1" applyFont="1" applyFill="1" applyBorder="1" applyAlignment="1" applyProtection="1">
      <alignment horizontal="center" vertical="center"/>
      <protection locked="0"/>
    </xf>
    <xf numFmtId="169" fontId="145" fillId="0" borderId="40" xfId="0" applyNumberFormat="1" applyFont="1" applyFill="1" applyBorder="1" applyAlignment="1" applyProtection="1">
      <alignment horizontal="center" vertical="center"/>
      <protection locked="0"/>
    </xf>
    <xf numFmtId="3" fontId="151" fillId="0" borderId="29" xfId="0" applyNumberFormat="1" applyFont="1" applyFill="1" applyBorder="1" applyAlignment="1">
      <alignment horizontal="center" vertical="center"/>
    </xf>
    <xf numFmtId="165" fontId="145" fillId="14" borderId="34" xfId="0" applyNumberFormat="1" applyFont="1" applyFill="1" applyBorder="1" applyAlignment="1" applyProtection="1">
      <alignment horizontal="center" vertical="center"/>
      <protection locked="0"/>
    </xf>
    <xf numFmtId="165" fontId="145" fillId="14" borderId="49" xfId="0" applyNumberFormat="1" applyFont="1" applyFill="1" applyBorder="1" applyAlignment="1" applyProtection="1">
      <alignment horizontal="center" vertical="center"/>
      <protection locked="0"/>
    </xf>
    <xf numFmtId="165" fontId="145" fillId="14" borderId="33" xfId="0" applyNumberFormat="1" applyFont="1" applyFill="1" applyBorder="1" applyAlignment="1" applyProtection="1">
      <alignment horizontal="center" vertical="center"/>
      <protection locked="0"/>
    </xf>
    <xf numFmtId="2" fontId="145" fillId="14" borderId="33" xfId="0" applyNumberFormat="1" applyFont="1" applyFill="1" applyBorder="1" applyAlignment="1" applyProtection="1">
      <alignment horizontal="center" vertical="center"/>
      <protection locked="0"/>
    </xf>
    <xf numFmtId="166" fontId="145" fillId="14" borderId="19" xfId="0" applyNumberFormat="1" applyFont="1" applyFill="1" applyBorder="1" applyAlignment="1" applyProtection="1">
      <alignment horizontal="center" vertical="center"/>
      <protection locked="0"/>
    </xf>
    <xf numFmtId="1" fontId="152" fillId="0" borderId="27" xfId="0" applyNumberFormat="1" applyFont="1" applyFill="1" applyBorder="1" applyAlignment="1">
      <alignment horizontal="center" vertical="center"/>
    </xf>
    <xf numFmtId="2" fontId="152" fillId="0" borderId="27" xfId="0" applyNumberFormat="1" applyFont="1" applyFill="1" applyBorder="1" applyAlignment="1">
      <alignment horizontal="center" vertical="center"/>
    </xf>
    <xf numFmtId="1" fontId="152" fillId="0" borderId="25" xfId="0" applyNumberFormat="1" applyFont="1" applyFill="1" applyBorder="1" applyAlignment="1">
      <alignment horizontal="center" vertical="center"/>
    </xf>
    <xf numFmtId="2" fontId="152" fillId="0" borderId="25" xfId="0" applyNumberFormat="1" applyFont="1" applyFill="1" applyBorder="1" applyAlignment="1">
      <alignment horizontal="center" vertical="center"/>
    </xf>
    <xf numFmtId="1" fontId="152" fillId="9" borderId="27" xfId="0" applyNumberFormat="1" applyFont="1" applyFill="1" applyBorder="1" applyAlignment="1">
      <alignment horizontal="center" vertical="center"/>
    </xf>
    <xf numFmtId="2" fontId="152" fillId="9" borderId="27" xfId="0" applyNumberFormat="1" applyFont="1" applyFill="1" applyBorder="1" applyAlignment="1">
      <alignment horizontal="center" vertical="center"/>
    </xf>
    <xf numFmtId="1" fontId="152" fillId="0" borderId="35" xfId="0" applyNumberFormat="1" applyFont="1" applyFill="1" applyBorder="1" applyAlignment="1">
      <alignment horizontal="center" vertical="center"/>
    </xf>
    <xf numFmtId="2" fontId="152" fillId="0" borderId="35" xfId="0" applyNumberFormat="1" applyFont="1" applyFill="1" applyBorder="1" applyAlignment="1">
      <alignment horizontal="center" vertical="center"/>
    </xf>
    <xf numFmtId="1" fontId="152" fillId="0" borderId="33" xfId="0" applyNumberFormat="1" applyFont="1" applyFill="1" applyBorder="1" applyAlignment="1">
      <alignment horizontal="center" vertical="center"/>
    </xf>
    <xf numFmtId="2" fontId="152" fillId="0" borderId="33" xfId="0" applyNumberFormat="1" applyFont="1" applyFill="1" applyBorder="1" applyAlignment="1">
      <alignment horizontal="center" vertical="center"/>
    </xf>
    <xf numFmtId="1" fontId="152" fillId="0" borderId="27" xfId="2" applyNumberFormat="1" applyFont="1" applyFill="1" applyBorder="1" applyAlignment="1">
      <alignment horizontal="center" vertical="center"/>
    </xf>
    <xf numFmtId="2" fontId="152" fillId="0" borderId="27" xfId="2" applyNumberFormat="1" applyFont="1" applyFill="1" applyBorder="1" applyAlignment="1">
      <alignment horizontal="center" vertical="center"/>
    </xf>
    <xf numFmtId="1" fontId="152" fillId="0" borderId="9" xfId="0" applyNumberFormat="1" applyFont="1" applyFill="1" applyBorder="1" applyAlignment="1">
      <alignment horizontal="center" vertical="center"/>
    </xf>
    <xf numFmtId="2" fontId="152" fillId="0" borderId="9" xfId="0" applyNumberFormat="1" applyFont="1" applyFill="1" applyBorder="1" applyAlignment="1">
      <alignment horizontal="center" vertical="center"/>
    </xf>
    <xf numFmtId="165" fontId="152" fillId="0" borderId="27" xfId="0" applyNumberFormat="1" applyFont="1" applyFill="1" applyBorder="1" applyAlignment="1">
      <alignment horizontal="center" vertical="center"/>
    </xf>
    <xf numFmtId="165" fontId="152" fillId="0" borderId="25" xfId="0" applyNumberFormat="1" applyFont="1" applyFill="1" applyBorder="1" applyAlignment="1">
      <alignment horizontal="center" vertical="center"/>
    </xf>
    <xf numFmtId="165" fontId="152" fillId="0" borderId="35" xfId="0" applyNumberFormat="1" applyFont="1" applyFill="1" applyBorder="1" applyAlignment="1">
      <alignment horizontal="center" vertical="center"/>
    </xf>
    <xf numFmtId="169" fontId="147" fillId="0" borderId="26" xfId="0" applyNumberFormat="1" applyFont="1" applyFill="1" applyBorder="1" applyAlignment="1" applyProtection="1">
      <alignment horizontal="center" vertical="center"/>
      <protection locked="0"/>
    </xf>
    <xf numFmtId="165" fontId="147" fillId="0" borderId="26" xfId="0" applyNumberFormat="1" applyFont="1" applyFill="1" applyBorder="1" applyAlignment="1" applyProtection="1">
      <alignment horizontal="center" vertical="center"/>
      <protection locked="0"/>
    </xf>
    <xf numFmtId="0" fontId="149" fillId="0" borderId="0" xfId="0" applyFont="1" applyBorder="1" applyAlignment="1"/>
    <xf numFmtId="0" fontId="49" fillId="4" borderId="8" xfId="0" applyFont="1" applyFill="1" applyBorder="1" applyAlignment="1">
      <alignment horizontal="center" vertical="center"/>
    </xf>
    <xf numFmtId="2" fontId="90" fillId="15" borderId="0" xfId="0" applyNumberFormat="1" applyFont="1" applyFill="1" applyBorder="1" applyAlignment="1">
      <alignment horizontal="center" vertical="center"/>
    </xf>
    <xf numFmtId="3" fontId="90" fillId="15" borderId="26" xfId="0" applyNumberFormat="1" applyFont="1" applyFill="1" applyBorder="1" applyAlignment="1">
      <alignment horizontal="center" vertical="center"/>
    </xf>
    <xf numFmtId="3" fontId="90" fillId="15" borderId="40" xfId="0" applyNumberFormat="1" applyFont="1" applyFill="1" applyBorder="1" applyAlignment="1">
      <alignment horizontal="center" vertical="center"/>
    </xf>
    <xf numFmtId="3" fontId="90" fillId="15" borderId="6" xfId="0" applyNumberFormat="1" applyFont="1" applyFill="1" applyBorder="1" applyAlignment="1">
      <alignment horizontal="center" vertical="center"/>
    </xf>
    <xf numFmtId="1" fontId="91" fillId="15" borderId="31" xfId="0" applyNumberFormat="1" applyFont="1" applyFill="1" applyBorder="1" applyAlignment="1">
      <alignment horizontal="center" vertical="center"/>
    </xf>
    <xf numFmtId="1" fontId="91" fillId="15" borderId="0" xfId="0" applyNumberFormat="1" applyFont="1" applyFill="1" applyBorder="1" applyAlignment="1">
      <alignment horizontal="center" vertical="center"/>
    </xf>
    <xf numFmtId="165" fontId="91" fillId="15" borderId="26" xfId="0" applyNumberFormat="1" applyFont="1" applyFill="1" applyBorder="1" applyAlignment="1">
      <alignment horizontal="center" vertical="center"/>
    </xf>
    <xf numFmtId="165" fontId="91" fillId="15" borderId="58" xfId="0" applyNumberFormat="1" applyFont="1" applyFill="1" applyBorder="1" applyAlignment="1">
      <alignment horizontal="center" vertical="center"/>
    </xf>
    <xf numFmtId="165" fontId="91" fillId="15" borderId="27" xfId="0" applyNumberFormat="1" applyFont="1" applyFill="1" applyBorder="1" applyAlignment="1">
      <alignment horizontal="center" vertical="center"/>
    </xf>
    <xf numFmtId="1" fontId="145" fillId="15" borderId="27" xfId="0" applyNumberFormat="1" applyFont="1" applyFill="1" applyBorder="1" applyAlignment="1">
      <alignment horizontal="center" vertical="center"/>
    </xf>
    <xf numFmtId="2" fontId="145" fillId="15" borderId="27" xfId="0" applyNumberFormat="1" applyFont="1" applyFill="1" applyBorder="1" applyAlignment="1">
      <alignment horizontal="center" vertical="center"/>
    </xf>
    <xf numFmtId="1" fontId="91" fillId="15" borderId="27" xfId="0" applyNumberFormat="1" applyFont="1" applyFill="1" applyBorder="1" applyAlignment="1">
      <alignment horizontal="center" vertical="center"/>
    </xf>
    <xf numFmtId="167" fontId="91" fillId="15" borderId="31" xfId="0" applyNumberFormat="1" applyFont="1" applyFill="1" applyBorder="1" applyAlignment="1">
      <alignment horizontal="center" vertical="center"/>
    </xf>
    <xf numFmtId="170" fontId="90" fillId="14" borderId="38" xfId="0" applyNumberFormat="1" applyFont="1" applyFill="1" applyBorder="1" applyAlignment="1">
      <alignment horizontal="center" vertical="center"/>
    </xf>
    <xf numFmtId="170" fontId="90" fillId="14" borderId="71" xfId="0" applyNumberFormat="1" applyFont="1" applyFill="1" applyBorder="1" applyAlignment="1">
      <alignment horizontal="center" vertical="center"/>
    </xf>
    <xf numFmtId="3" fontId="90" fillId="14" borderId="22" xfId="0" applyNumberFormat="1" applyFont="1" applyFill="1" applyBorder="1" applyAlignment="1">
      <alignment horizontal="center" vertical="center"/>
    </xf>
    <xf numFmtId="0" fontId="53" fillId="14" borderId="47" xfId="0" applyFont="1" applyFill="1" applyBorder="1" applyAlignment="1">
      <alignment horizontal="center" vertical="center" wrapText="1"/>
    </xf>
    <xf numFmtId="0" fontId="90" fillId="14" borderId="11" xfId="0" applyFont="1" applyFill="1" applyBorder="1" applyAlignment="1">
      <alignment horizontal="center" vertical="center"/>
    </xf>
    <xf numFmtId="0" fontId="144" fillId="14" borderId="65" xfId="0" applyFont="1" applyFill="1" applyBorder="1" applyAlignment="1">
      <alignment horizontal="center" vertical="center"/>
    </xf>
    <xf numFmtId="1" fontId="91" fillId="14" borderId="14" xfId="0" applyNumberFormat="1" applyFont="1" applyFill="1" applyBorder="1" applyAlignment="1">
      <alignment horizontal="center" vertical="center"/>
    </xf>
    <xf numFmtId="1" fontId="91" fillId="14" borderId="11" xfId="0" applyNumberFormat="1" applyFont="1" applyFill="1" applyBorder="1" applyAlignment="1">
      <alignment horizontal="center" vertical="center"/>
    </xf>
    <xf numFmtId="165" fontId="49" fillId="14" borderId="13" xfId="0" applyNumberFormat="1" applyFont="1" applyFill="1" applyBorder="1" applyAlignment="1">
      <alignment horizontal="center" vertical="center"/>
    </xf>
    <xf numFmtId="165" fontId="91" fillId="14" borderId="38" xfId="0" applyNumberFormat="1" applyFont="1" applyFill="1" applyBorder="1" applyAlignment="1">
      <alignment horizontal="center" vertical="center"/>
    </xf>
    <xf numFmtId="165" fontId="91" fillId="14" borderId="59" xfId="0" applyNumberFormat="1" applyFont="1" applyFill="1" applyBorder="1" applyAlignment="1">
      <alignment horizontal="center" vertical="center"/>
    </xf>
    <xf numFmtId="165" fontId="91" fillId="14" borderId="10" xfId="0" applyNumberFormat="1" applyFont="1" applyFill="1" applyBorder="1" applyAlignment="1">
      <alignment horizontal="center" vertical="center"/>
    </xf>
    <xf numFmtId="0" fontId="145" fillId="14" borderId="10" xfId="0" applyFont="1" applyFill="1" applyBorder="1" applyAlignment="1">
      <alignment horizontal="center" vertical="center"/>
    </xf>
    <xf numFmtId="2" fontId="145" fillId="14" borderId="10" xfId="0" applyNumberFormat="1" applyFont="1" applyFill="1" applyBorder="1" applyAlignment="1">
      <alignment horizontal="center" vertical="center"/>
    </xf>
    <xf numFmtId="1" fontId="91" fillId="14" borderId="10" xfId="0" applyNumberFormat="1" applyFont="1" applyFill="1" applyBorder="1" applyAlignment="1">
      <alignment horizontal="center" vertical="center"/>
    </xf>
    <xf numFmtId="167" fontId="91" fillId="14" borderId="14" xfId="0" applyNumberFormat="1" applyFont="1" applyFill="1" applyBorder="1" applyAlignment="1">
      <alignment horizontal="center" vertical="center"/>
    </xf>
    <xf numFmtId="0" fontId="61" fillId="14" borderId="21" xfId="0" applyFont="1" applyFill="1" applyBorder="1" applyAlignment="1">
      <alignment horizontal="center" vertical="center"/>
    </xf>
    <xf numFmtId="0" fontId="18" fillId="14" borderId="6" xfId="0" applyFont="1" applyFill="1" applyBorder="1" applyAlignment="1">
      <alignment horizontal="center" vertical="center"/>
    </xf>
    <xf numFmtId="0" fontId="52" fillId="14" borderId="6" xfId="0" applyFont="1" applyFill="1" applyBorder="1" applyAlignment="1">
      <alignment vertical="center"/>
    </xf>
    <xf numFmtId="0" fontId="17" fillId="14" borderId="6" xfId="0" applyFont="1" applyFill="1" applyBorder="1" applyAlignment="1">
      <alignment vertical="center"/>
    </xf>
    <xf numFmtId="0" fontId="17" fillId="14" borderId="0" xfId="0" applyFont="1" applyFill="1" applyBorder="1" applyAlignment="1">
      <alignment vertical="center"/>
    </xf>
    <xf numFmtId="0" fontId="53" fillId="14" borderId="22" xfId="0" applyFont="1" applyFill="1" applyBorder="1" applyAlignment="1">
      <alignment vertical="center"/>
    </xf>
    <xf numFmtId="0" fontId="18" fillId="14" borderId="0" xfId="0" applyFont="1" applyFill="1" applyBorder="1" applyAlignment="1">
      <alignment vertical="center"/>
    </xf>
    <xf numFmtId="0" fontId="18" fillId="14" borderId="12" xfId="0" applyFont="1" applyFill="1" applyBorder="1" applyAlignment="1">
      <alignment vertical="center"/>
    </xf>
    <xf numFmtId="165" fontId="91" fillId="15" borderId="3" xfId="0" applyNumberFormat="1" applyFont="1" applyFill="1" applyBorder="1" applyAlignment="1">
      <alignment horizontal="center" vertical="center"/>
    </xf>
    <xf numFmtId="165" fontId="153" fillId="14" borderId="22" xfId="0" applyNumberFormat="1" applyFont="1" applyFill="1" applyBorder="1" applyAlignment="1">
      <alignment horizontal="center" vertical="center"/>
    </xf>
    <xf numFmtId="1" fontId="91" fillId="15" borderId="6" xfId="0" applyNumberFormat="1" applyFont="1" applyFill="1" applyBorder="1" applyAlignment="1">
      <alignment horizontal="center" vertical="center"/>
    </xf>
    <xf numFmtId="1" fontId="94" fillId="0" borderId="21" xfId="0" applyNumberFormat="1" applyFont="1" applyFill="1" applyBorder="1" applyAlignment="1">
      <alignment horizontal="center" vertical="center"/>
    </xf>
    <xf numFmtId="1" fontId="91" fillId="0" borderId="23" xfId="0" applyNumberFormat="1" applyFont="1" applyFill="1" applyBorder="1" applyAlignment="1">
      <alignment horizontal="center" vertical="center"/>
    </xf>
    <xf numFmtId="1" fontId="82" fillId="0" borderId="6" xfId="0" applyNumberFormat="1" applyFont="1" applyFill="1" applyBorder="1" applyAlignment="1">
      <alignment horizontal="center" vertical="center"/>
    </xf>
    <xf numFmtId="165" fontId="91" fillId="15" borderId="22" xfId="0" applyNumberFormat="1" applyFont="1" applyFill="1" applyBorder="1" applyAlignment="1">
      <alignment horizontal="center" vertical="center"/>
    </xf>
    <xf numFmtId="1" fontId="32" fillId="0" borderId="23" xfId="0" applyNumberFormat="1" applyFont="1" applyFill="1" applyBorder="1" applyAlignment="1">
      <alignment horizontal="center" vertical="center"/>
    </xf>
    <xf numFmtId="165" fontId="32" fillId="0" borderId="23" xfId="0" applyNumberFormat="1" applyFont="1" applyFill="1" applyBorder="1" applyAlignment="1">
      <alignment horizontal="center" vertical="center"/>
    </xf>
    <xf numFmtId="165" fontId="32" fillId="0" borderId="22" xfId="0" applyNumberFormat="1" applyFont="1" applyFill="1" applyBorder="1" applyAlignment="1">
      <alignment horizontal="center" vertical="center"/>
    </xf>
    <xf numFmtId="165" fontId="32" fillId="0" borderId="6" xfId="0" applyNumberFormat="1" applyFont="1" applyFill="1" applyBorder="1" applyAlignment="1">
      <alignment horizontal="center" vertical="center"/>
    </xf>
    <xf numFmtId="165" fontId="18" fillId="15" borderId="0" xfId="0" applyNumberFormat="1" applyFont="1" applyFill="1" applyBorder="1" applyAlignment="1">
      <alignment vertical="center"/>
    </xf>
    <xf numFmtId="0" fontId="7" fillId="0" borderId="56" xfId="0" applyFont="1" applyFill="1" applyBorder="1" applyAlignment="1">
      <alignment horizontal="center" vertical="center"/>
    </xf>
    <xf numFmtId="0" fontId="7" fillId="0" borderId="29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0" fontId="7" fillId="0" borderId="57" xfId="0" applyFont="1" applyFill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101" fillId="0" borderId="0" xfId="0" applyFont="1" applyAlignment="1">
      <alignment vertical="center"/>
    </xf>
    <xf numFmtId="0" fontId="104" fillId="0" borderId="0" xfId="0" applyFont="1" applyBorder="1" applyAlignment="1">
      <alignment vertical="center"/>
    </xf>
    <xf numFmtId="0" fontId="105" fillId="0" borderId="0" xfId="0" applyFont="1" applyFill="1" applyBorder="1" applyAlignment="1">
      <alignment horizontal="left" vertical="center"/>
    </xf>
    <xf numFmtId="2" fontId="101" fillId="0" borderId="0" xfId="0" applyNumberFormat="1" applyFont="1" applyFill="1" applyAlignment="1">
      <alignment vertical="center"/>
    </xf>
    <xf numFmtId="165" fontId="49" fillId="15" borderId="0" xfId="0" applyNumberFormat="1" applyFont="1" applyFill="1" applyBorder="1" applyAlignment="1">
      <alignment horizontal="center" vertical="center"/>
    </xf>
    <xf numFmtId="4" fontId="54" fillId="0" borderId="6" xfId="0" applyNumberFormat="1" applyFont="1" applyFill="1" applyBorder="1" applyAlignment="1">
      <alignment horizontal="center" vertical="center" wrapText="1"/>
    </xf>
    <xf numFmtId="0" fontId="148" fillId="0" borderId="3" xfId="0" applyFont="1" applyFill="1" applyBorder="1" applyAlignment="1">
      <alignment horizontal="center" vertical="center"/>
    </xf>
    <xf numFmtId="0" fontId="53" fillId="15" borderId="6" xfId="0" applyFont="1" applyFill="1" applyBorder="1" applyAlignment="1">
      <alignment vertical="center"/>
    </xf>
    <xf numFmtId="0" fontId="90" fillId="15" borderId="65" xfId="0" applyFont="1" applyFill="1" applyBorder="1" applyAlignment="1">
      <alignment horizontal="center" vertical="center"/>
    </xf>
    <xf numFmtId="165" fontId="82" fillId="15" borderId="13" xfId="0" applyNumberFormat="1" applyFont="1" applyFill="1" applyBorder="1" applyAlignment="1">
      <alignment horizontal="center" vertical="center"/>
    </xf>
    <xf numFmtId="0" fontId="92" fillId="0" borderId="6" xfId="0" applyFont="1" applyFill="1" applyBorder="1" applyAlignment="1">
      <alignment horizontal="left" vertical="center"/>
    </xf>
    <xf numFmtId="165" fontId="32" fillId="0" borderId="27" xfId="0" applyNumberFormat="1" applyFont="1" applyFill="1" applyBorder="1" applyAlignment="1">
      <alignment horizontal="center" vertical="center"/>
    </xf>
    <xf numFmtId="2" fontId="90" fillId="15" borderId="47" xfId="0" applyNumberFormat="1" applyFont="1" applyFill="1" applyBorder="1" applyAlignment="1">
      <alignment horizontal="center" vertical="center"/>
    </xf>
    <xf numFmtId="0" fontId="53" fillId="15" borderId="23" xfId="0" applyFont="1" applyFill="1" applyBorder="1" applyAlignment="1">
      <alignment vertical="center"/>
    </xf>
    <xf numFmtId="0" fontId="32" fillId="0" borderId="22" xfId="0" applyFont="1" applyFill="1" applyBorder="1" applyAlignment="1">
      <alignment vertical="center"/>
    </xf>
    <xf numFmtId="0" fontId="92" fillId="0" borderId="21" xfId="0" applyFont="1" applyFill="1" applyBorder="1" applyAlignment="1">
      <alignment vertical="center"/>
    </xf>
    <xf numFmtId="1" fontId="32" fillId="0" borderId="16" xfId="0" applyNumberFormat="1" applyFont="1" applyFill="1" applyBorder="1" applyAlignment="1">
      <alignment horizontal="center" vertical="center"/>
    </xf>
    <xf numFmtId="165" fontId="32" fillId="0" borderId="20" xfId="0" applyNumberFormat="1" applyFont="1" applyFill="1" applyBorder="1" applyAlignment="1">
      <alignment horizontal="center" vertical="center"/>
    </xf>
    <xf numFmtId="3" fontId="106" fillId="0" borderId="45" xfId="0" applyNumberFormat="1" applyFont="1" applyFill="1" applyBorder="1" applyAlignment="1">
      <alignment horizontal="center" vertical="center"/>
    </xf>
    <xf numFmtId="3" fontId="106" fillId="0" borderId="53" xfId="0" applyNumberFormat="1" applyFont="1" applyFill="1" applyBorder="1" applyAlignment="1">
      <alignment horizontal="center" vertical="center"/>
    </xf>
    <xf numFmtId="1" fontId="91" fillId="0" borderId="22" xfId="0" applyNumberFormat="1" applyFont="1" applyFill="1" applyBorder="1" applyAlignment="1">
      <alignment horizontal="center" vertical="center"/>
    </xf>
    <xf numFmtId="165" fontId="32" fillId="0" borderId="3" xfId="0" applyNumberFormat="1" applyFont="1" applyFill="1" applyBorder="1" applyAlignment="1">
      <alignment horizontal="center" vertical="center"/>
    </xf>
    <xf numFmtId="3" fontId="106" fillId="0" borderId="26" xfId="0" applyNumberFormat="1" applyFont="1" applyFill="1" applyBorder="1" applyAlignment="1">
      <alignment horizontal="center" vertical="center"/>
    </xf>
    <xf numFmtId="3" fontId="106" fillId="0" borderId="40" xfId="0" applyNumberFormat="1" applyFont="1" applyFill="1" applyBorder="1" applyAlignment="1">
      <alignment horizontal="center" vertical="center"/>
    </xf>
    <xf numFmtId="165" fontId="32" fillId="0" borderId="13" xfId="0" applyNumberFormat="1" applyFont="1" applyFill="1" applyBorder="1" applyAlignment="1">
      <alignment horizontal="center" vertical="center"/>
    </xf>
    <xf numFmtId="3" fontId="106" fillId="0" borderId="38" xfId="0" applyNumberFormat="1" applyFont="1" applyFill="1" applyBorder="1" applyAlignment="1">
      <alignment horizontal="center" vertical="center"/>
    </xf>
    <xf numFmtId="3" fontId="106" fillId="0" borderId="71" xfId="0" applyNumberFormat="1" applyFont="1" applyFill="1" applyBorder="1" applyAlignment="1">
      <alignment horizontal="center" vertical="center"/>
    </xf>
    <xf numFmtId="0" fontId="53" fillId="15" borderId="3" xfId="0" applyFont="1" applyFill="1" applyBorder="1" applyAlignment="1">
      <alignment horizontal="center" vertical="center"/>
    </xf>
    <xf numFmtId="0" fontId="53" fillId="15" borderId="3" xfId="0" applyFont="1" applyFill="1" applyBorder="1" applyAlignment="1">
      <alignment horizontal="center" vertical="center" wrapText="1"/>
    </xf>
    <xf numFmtId="0" fontId="54" fillId="0" borderId="3" xfId="0" applyFont="1" applyFill="1" applyBorder="1" applyAlignment="1">
      <alignment horizontal="left" vertical="center" wrapText="1"/>
    </xf>
    <xf numFmtId="165" fontId="148" fillId="0" borderId="36" xfId="0" applyNumberFormat="1" applyFont="1" applyFill="1" applyBorder="1" applyAlignment="1">
      <alignment horizontal="center" vertical="center"/>
    </xf>
    <xf numFmtId="165" fontId="34" fillId="0" borderId="4" xfId="0" applyNumberFormat="1" applyFont="1" applyFill="1" applyBorder="1" applyAlignment="1" applyProtection="1">
      <alignment horizontal="center" vertical="center"/>
      <protection locked="0"/>
    </xf>
    <xf numFmtId="2" fontId="33" fillId="14" borderId="34" xfId="0" applyNumberFormat="1" applyFont="1" applyFill="1" applyBorder="1" applyAlignment="1" applyProtection="1">
      <alignment horizontal="center" vertical="center"/>
      <protection locked="0"/>
    </xf>
    <xf numFmtId="165" fontId="34" fillId="0" borderId="33" xfId="0" applyNumberFormat="1" applyFont="1" applyFill="1" applyBorder="1" applyAlignment="1" applyProtection="1">
      <alignment horizontal="center" vertical="center"/>
      <protection locked="0"/>
    </xf>
    <xf numFmtId="2" fontId="33" fillId="17" borderId="32" xfId="0" applyNumberFormat="1" applyFont="1" applyFill="1" applyBorder="1" applyAlignment="1" applyProtection="1">
      <alignment horizontal="center" vertical="center"/>
      <protection locked="0"/>
    </xf>
    <xf numFmtId="165" fontId="34" fillId="14" borderId="34" xfId="0" applyNumberFormat="1" applyFont="1" applyFill="1" applyBorder="1" applyAlignment="1" applyProtection="1">
      <alignment horizontal="center" vertical="center"/>
      <protection locked="0"/>
    </xf>
    <xf numFmtId="165" fontId="34" fillId="0" borderId="39" xfId="0" applyNumberFormat="1" applyFont="1" applyFill="1" applyBorder="1" applyAlignment="1" applyProtection="1">
      <alignment horizontal="center" vertical="center"/>
      <protection locked="0"/>
    </xf>
    <xf numFmtId="165" fontId="34" fillId="17" borderId="39" xfId="0" applyNumberFormat="1" applyFont="1" applyFill="1" applyBorder="1" applyAlignment="1" applyProtection="1">
      <alignment horizontal="center" vertical="center"/>
      <protection locked="0"/>
    </xf>
    <xf numFmtId="165" fontId="33" fillId="13" borderId="34" xfId="0" applyNumberFormat="1" applyFont="1" applyFill="1" applyBorder="1" applyAlignment="1" applyProtection="1">
      <alignment horizontal="center" vertical="center"/>
      <protection locked="0"/>
    </xf>
    <xf numFmtId="165" fontId="33" fillId="18" borderId="33" xfId="0" applyNumberFormat="1" applyFont="1" applyFill="1" applyBorder="1" applyAlignment="1" applyProtection="1">
      <alignment horizontal="center" vertical="center"/>
      <protection locked="0"/>
    </xf>
    <xf numFmtId="165" fontId="133" fillId="13" borderId="17" xfId="0" applyNumberFormat="1" applyFont="1" applyFill="1" applyBorder="1" applyAlignment="1" applyProtection="1">
      <alignment horizontal="center" vertical="center"/>
      <protection locked="0"/>
    </xf>
    <xf numFmtId="165" fontId="133" fillId="0" borderId="39" xfId="0" applyNumberFormat="1" applyFont="1" applyFill="1" applyBorder="1" applyAlignment="1" applyProtection="1">
      <alignment horizontal="center" vertical="center"/>
      <protection locked="0"/>
    </xf>
    <xf numFmtId="165" fontId="133" fillId="18" borderId="19" xfId="0" applyNumberFormat="1" applyFont="1" applyFill="1" applyBorder="1" applyAlignment="1" applyProtection="1">
      <alignment horizontal="center" vertical="center"/>
      <protection locked="0"/>
    </xf>
    <xf numFmtId="165" fontId="154" fillId="16" borderId="36" xfId="0" applyNumberFormat="1" applyFont="1" applyFill="1" applyBorder="1" applyAlignment="1" applyProtection="1">
      <alignment horizontal="right" vertical="center"/>
      <protection locked="0"/>
    </xf>
    <xf numFmtId="165" fontId="154" fillId="4" borderId="25" xfId="0" applyNumberFormat="1" applyFont="1" applyFill="1" applyBorder="1" applyAlignment="1" applyProtection="1">
      <alignment horizontal="right" vertical="center"/>
      <protection locked="0"/>
    </xf>
    <xf numFmtId="165" fontId="154" fillId="10" borderId="51" xfId="0" applyNumberFormat="1" applyFont="1" applyFill="1" applyBorder="1" applyAlignment="1" applyProtection="1">
      <alignment horizontal="right" vertical="center"/>
      <protection locked="0"/>
    </xf>
    <xf numFmtId="165" fontId="132" fillId="4" borderId="2" xfId="0" applyNumberFormat="1" applyFont="1" applyFill="1" applyBorder="1" applyAlignment="1" applyProtection="1">
      <alignment horizontal="left" vertical="center"/>
      <protection locked="0"/>
    </xf>
    <xf numFmtId="165" fontId="132" fillId="16" borderId="36" xfId="0" applyNumberFormat="1" applyFont="1" applyFill="1" applyBorder="1" applyAlignment="1" applyProtection="1">
      <alignment horizontal="left" vertical="center"/>
      <protection locked="0"/>
    </xf>
    <xf numFmtId="165" fontId="132" fillId="4" borderId="24" xfId="0" applyNumberFormat="1" applyFont="1" applyFill="1" applyBorder="1" applyAlignment="1" applyProtection="1">
      <alignment horizontal="left" vertical="center"/>
      <protection locked="0"/>
    </xf>
    <xf numFmtId="165" fontId="132" fillId="10" borderId="24" xfId="0" applyNumberFormat="1" applyFont="1" applyFill="1" applyBorder="1" applyAlignment="1" applyProtection="1">
      <alignment horizontal="left" vertical="center"/>
      <protection locked="0"/>
    </xf>
    <xf numFmtId="165" fontId="154" fillId="14" borderId="36" xfId="0" applyNumberFormat="1" applyFont="1" applyFill="1" applyBorder="1" applyAlignment="1" applyProtection="1">
      <alignment horizontal="right" vertical="center"/>
      <protection locked="0"/>
    </xf>
    <xf numFmtId="165" fontId="132" fillId="4" borderId="25" xfId="0" applyNumberFormat="1" applyFont="1" applyFill="1" applyBorder="1" applyAlignment="1" applyProtection="1">
      <alignment horizontal="right" vertical="center"/>
      <protection locked="0"/>
    </xf>
    <xf numFmtId="165" fontId="154" fillId="17" borderId="51" xfId="0" applyNumberFormat="1" applyFont="1" applyFill="1" applyBorder="1" applyAlignment="1" applyProtection="1">
      <alignment horizontal="right" vertical="center"/>
      <protection locked="0"/>
    </xf>
    <xf numFmtId="165" fontId="132" fillId="14" borderId="36" xfId="0" applyNumberFormat="1" applyFont="1" applyFill="1" applyBorder="1" applyAlignment="1" applyProtection="1">
      <alignment horizontal="left" vertical="center"/>
      <protection locked="0"/>
    </xf>
    <xf numFmtId="165" fontId="132" fillId="17" borderId="24" xfId="0" applyNumberFormat="1" applyFont="1" applyFill="1" applyBorder="1" applyAlignment="1" applyProtection="1">
      <alignment horizontal="left" vertical="center"/>
      <protection locked="0"/>
    </xf>
    <xf numFmtId="165" fontId="154" fillId="13" borderId="36" xfId="0" applyNumberFormat="1" applyFont="1" applyFill="1" applyBorder="1" applyAlignment="1" applyProtection="1">
      <alignment horizontal="right" vertical="center"/>
      <protection locked="0"/>
    </xf>
    <xf numFmtId="165" fontId="154" fillId="18" borderId="25" xfId="0" applyNumberFormat="1" applyFont="1" applyFill="1" applyBorder="1" applyAlignment="1" applyProtection="1">
      <alignment horizontal="right" vertical="center"/>
      <protection locked="0"/>
    </xf>
    <xf numFmtId="165" fontId="132" fillId="13" borderId="5" xfId="0" applyNumberFormat="1" applyFont="1" applyFill="1" applyBorder="1" applyAlignment="1" applyProtection="1">
      <alignment horizontal="left" vertical="center"/>
      <protection locked="0"/>
    </xf>
    <xf numFmtId="165" fontId="133" fillId="4" borderId="24" xfId="0" applyNumberFormat="1" applyFont="1" applyFill="1" applyBorder="1" applyAlignment="1" applyProtection="1">
      <alignment horizontal="left" vertical="center"/>
      <protection locked="0"/>
    </xf>
    <xf numFmtId="165" fontId="133" fillId="18" borderId="30" xfId="0" applyNumberFormat="1" applyFont="1" applyFill="1" applyBorder="1" applyAlignment="1" applyProtection="1">
      <alignment horizontal="left" vertical="center"/>
      <protection locked="0"/>
    </xf>
    <xf numFmtId="4" fontId="107" fillId="0" borderId="6" xfId="0" applyNumberFormat="1" applyFont="1" applyFill="1" applyBorder="1" applyAlignment="1" applyProtection="1">
      <alignment horizontal="center" vertical="center"/>
      <protection locked="0"/>
    </xf>
    <xf numFmtId="4" fontId="107" fillId="14" borderId="26" xfId="0" applyNumberFormat="1" applyFont="1" applyFill="1" applyBorder="1" applyAlignment="1" applyProtection="1">
      <alignment horizontal="center" vertical="center"/>
      <protection locked="0"/>
    </xf>
    <xf numFmtId="4" fontId="107" fillId="0" borderId="27" xfId="0" applyNumberFormat="1" applyFont="1" applyFill="1" applyBorder="1" applyAlignment="1" applyProtection="1">
      <alignment horizontal="center" vertical="center"/>
      <protection locked="0"/>
    </xf>
    <xf numFmtId="4" fontId="33" fillId="17" borderId="47" xfId="0" applyNumberFormat="1" applyFont="1" applyFill="1" applyBorder="1" applyAlignment="1" applyProtection="1">
      <alignment horizontal="center" vertical="center"/>
      <protection locked="0"/>
    </xf>
    <xf numFmtId="4" fontId="134" fillId="14" borderId="26" xfId="0" applyNumberFormat="1" applyFont="1" applyFill="1" applyBorder="1" applyAlignment="1" applyProtection="1">
      <alignment horizontal="center" vertical="center"/>
      <protection locked="0"/>
    </xf>
    <xf numFmtId="4" fontId="134" fillId="17" borderId="0" xfId="0" applyNumberFormat="1" applyFont="1" applyFill="1" applyBorder="1" applyAlignment="1" applyProtection="1">
      <alignment horizontal="center" vertical="center"/>
      <protection locked="0"/>
    </xf>
    <xf numFmtId="4" fontId="107" fillId="13" borderId="26" xfId="0" applyNumberFormat="1" applyFont="1" applyFill="1" applyBorder="1" applyAlignment="1" applyProtection="1">
      <alignment horizontal="center" vertical="center"/>
      <protection locked="0"/>
    </xf>
    <xf numFmtId="4" fontId="33" fillId="18" borderId="27" xfId="0" applyNumberFormat="1" applyFont="1" applyFill="1" applyBorder="1" applyAlignment="1" applyProtection="1">
      <alignment horizontal="center" vertical="center"/>
      <protection locked="0"/>
    </xf>
    <xf numFmtId="165" fontId="107" fillId="0" borderId="6" xfId="0" applyNumberFormat="1" applyFont="1" applyFill="1" applyBorder="1" applyAlignment="1" applyProtection="1">
      <alignment horizontal="center" vertical="center"/>
      <protection locked="0"/>
    </xf>
    <xf numFmtId="165" fontId="155" fillId="16" borderId="26" xfId="0" applyNumberFormat="1" applyFont="1" applyFill="1" applyBorder="1" applyAlignment="1" applyProtection="1">
      <alignment horizontal="center" vertical="center"/>
      <protection locked="0"/>
    </xf>
    <xf numFmtId="165" fontId="155" fillId="0" borderId="0" xfId="0" applyNumberFormat="1" applyFont="1" applyFill="1" applyBorder="1" applyAlignment="1" applyProtection="1">
      <alignment horizontal="center" vertical="center"/>
      <protection locked="0"/>
    </xf>
    <xf numFmtId="165" fontId="155" fillId="10" borderId="0" xfId="0" applyNumberFormat="1" applyFont="1" applyFill="1" applyBorder="1" applyAlignment="1" applyProtection="1">
      <alignment horizontal="center" vertical="center"/>
      <protection locked="0"/>
    </xf>
    <xf numFmtId="165" fontId="107" fillId="14" borderId="26" xfId="0" applyNumberFormat="1" applyFont="1" applyFill="1" applyBorder="1" applyAlignment="1" applyProtection="1">
      <alignment horizontal="center" vertical="center"/>
      <protection locked="0"/>
    </xf>
    <xf numFmtId="165" fontId="107" fillId="0" borderId="27" xfId="0" applyNumberFormat="1" applyFont="1" applyFill="1" applyBorder="1" applyAlignment="1" applyProtection="1">
      <alignment horizontal="center" vertical="center"/>
      <protection locked="0"/>
    </xf>
    <xf numFmtId="165" fontId="33" fillId="17" borderId="47" xfId="0" applyNumberFormat="1" applyFont="1" applyFill="1" applyBorder="1" applyAlignment="1" applyProtection="1">
      <alignment horizontal="center" vertical="center"/>
      <protection locked="0"/>
    </xf>
    <xf numFmtId="165" fontId="155" fillId="14" borderId="26" xfId="0" applyNumberFormat="1" applyFont="1" applyFill="1" applyBorder="1" applyAlignment="1" applyProtection="1">
      <alignment horizontal="center" vertical="center"/>
      <protection locked="0"/>
    </xf>
    <xf numFmtId="165" fontId="155" fillId="17" borderId="0" xfId="0" applyNumberFormat="1" applyFont="1" applyFill="1" applyBorder="1" applyAlignment="1" applyProtection="1">
      <alignment horizontal="center" vertical="center"/>
      <protection locked="0"/>
    </xf>
    <xf numFmtId="165" fontId="107" fillId="13" borderId="26" xfId="0" applyNumberFormat="1" applyFont="1" applyFill="1" applyBorder="1" applyAlignment="1" applyProtection="1">
      <alignment horizontal="center" vertical="center"/>
      <protection locked="0"/>
    </xf>
    <xf numFmtId="165" fontId="33" fillId="18" borderId="27" xfId="0" applyNumberFormat="1" applyFont="1" applyFill="1" applyBorder="1" applyAlignment="1" applyProtection="1">
      <alignment horizontal="center" vertical="center"/>
      <protection locked="0"/>
    </xf>
    <xf numFmtId="165" fontId="155" fillId="13" borderId="3" xfId="0" applyNumberFormat="1" applyFont="1" applyFill="1" applyBorder="1" applyAlignment="1" applyProtection="1">
      <alignment horizontal="center" vertical="center"/>
      <protection locked="0"/>
    </xf>
    <xf numFmtId="165" fontId="155" fillId="18" borderId="31" xfId="0" applyNumberFormat="1" applyFont="1" applyFill="1" applyBorder="1" applyAlignment="1" applyProtection="1">
      <alignment horizontal="center" vertical="center"/>
      <protection locked="0"/>
    </xf>
    <xf numFmtId="169" fontId="107" fillId="0" borderId="6" xfId="0" applyNumberFormat="1" applyFont="1" applyFill="1" applyBorder="1" applyAlignment="1" applyProtection="1">
      <alignment horizontal="center" vertical="center"/>
      <protection locked="0"/>
    </xf>
    <xf numFmtId="169" fontId="155" fillId="16" borderId="26" xfId="0" applyNumberFormat="1" applyFont="1" applyFill="1" applyBorder="1" applyAlignment="1" applyProtection="1">
      <alignment horizontal="center" vertical="center"/>
      <protection locked="0"/>
    </xf>
    <xf numFmtId="169" fontId="155" fillId="0" borderId="0" xfId="0" applyNumberFormat="1" applyFont="1" applyFill="1" applyBorder="1" applyAlignment="1" applyProtection="1">
      <alignment horizontal="center" vertical="center"/>
      <protection locked="0"/>
    </xf>
    <xf numFmtId="169" fontId="155" fillId="10" borderId="0" xfId="0" applyNumberFormat="1" applyFont="1" applyFill="1" applyBorder="1" applyAlignment="1" applyProtection="1">
      <alignment horizontal="center" vertical="center"/>
      <protection locked="0"/>
    </xf>
    <xf numFmtId="169" fontId="107" fillId="14" borderId="26" xfId="0" applyNumberFormat="1" applyFont="1" applyFill="1" applyBorder="1" applyAlignment="1" applyProtection="1">
      <alignment horizontal="center" vertical="center"/>
      <protection locked="0"/>
    </xf>
    <xf numFmtId="169" fontId="107" fillId="0" borderId="27" xfId="0" applyNumberFormat="1" applyFont="1" applyFill="1" applyBorder="1" applyAlignment="1" applyProtection="1">
      <alignment horizontal="center" vertical="center"/>
      <protection locked="0"/>
    </xf>
    <xf numFmtId="169" fontId="33" fillId="17" borderId="47" xfId="0" applyNumberFormat="1" applyFont="1" applyFill="1" applyBorder="1" applyAlignment="1" applyProtection="1">
      <alignment horizontal="center" vertical="center"/>
      <protection locked="0"/>
    </xf>
    <xf numFmtId="169" fontId="155" fillId="14" borderId="26" xfId="0" applyNumberFormat="1" applyFont="1" applyFill="1" applyBorder="1" applyAlignment="1" applyProtection="1">
      <alignment horizontal="center" vertical="center"/>
      <protection locked="0"/>
    </xf>
    <xf numFmtId="169" fontId="155" fillId="17" borderId="0" xfId="0" applyNumberFormat="1" applyFont="1" applyFill="1" applyBorder="1" applyAlignment="1" applyProtection="1">
      <alignment horizontal="center" vertical="center"/>
      <protection locked="0"/>
    </xf>
    <xf numFmtId="169" fontId="107" fillId="13" borderId="26" xfId="0" applyNumberFormat="1" applyFont="1" applyFill="1" applyBorder="1" applyAlignment="1" applyProtection="1">
      <alignment horizontal="center" vertical="center"/>
      <protection locked="0"/>
    </xf>
    <xf numFmtId="169" fontId="33" fillId="18" borderId="27" xfId="0" applyNumberFormat="1" applyFont="1" applyFill="1" applyBorder="1" applyAlignment="1" applyProtection="1">
      <alignment horizontal="center" vertical="center"/>
      <protection locked="0"/>
    </xf>
    <xf numFmtId="169" fontId="155" fillId="13" borderId="3" xfId="0" applyNumberFormat="1" applyFont="1" applyFill="1" applyBorder="1" applyAlignment="1" applyProtection="1">
      <alignment horizontal="center" vertical="center"/>
      <protection locked="0"/>
    </xf>
    <xf numFmtId="169" fontId="155" fillId="18" borderId="31" xfId="0" applyNumberFormat="1" applyFont="1" applyFill="1" applyBorder="1" applyAlignment="1" applyProtection="1">
      <alignment horizontal="center" vertical="center"/>
      <protection locked="0"/>
    </xf>
    <xf numFmtId="4" fontId="134" fillId="14" borderId="34" xfId="0" applyNumberFormat="1" applyFont="1" applyFill="1" applyBorder="1" applyAlignment="1">
      <alignment horizontal="center" vertical="center"/>
    </xf>
    <xf numFmtId="3" fontId="134" fillId="0" borderId="39" xfId="0" applyNumberFormat="1" applyFont="1" applyFill="1" applyBorder="1" applyAlignment="1">
      <alignment horizontal="center" vertical="center"/>
    </xf>
    <xf numFmtId="4" fontId="134" fillId="17" borderId="4" xfId="0" applyNumberFormat="1" applyFont="1" applyFill="1" applyBorder="1" applyAlignment="1">
      <alignment horizontal="center" vertical="center"/>
    </xf>
    <xf numFmtId="3" fontId="49" fillId="16" borderId="34" xfId="0" applyNumberFormat="1" applyFont="1" applyFill="1" applyBorder="1" applyAlignment="1">
      <alignment horizontal="center" vertical="center"/>
    </xf>
    <xf numFmtId="3" fontId="49" fillId="0" borderId="33" xfId="0" applyNumberFormat="1" applyFont="1" applyFill="1" applyBorder="1" applyAlignment="1">
      <alignment horizontal="center" vertical="center"/>
    </xf>
    <xf numFmtId="3" fontId="34" fillId="10" borderId="32" xfId="0" applyNumberFormat="1" applyFont="1" applyFill="1" applyBorder="1" applyAlignment="1">
      <alignment horizontal="center" vertical="center"/>
    </xf>
    <xf numFmtId="3" fontId="108" fillId="0" borderId="4" xfId="0" applyNumberFormat="1" applyFont="1" applyFill="1" applyBorder="1" applyAlignment="1">
      <alignment horizontal="center" vertical="center"/>
    </xf>
    <xf numFmtId="3" fontId="109" fillId="14" borderId="34" xfId="0" applyNumberFormat="1" applyFont="1" applyFill="1" applyBorder="1" applyAlignment="1">
      <alignment horizontal="center" vertical="center"/>
    </xf>
    <xf numFmtId="3" fontId="109" fillId="0" borderId="33" xfId="0" applyNumberFormat="1" applyFont="1" applyFill="1" applyBorder="1" applyAlignment="1">
      <alignment horizontal="center" vertical="center"/>
    </xf>
    <xf numFmtId="3" fontId="49" fillId="17" borderId="32" xfId="0" applyNumberFormat="1" applyFont="1" applyFill="1" applyBorder="1" applyAlignment="1">
      <alignment horizontal="center" vertical="center"/>
    </xf>
    <xf numFmtId="3" fontId="109" fillId="0" borderId="4" xfId="0" applyNumberFormat="1" applyFont="1" applyFill="1" applyBorder="1" applyAlignment="1">
      <alignment horizontal="center" vertical="center"/>
    </xf>
    <xf numFmtId="3" fontId="109" fillId="13" borderId="34" xfId="0" applyNumberFormat="1" applyFont="1" applyFill="1" applyBorder="1" applyAlignment="1">
      <alignment horizontal="center" vertical="center"/>
    </xf>
    <xf numFmtId="3" fontId="49" fillId="18" borderId="33" xfId="0" applyNumberFormat="1" applyFont="1" applyFill="1" applyBorder="1" applyAlignment="1">
      <alignment horizontal="center" vertical="center"/>
    </xf>
    <xf numFmtId="49" fontId="32" fillId="0" borderId="0" xfId="0" applyNumberFormat="1" applyFont="1" applyFill="1" applyBorder="1" applyAlignment="1" applyProtection="1">
      <alignment vertical="center"/>
      <protection locked="0"/>
    </xf>
    <xf numFmtId="0" fontId="82" fillId="15" borderId="47" xfId="0" applyFont="1" applyFill="1" applyBorder="1" applyAlignment="1">
      <alignment horizontal="center" vertical="center"/>
    </xf>
    <xf numFmtId="1" fontId="90" fillId="15" borderId="6" xfId="0" applyNumberFormat="1" applyFont="1" applyFill="1" applyBorder="1" applyAlignment="1">
      <alignment horizontal="center" vertical="center"/>
    </xf>
    <xf numFmtId="165" fontId="91" fillId="15" borderId="6" xfId="0" applyNumberFormat="1" applyFont="1" applyFill="1" applyBorder="1" applyAlignment="1">
      <alignment horizontal="center" vertical="center"/>
    </xf>
    <xf numFmtId="0" fontId="49" fillId="0" borderId="5" xfId="0" applyFont="1" applyFill="1" applyBorder="1" applyAlignment="1">
      <alignment vertical="center"/>
    </xf>
    <xf numFmtId="165" fontId="49" fillId="0" borderId="36" xfId="0" applyNumberFormat="1" applyFont="1" applyFill="1" applyBorder="1" applyAlignment="1">
      <alignment horizontal="center" vertical="center"/>
    </xf>
    <xf numFmtId="165" fontId="49" fillId="0" borderId="25" xfId="0" applyNumberFormat="1" applyFont="1" applyFill="1" applyBorder="1" applyAlignment="1">
      <alignment horizontal="center" vertical="center"/>
    </xf>
    <xf numFmtId="0" fontId="49" fillId="0" borderId="25" xfId="0" applyFont="1" applyFill="1" applyBorder="1" applyAlignment="1">
      <alignment horizontal="center" vertical="center"/>
    </xf>
    <xf numFmtId="1" fontId="134" fillId="0" borderId="25" xfId="0" applyNumberFormat="1" applyFont="1" applyFill="1" applyBorder="1" applyAlignment="1">
      <alignment horizontal="center" vertical="center"/>
    </xf>
    <xf numFmtId="2" fontId="134" fillId="0" borderId="25" xfId="0" applyNumberFormat="1" applyFont="1" applyFill="1" applyBorder="1" applyAlignment="1">
      <alignment horizontal="center" vertical="center"/>
    </xf>
    <xf numFmtId="1" fontId="49" fillId="0" borderId="25" xfId="0" applyNumberFormat="1" applyFont="1" applyFill="1" applyBorder="1" applyAlignment="1">
      <alignment horizontal="center" vertical="center"/>
    </xf>
    <xf numFmtId="2" fontId="49" fillId="0" borderId="37" xfId="0" applyNumberFormat="1" applyFont="1" applyFill="1" applyBorder="1" applyAlignment="1">
      <alignment horizontal="center" vertical="center"/>
    </xf>
    <xf numFmtId="167" fontId="49" fillId="0" borderId="2" xfId="0" applyNumberFormat="1" applyFont="1" applyFill="1" applyBorder="1" applyAlignment="1">
      <alignment horizontal="center" vertical="center"/>
    </xf>
    <xf numFmtId="164" fontId="156" fillId="0" borderId="0" xfId="1" applyFont="1" applyFill="1" applyBorder="1" applyAlignment="1">
      <alignment horizontal="left"/>
    </xf>
    <xf numFmtId="164" fontId="119" fillId="0" borderId="0" xfId="1" applyFont="1" applyBorder="1" applyAlignment="1">
      <alignment horizontal="left"/>
    </xf>
    <xf numFmtId="165" fontId="32" fillId="0" borderId="10" xfId="0" applyNumberFormat="1" applyFont="1" applyFill="1" applyBorder="1" applyAlignment="1">
      <alignment horizontal="center" vertical="center"/>
    </xf>
    <xf numFmtId="1" fontId="95" fillId="0" borderId="0" xfId="0" applyNumberFormat="1" applyFont="1" applyFill="1" applyBorder="1" applyAlignment="1" applyProtection="1">
      <alignment horizontal="center" vertical="center"/>
      <protection locked="0"/>
    </xf>
    <xf numFmtId="2" fontId="119" fillId="0" borderId="0" xfId="0" applyNumberFormat="1" applyFont="1" applyFill="1"/>
    <xf numFmtId="169" fontId="100" fillId="4" borderId="29" xfId="0" applyNumberFormat="1" applyFont="1" applyFill="1" applyBorder="1" applyAlignment="1">
      <alignment horizontal="center" vertical="center"/>
    </xf>
    <xf numFmtId="165" fontId="100" fillId="0" borderId="29" xfId="0" applyNumberFormat="1" applyFont="1" applyFill="1" applyBorder="1" applyAlignment="1">
      <alignment horizontal="center" vertical="center"/>
    </xf>
    <xf numFmtId="165" fontId="100" fillId="0" borderId="56" xfId="2" applyNumberFormat="1" applyFont="1" applyFill="1" applyBorder="1" applyAlignment="1">
      <alignment horizontal="center" vertical="center"/>
    </xf>
    <xf numFmtId="2" fontId="100" fillId="4" borderId="29" xfId="0" applyNumberFormat="1" applyFont="1" applyFill="1" applyBorder="1" applyAlignment="1">
      <alignment horizontal="center" vertical="center"/>
    </xf>
    <xf numFmtId="0" fontId="93" fillId="0" borderId="47" xfId="0" applyFont="1" applyFill="1" applyBorder="1" applyAlignment="1">
      <alignment horizontal="center" vertical="center"/>
    </xf>
    <xf numFmtId="0" fontId="102" fillId="0" borderId="0" xfId="0" applyFont="1" applyFill="1" applyAlignment="1">
      <alignment horizontal="left" vertical="center" wrapText="1"/>
    </xf>
    <xf numFmtId="0" fontId="102" fillId="0" borderId="0" xfId="0" applyFont="1" applyFill="1" applyAlignment="1">
      <alignment horizontal="left" vertical="center"/>
    </xf>
    <xf numFmtId="0" fontId="101" fillId="0" borderId="0" xfId="0" applyFont="1" applyFill="1" applyAlignment="1">
      <alignment horizontal="left" vertical="center" wrapText="1"/>
    </xf>
    <xf numFmtId="2" fontId="53" fillId="4" borderId="2" xfId="0" applyNumberFormat="1" applyFont="1" applyFill="1" applyBorder="1" applyAlignment="1" applyProtection="1">
      <alignment horizontal="center" vertical="top" wrapText="1"/>
      <protection locked="0"/>
    </xf>
    <xf numFmtId="2" fontId="53" fillId="4" borderId="6" xfId="0" applyNumberFormat="1" applyFont="1" applyFill="1" applyBorder="1" applyAlignment="1" applyProtection="1">
      <alignment horizontal="center" vertical="top" wrapText="1"/>
      <protection locked="0"/>
    </xf>
    <xf numFmtId="0" fontId="78" fillId="0" borderId="0" xfId="0" applyFont="1" applyBorder="1" applyAlignment="1">
      <alignment horizontal="center"/>
    </xf>
    <xf numFmtId="0" fontId="18" fillId="15" borderId="6" xfId="0" applyFont="1" applyFill="1" applyBorder="1" applyAlignment="1">
      <alignment horizontal="center" vertical="center"/>
    </xf>
    <xf numFmtId="2" fontId="56" fillId="0" borderId="31" xfId="0" applyNumberFormat="1" applyFont="1" applyFill="1" applyBorder="1" applyAlignment="1">
      <alignment horizontal="center" vertical="center"/>
    </xf>
    <xf numFmtId="165" fontId="126" fillId="6" borderId="40" xfId="0" applyNumberFormat="1" applyFont="1" applyFill="1" applyBorder="1" applyAlignment="1" applyProtection="1">
      <alignment horizontal="center" vertical="center"/>
      <protection locked="0"/>
    </xf>
    <xf numFmtId="165" fontId="157" fillId="6" borderId="61" xfId="0" applyNumberFormat="1" applyFont="1" applyFill="1" applyBorder="1" applyAlignment="1" applyProtection="1">
      <alignment horizontal="center" vertical="center"/>
      <protection locked="0"/>
    </xf>
    <xf numFmtId="0" fontId="49" fillId="4" borderId="51" xfId="0" applyFont="1" applyFill="1" applyBorder="1" applyAlignment="1">
      <alignment horizontal="center" vertical="center"/>
    </xf>
    <xf numFmtId="0" fontId="49" fillId="4" borderId="46" xfId="0" applyFont="1" applyFill="1" applyBorder="1" applyAlignment="1">
      <alignment horizontal="center"/>
    </xf>
    <xf numFmtId="2" fontId="94" fillId="0" borderId="65" xfId="0" applyNumberFormat="1" applyFont="1" applyFill="1" applyBorder="1" applyAlignment="1">
      <alignment horizontal="center" vertical="center"/>
    </xf>
    <xf numFmtId="2" fontId="19" fillId="0" borderId="47" xfId="0" applyNumberFormat="1" applyFont="1" applyFill="1" applyBorder="1" applyAlignment="1">
      <alignment horizontal="center" vertical="center"/>
    </xf>
    <xf numFmtId="2" fontId="31" fillId="0" borderId="65" xfId="0" applyNumberFormat="1" applyFont="1" applyFill="1" applyBorder="1" applyAlignment="1">
      <alignment horizontal="center" vertical="center"/>
    </xf>
    <xf numFmtId="2" fontId="31" fillId="0" borderId="47" xfId="0" applyNumberFormat="1" applyFont="1" applyFill="1" applyBorder="1" applyAlignment="1">
      <alignment horizontal="center" vertical="center"/>
    </xf>
    <xf numFmtId="2" fontId="31" fillId="0" borderId="64" xfId="0" applyNumberFormat="1" applyFont="1" applyFill="1" applyBorder="1" applyAlignment="1">
      <alignment horizontal="center" vertical="center"/>
    </xf>
    <xf numFmtId="2" fontId="91" fillId="15" borderId="65" xfId="0" applyNumberFormat="1" applyFont="1" applyFill="1" applyBorder="1" applyAlignment="1">
      <alignment horizontal="center" vertical="center"/>
    </xf>
    <xf numFmtId="2" fontId="94" fillId="0" borderId="64" xfId="0" applyNumberFormat="1" applyFont="1" applyFill="1" applyBorder="1" applyAlignment="1">
      <alignment horizontal="center" vertical="center"/>
    </xf>
    <xf numFmtId="2" fontId="94" fillId="0" borderId="47" xfId="0" applyNumberFormat="1" applyFont="1" applyFill="1" applyBorder="1" applyAlignment="1">
      <alignment horizontal="center" vertical="center"/>
    </xf>
    <xf numFmtId="2" fontId="94" fillId="0" borderId="50" xfId="0" applyNumberFormat="1" applyFont="1" applyFill="1" applyBorder="1" applyAlignment="1">
      <alignment horizontal="center" vertical="center"/>
    </xf>
    <xf numFmtId="2" fontId="91" fillId="15" borderId="47" xfId="0" applyNumberFormat="1" applyFont="1" applyFill="1" applyBorder="1" applyAlignment="1">
      <alignment horizontal="center" vertical="center"/>
    </xf>
    <xf numFmtId="2" fontId="91" fillId="0" borderId="47" xfId="0" applyNumberFormat="1" applyFont="1" applyFill="1" applyBorder="1" applyAlignment="1">
      <alignment horizontal="center" vertical="center"/>
    </xf>
    <xf numFmtId="2" fontId="91" fillId="14" borderId="65" xfId="0" applyNumberFormat="1" applyFont="1" applyFill="1" applyBorder="1" applyAlignment="1">
      <alignment horizontal="center" vertical="center"/>
    </xf>
    <xf numFmtId="2" fontId="56" fillId="0" borderId="65" xfId="0" applyNumberFormat="1" applyFont="1" applyFill="1" applyBorder="1" applyAlignment="1">
      <alignment horizontal="center" vertical="center"/>
    </xf>
    <xf numFmtId="1" fontId="19" fillId="0" borderId="64" xfId="0" applyNumberFormat="1" applyFont="1" applyFill="1" applyBorder="1" applyAlignment="1">
      <alignment horizontal="center" vertical="center"/>
    </xf>
    <xf numFmtId="2" fontId="56" fillId="0" borderId="47" xfId="0" applyNumberFormat="1" applyFont="1" applyFill="1" applyBorder="1" applyAlignment="1">
      <alignment horizontal="center" vertical="center"/>
    </xf>
    <xf numFmtId="1" fontId="21" fillId="0" borderId="65" xfId="0" applyNumberFormat="1" applyFont="1" applyFill="1" applyBorder="1" applyAlignment="1">
      <alignment horizontal="center" vertical="center"/>
    </xf>
    <xf numFmtId="1" fontId="21" fillId="7" borderId="65" xfId="0" applyNumberFormat="1" applyFont="1" applyFill="1" applyBorder="1" applyAlignment="1">
      <alignment horizontal="center" vertical="center"/>
    </xf>
    <xf numFmtId="1" fontId="19" fillId="7" borderId="64" xfId="0" applyNumberFormat="1" applyFont="1" applyFill="1" applyBorder="1" applyAlignment="1">
      <alignment horizontal="center" vertical="center"/>
    </xf>
    <xf numFmtId="1" fontId="19" fillId="7" borderId="65" xfId="0" applyNumberFormat="1" applyFont="1" applyFill="1" applyBorder="1" applyAlignment="1">
      <alignment horizontal="center" vertical="center"/>
    </xf>
    <xf numFmtId="1" fontId="21" fillId="0" borderId="46" xfId="0" applyNumberFormat="1" applyFont="1" applyFill="1" applyBorder="1" applyAlignment="1">
      <alignment horizontal="center" vertical="center"/>
    </xf>
    <xf numFmtId="165" fontId="125" fillId="0" borderId="32" xfId="0" applyNumberFormat="1" applyFont="1" applyFill="1" applyBorder="1" applyAlignment="1" applyProtection="1">
      <alignment horizontal="center" vertical="center"/>
      <protection locked="0"/>
    </xf>
    <xf numFmtId="2" fontId="145" fillId="14" borderId="32" xfId="0" applyNumberFormat="1" applyFont="1" applyFill="1" applyBorder="1" applyAlignment="1" applyProtection="1">
      <alignment horizontal="center" vertical="center"/>
      <protection locked="0"/>
    </xf>
    <xf numFmtId="166" fontId="49" fillId="0" borderId="32" xfId="0" applyNumberFormat="1" applyFont="1" applyFill="1" applyBorder="1" applyAlignment="1">
      <alignment horizontal="center" vertical="center"/>
    </xf>
    <xf numFmtId="2" fontId="53" fillId="6" borderId="26" xfId="0" applyNumberFormat="1" applyFont="1" applyFill="1" applyBorder="1" applyAlignment="1">
      <alignment horizontal="center" vertical="top" wrapText="1"/>
    </xf>
    <xf numFmtId="165" fontId="33" fillId="6" borderId="26" xfId="0" applyNumberFormat="1" applyFont="1" applyFill="1" applyBorder="1" applyAlignment="1" applyProtection="1">
      <alignment horizontal="left" vertical="center" wrapText="1"/>
      <protection locked="0"/>
    </xf>
    <xf numFmtId="165" fontId="157" fillId="6" borderId="43" xfId="0" applyNumberFormat="1" applyFont="1" applyFill="1" applyBorder="1" applyAlignment="1" applyProtection="1">
      <alignment horizontal="center" vertical="center"/>
      <protection locked="0"/>
    </xf>
    <xf numFmtId="0" fontId="57" fillId="0" borderId="30" xfId="0" applyFont="1" applyFill="1" applyBorder="1" applyAlignment="1">
      <alignment horizontal="center" vertical="center"/>
    </xf>
    <xf numFmtId="0" fontId="60" fillId="0" borderId="30" xfId="0" applyFont="1" applyFill="1" applyBorder="1" applyAlignment="1">
      <alignment horizontal="center"/>
    </xf>
    <xf numFmtId="0" fontId="60" fillId="0" borderId="15" xfId="0" applyFont="1" applyFill="1" applyBorder="1" applyAlignment="1">
      <alignment horizontal="center"/>
    </xf>
    <xf numFmtId="0" fontId="60" fillId="0" borderId="55" xfId="0" applyFont="1" applyFill="1" applyBorder="1" applyAlignment="1">
      <alignment horizontal="center"/>
    </xf>
    <xf numFmtId="0" fontId="61" fillId="15" borderId="55" xfId="0" applyFont="1" applyFill="1" applyBorder="1" applyAlignment="1">
      <alignment horizontal="center" vertical="center"/>
    </xf>
    <xf numFmtId="0" fontId="60" fillId="0" borderId="55" xfId="0" applyFont="1" applyFill="1" applyBorder="1" applyAlignment="1">
      <alignment horizontal="center" vertical="center"/>
    </xf>
    <xf numFmtId="0" fontId="49" fillId="4" borderId="68" xfId="0" applyFont="1" applyFill="1" applyBorder="1" applyAlignment="1">
      <alignment vertical="center"/>
    </xf>
    <xf numFmtId="2" fontId="94" fillId="0" borderId="22" xfId="0" applyNumberFormat="1" applyFont="1" applyFill="1" applyBorder="1" applyAlignment="1">
      <alignment horizontal="center" vertical="center"/>
    </xf>
    <xf numFmtId="2" fontId="19" fillId="0" borderId="6" xfId="0" applyNumberFormat="1" applyFont="1" applyFill="1" applyBorder="1" applyAlignment="1">
      <alignment horizontal="center" vertical="center"/>
    </xf>
    <xf numFmtId="2" fontId="31" fillId="0" borderId="22" xfId="0" applyNumberFormat="1" applyFont="1" applyFill="1" applyBorder="1" applyAlignment="1">
      <alignment horizontal="center" vertical="center"/>
    </xf>
    <xf numFmtId="2" fontId="31" fillId="0" borderId="6" xfId="0" applyNumberFormat="1" applyFont="1" applyFill="1" applyBorder="1" applyAlignment="1">
      <alignment horizontal="center" vertical="center"/>
    </xf>
    <xf numFmtId="2" fontId="31" fillId="0" borderId="23" xfId="0" applyNumberFormat="1" applyFont="1" applyFill="1" applyBorder="1" applyAlignment="1">
      <alignment horizontal="center" vertical="center"/>
    </xf>
    <xf numFmtId="166" fontId="91" fillId="15" borderId="22" xfId="0" applyNumberFormat="1" applyFont="1" applyFill="1" applyBorder="1" applyAlignment="1">
      <alignment horizontal="center" vertical="center"/>
    </xf>
    <xf numFmtId="166" fontId="94" fillId="0" borderId="23" xfId="0" applyNumberFormat="1" applyFont="1" applyFill="1" applyBorder="1" applyAlignment="1">
      <alignment horizontal="center" vertical="center"/>
    </xf>
    <xf numFmtId="166" fontId="94" fillId="0" borderId="22" xfId="0" applyNumberFormat="1" applyFont="1" applyFill="1" applyBorder="1" applyAlignment="1">
      <alignment horizontal="center" vertical="center"/>
    </xf>
    <xf numFmtId="166" fontId="94" fillId="0" borderId="6" xfId="0" applyNumberFormat="1" applyFont="1" applyFill="1" applyBorder="1" applyAlignment="1">
      <alignment horizontal="center" vertical="center"/>
    </xf>
    <xf numFmtId="166" fontId="94" fillId="0" borderId="21" xfId="0" applyNumberFormat="1" applyFont="1" applyFill="1" applyBorder="1" applyAlignment="1">
      <alignment horizontal="center" vertical="center"/>
    </xf>
    <xf numFmtId="166" fontId="91" fillId="15" borderId="6" xfId="0" applyNumberFormat="1" applyFont="1" applyFill="1" applyBorder="1" applyAlignment="1">
      <alignment horizontal="center" vertical="center"/>
    </xf>
    <xf numFmtId="166" fontId="91" fillId="0" borderId="6" xfId="0" applyNumberFormat="1" applyFont="1" applyFill="1" applyBorder="1" applyAlignment="1">
      <alignment horizontal="center" vertical="center"/>
    </xf>
    <xf numFmtId="166" fontId="91" fillId="14" borderId="22" xfId="0" applyNumberFormat="1" applyFont="1" applyFill="1" applyBorder="1" applyAlignment="1">
      <alignment horizontal="center" vertical="center"/>
    </xf>
    <xf numFmtId="166" fontId="56" fillId="0" borderId="22" xfId="0" applyNumberFormat="1" applyFont="1" applyFill="1" applyBorder="1" applyAlignment="1">
      <alignment horizontal="center" vertical="center"/>
    </xf>
    <xf numFmtId="166" fontId="19" fillId="0" borderId="6" xfId="0" applyNumberFormat="1" applyFont="1" applyFill="1" applyBorder="1" applyAlignment="1">
      <alignment horizontal="center" vertical="center"/>
    </xf>
    <xf numFmtId="166" fontId="56" fillId="0" borderId="6" xfId="0" applyNumberFormat="1" applyFont="1" applyFill="1" applyBorder="1" applyAlignment="1">
      <alignment horizontal="center" vertical="center"/>
    </xf>
    <xf numFmtId="166" fontId="19" fillId="0" borderId="23" xfId="0" applyNumberFormat="1" applyFont="1" applyFill="1" applyBorder="1" applyAlignment="1">
      <alignment horizontal="center" vertical="center"/>
    </xf>
    <xf numFmtId="166" fontId="21" fillId="0" borderId="22" xfId="0" applyNumberFormat="1" applyFont="1" applyFill="1" applyBorder="1" applyAlignment="1">
      <alignment horizontal="center" vertical="center"/>
    </xf>
    <xf numFmtId="166" fontId="21" fillId="7" borderId="22" xfId="0" applyNumberFormat="1" applyFont="1" applyFill="1" applyBorder="1" applyAlignment="1">
      <alignment horizontal="center" vertical="center"/>
    </xf>
    <xf numFmtId="166" fontId="19" fillId="7" borderId="23" xfId="0" applyNumberFormat="1" applyFont="1" applyFill="1" applyBorder="1" applyAlignment="1">
      <alignment horizontal="center" vertical="center"/>
    </xf>
    <xf numFmtId="166" fontId="19" fillId="7" borderId="22" xfId="0" applyNumberFormat="1" applyFont="1" applyFill="1" applyBorder="1" applyAlignment="1">
      <alignment horizontal="center" vertical="center"/>
    </xf>
    <xf numFmtId="166" fontId="21" fillId="0" borderId="7" xfId="0" applyNumberFormat="1" applyFont="1" applyFill="1" applyBorder="1" applyAlignment="1">
      <alignment horizontal="center" vertical="center"/>
    </xf>
    <xf numFmtId="166" fontId="125" fillId="0" borderId="4" xfId="0" applyNumberFormat="1" applyFont="1" applyFill="1" applyBorder="1" applyAlignment="1" applyProtection="1">
      <alignment horizontal="center" vertical="center"/>
      <protection locked="0"/>
    </xf>
    <xf numFmtId="2" fontId="145" fillId="14" borderId="4" xfId="0" applyNumberFormat="1" applyFont="1" applyFill="1" applyBorder="1" applyAlignment="1" applyProtection="1">
      <alignment horizontal="center" vertical="center"/>
      <protection locked="0"/>
    </xf>
    <xf numFmtId="166" fontId="49" fillId="0" borderId="4" xfId="0" applyNumberFormat="1" applyFont="1" applyFill="1" applyBorder="1" applyAlignment="1">
      <alignment horizontal="center" vertical="center"/>
    </xf>
    <xf numFmtId="0" fontId="60" fillId="0" borderId="26" xfId="0" applyFont="1" applyFill="1" applyBorder="1" applyAlignment="1">
      <alignment horizontal="center"/>
    </xf>
    <xf numFmtId="0" fontId="60" fillId="0" borderId="63" xfId="0" applyFont="1" applyFill="1" applyBorder="1" applyAlignment="1">
      <alignment horizontal="center"/>
    </xf>
    <xf numFmtId="0" fontId="60" fillId="0" borderId="45" xfId="0" applyFont="1" applyFill="1" applyBorder="1" applyAlignment="1">
      <alignment horizontal="center"/>
    </xf>
    <xf numFmtId="0" fontId="61" fillId="15" borderId="45" xfId="0" applyFont="1" applyFill="1" applyBorder="1" applyAlignment="1">
      <alignment horizontal="center" vertical="center"/>
    </xf>
    <xf numFmtId="0" fontId="60" fillId="0" borderId="45" xfId="0" applyFont="1" applyFill="1" applyBorder="1" applyAlignment="1">
      <alignment horizontal="center" vertical="center"/>
    </xf>
    <xf numFmtId="2" fontId="134" fillId="5" borderId="34" xfId="0" applyNumberFormat="1" applyFont="1" applyFill="1" applyBorder="1" applyAlignment="1">
      <alignment horizontal="center" vertical="center"/>
    </xf>
    <xf numFmtId="2" fontId="56" fillId="0" borderId="30" xfId="0" applyNumberFormat="1" applyFont="1" applyFill="1" applyBorder="1" applyAlignment="1">
      <alignment horizontal="center" vertical="center"/>
    </xf>
    <xf numFmtId="2" fontId="54" fillId="0" borderId="30" xfId="0" applyNumberFormat="1" applyFont="1" applyFill="1" applyBorder="1" applyAlignment="1">
      <alignment horizontal="center" vertical="center"/>
    </xf>
    <xf numFmtId="2" fontId="54" fillId="0" borderId="31" xfId="0" applyNumberFormat="1" applyFont="1" applyFill="1" applyBorder="1" applyAlignment="1">
      <alignment horizontal="center" vertical="center"/>
    </xf>
    <xf numFmtId="2" fontId="49" fillId="0" borderId="31" xfId="0" applyNumberFormat="1" applyFont="1" applyFill="1" applyBorder="1" applyAlignment="1">
      <alignment horizontal="center" vertical="center"/>
    </xf>
    <xf numFmtId="2" fontId="54" fillId="0" borderId="62" xfId="0" applyNumberFormat="1" applyFont="1" applyFill="1" applyBorder="1" applyAlignment="1">
      <alignment horizontal="center" vertical="center"/>
    </xf>
    <xf numFmtId="2" fontId="148" fillId="0" borderId="31" xfId="0" applyNumberFormat="1" applyFont="1" applyFill="1" applyBorder="1" applyAlignment="1">
      <alignment horizontal="center" vertical="center"/>
    </xf>
    <xf numFmtId="2" fontId="54" fillId="9" borderId="31" xfId="0" applyNumberFormat="1" applyFont="1" applyFill="1" applyBorder="1" applyAlignment="1">
      <alignment horizontal="center" vertical="center"/>
    </xf>
    <xf numFmtId="2" fontId="54" fillId="0" borderId="19" xfId="0" applyNumberFormat="1" applyFont="1" applyFill="1" applyBorder="1" applyAlignment="1">
      <alignment horizontal="center" vertical="center"/>
    </xf>
    <xf numFmtId="2" fontId="49" fillId="0" borderId="30" xfId="0" applyNumberFormat="1" applyFont="1" applyFill="1" applyBorder="1" applyAlignment="1">
      <alignment horizontal="center" vertical="center"/>
    </xf>
    <xf numFmtId="166" fontId="54" fillId="0" borderId="31" xfId="0" applyNumberFormat="1" applyFont="1" applyFill="1" applyBorder="1" applyAlignment="1">
      <alignment horizontal="center" vertical="center"/>
    </xf>
    <xf numFmtId="166" fontId="49" fillId="15" borderId="31" xfId="0" applyNumberFormat="1" applyFont="1" applyFill="1" applyBorder="1" applyAlignment="1">
      <alignment horizontal="center" vertical="center"/>
    </xf>
    <xf numFmtId="166" fontId="54" fillId="0" borderId="62" xfId="0" applyNumberFormat="1" applyFont="1" applyFill="1" applyBorder="1" applyAlignment="1">
      <alignment horizontal="center" vertical="center"/>
    </xf>
    <xf numFmtId="166" fontId="54" fillId="0" borderId="30" xfId="0" applyNumberFormat="1" applyFont="1" applyFill="1" applyBorder="1" applyAlignment="1">
      <alignment horizontal="center" vertical="center"/>
    </xf>
    <xf numFmtId="166" fontId="54" fillId="0" borderId="4" xfId="0" applyNumberFormat="1" applyFont="1" applyFill="1" applyBorder="1" applyAlignment="1">
      <alignment horizontal="center" vertical="center"/>
    </xf>
    <xf numFmtId="0" fontId="113" fillId="0" borderId="0" xfId="0" applyFont="1" applyFill="1"/>
    <xf numFmtId="2" fontId="33" fillId="0" borderId="0" xfId="0" applyNumberFormat="1" applyFont="1"/>
    <xf numFmtId="165" fontId="20" fillId="0" borderId="0" xfId="0" applyNumberFormat="1" applyFont="1"/>
    <xf numFmtId="166" fontId="94" fillId="0" borderId="63" xfId="0" applyNumberFormat="1" applyFont="1" applyFill="1" applyBorder="1" applyAlignment="1">
      <alignment horizontal="center" vertical="center"/>
    </xf>
    <xf numFmtId="0" fontId="158" fillId="0" borderId="0" xfId="0" applyFont="1" applyAlignment="1">
      <alignment horizontal="right"/>
    </xf>
    <xf numFmtId="165" fontId="159" fillId="0" borderId="0" xfId="0" applyNumberFormat="1" applyFont="1"/>
    <xf numFmtId="165" fontId="158" fillId="0" borderId="0" xfId="0" applyNumberFormat="1" applyFont="1" applyAlignment="1">
      <alignment horizontal="right"/>
    </xf>
    <xf numFmtId="0" fontId="18" fillId="0" borderId="17" xfId="0" applyFont="1" applyBorder="1"/>
    <xf numFmtId="0" fontId="43" fillId="0" borderId="17" xfId="0" applyFont="1" applyBorder="1"/>
    <xf numFmtId="0" fontId="160" fillId="0" borderId="0" xfId="0" applyFont="1" applyBorder="1" applyAlignment="1">
      <alignment horizontal="right" vertical="center" wrapText="1"/>
    </xf>
    <xf numFmtId="0" fontId="18" fillId="0" borderId="0" xfId="0" applyFont="1" applyBorder="1"/>
    <xf numFmtId="169" fontId="161" fillId="0" borderId="0" xfId="0" applyNumberFormat="1" applyFont="1" applyFill="1" applyBorder="1" applyAlignment="1">
      <alignment horizontal="center" vertical="center"/>
    </xf>
    <xf numFmtId="0" fontId="32" fillId="14" borderId="17" xfId="0" applyFont="1" applyFill="1" applyBorder="1" applyAlignment="1">
      <alignment horizontal="center" vertical="center" textRotation="90"/>
    </xf>
    <xf numFmtId="0" fontId="99" fillId="14" borderId="39" xfId="0" applyFont="1" applyFill="1" applyBorder="1" applyAlignment="1">
      <alignment vertical="center"/>
    </xf>
    <xf numFmtId="0" fontId="99" fillId="14" borderId="19" xfId="0" applyFont="1" applyFill="1" applyBorder="1" applyAlignment="1">
      <alignment vertical="center"/>
    </xf>
    <xf numFmtId="3" fontId="99" fillId="14" borderId="4" xfId="0" applyNumberFormat="1" applyFont="1" applyFill="1" applyBorder="1" applyAlignment="1">
      <alignment horizontal="center" vertical="center"/>
    </xf>
    <xf numFmtId="2" fontId="43" fillId="14" borderId="62" xfId="0" applyNumberFormat="1" applyFont="1" applyFill="1" applyBorder="1"/>
    <xf numFmtId="0" fontId="99" fillId="0" borderId="0" xfId="0" applyFont="1" applyFill="1" applyBorder="1" applyAlignment="1">
      <alignment vertical="center"/>
    </xf>
    <xf numFmtId="2" fontId="43" fillId="0" borderId="0" xfId="0" applyNumberFormat="1" applyFont="1" applyFill="1" applyBorder="1"/>
    <xf numFmtId="165" fontId="33" fillId="6" borderId="7" xfId="0" applyNumberFormat="1" applyFont="1" applyFill="1" applyBorder="1" applyAlignment="1" applyProtection="1">
      <alignment vertical="top" wrapText="1"/>
      <protection locked="0"/>
    </xf>
    <xf numFmtId="3" fontId="119" fillId="4" borderId="4" xfId="0" applyNumberFormat="1" applyFont="1" applyFill="1" applyBorder="1" applyAlignment="1" applyProtection="1">
      <alignment horizontal="right" vertical="center"/>
      <protection locked="0"/>
    </xf>
    <xf numFmtId="1" fontId="40" fillId="4" borderId="24" xfId="0" applyNumberFormat="1" applyFont="1" applyFill="1" applyBorder="1" applyAlignment="1" applyProtection="1">
      <alignment horizontal="center" vertical="center"/>
      <protection locked="0"/>
    </xf>
    <xf numFmtId="1" fontId="33" fillId="4" borderId="11" xfId="0" applyNumberFormat="1" applyFont="1" applyFill="1" applyBorder="1" applyAlignment="1" applyProtection="1">
      <alignment vertical="center"/>
      <protection locked="0"/>
    </xf>
    <xf numFmtId="1" fontId="33" fillId="4" borderId="56" xfId="0" applyNumberFormat="1" applyFont="1" applyFill="1" applyBorder="1" applyAlignment="1" applyProtection="1">
      <alignment vertical="center"/>
      <protection locked="0"/>
    </xf>
    <xf numFmtId="0" fontId="18" fillId="0" borderId="17" xfId="0" applyFont="1" applyBorder="1" applyAlignment="1">
      <alignment vertical="center"/>
    </xf>
    <xf numFmtId="0" fontId="137" fillId="0" borderId="39" xfId="0" applyFont="1" applyBorder="1" applyAlignment="1">
      <alignment horizontal="right" vertical="center"/>
    </xf>
    <xf numFmtId="0" fontId="49" fillId="0" borderId="39" xfId="0" applyFont="1" applyBorder="1" applyAlignment="1">
      <alignment horizontal="right" vertical="center"/>
    </xf>
    <xf numFmtId="0" fontId="18" fillId="0" borderId="39" xfId="0" applyFont="1" applyBorder="1" applyAlignment="1">
      <alignment vertical="center"/>
    </xf>
    <xf numFmtId="0" fontId="93" fillId="0" borderId="65" xfId="0" applyFont="1" applyFill="1" applyBorder="1" applyAlignment="1">
      <alignment horizontal="center" vertical="center"/>
    </xf>
    <xf numFmtId="4" fontId="54" fillId="14" borderId="22" xfId="0" applyNumberFormat="1" applyFont="1" applyFill="1" applyBorder="1" applyAlignment="1">
      <alignment horizontal="center" vertical="center"/>
    </xf>
    <xf numFmtId="4" fontId="54" fillId="0" borderId="7" xfId="0" applyNumberFormat="1" applyFont="1" applyFill="1" applyBorder="1" applyAlignment="1">
      <alignment horizontal="center" vertical="center"/>
    </xf>
    <xf numFmtId="4" fontId="54" fillId="0" borderId="2" xfId="0" applyNumberFormat="1" applyFont="1" applyFill="1" applyBorder="1" applyAlignment="1">
      <alignment horizontal="center" vertical="center" wrapText="1"/>
    </xf>
    <xf numFmtId="4" fontId="54" fillId="9" borderId="6" xfId="0" applyNumberFormat="1" applyFont="1" applyFill="1" applyBorder="1" applyAlignment="1">
      <alignment horizontal="center" vertical="center"/>
    </xf>
    <xf numFmtId="4" fontId="49" fillId="15" borderId="6" xfId="0" applyNumberFormat="1" applyFont="1" applyFill="1" applyBorder="1" applyAlignment="1">
      <alignment horizontal="center" vertical="center"/>
    </xf>
    <xf numFmtId="0" fontId="53" fillId="15" borderId="47" xfId="0" applyFont="1" applyFill="1" applyBorder="1" applyAlignment="1">
      <alignment horizontal="center" vertical="center" wrapText="1"/>
    </xf>
    <xf numFmtId="49" fontId="92" fillId="0" borderId="64" xfId="0" applyNumberFormat="1" applyFont="1" applyFill="1" applyBorder="1" applyAlignment="1">
      <alignment horizontal="center" vertical="center"/>
    </xf>
    <xf numFmtId="49" fontId="16" fillId="0" borderId="47" xfId="0" applyNumberFormat="1" applyFont="1" applyFill="1" applyBorder="1" applyAlignment="1">
      <alignment horizontal="center" vertical="center"/>
    </xf>
    <xf numFmtId="4" fontId="49" fillId="15" borderId="2" xfId="0" applyNumberFormat="1" applyFont="1" applyFill="1" applyBorder="1" applyAlignment="1">
      <alignment horizontal="center" vertical="center"/>
    </xf>
    <xf numFmtId="165" fontId="39" fillId="0" borderId="70" xfId="0" applyNumberFormat="1" applyFont="1" applyFill="1" applyBorder="1" applyAlignment="1" applyProtection="1">
      <alignment horizontal="left" vertical="top" wrapText="1"/>
      <protection locked="0"/>
    </xf>
    <xf numFmtId="0" fontId="53" fillId="15" borderId="65" xfId="0" applyFont="1" applyFill="1" applyBorder="1" applyAlignment="1">
      <alignment horizontal="center" vertical="center" wrapText="1"/>
    </xf>
    <xf numFmtId="0" fontId="82" fillId="15" borderId="11" xfId="0" applyFont="1" applyFill="1" applyBorder="1" applyAlignment="1">
      <alignment horizontal="center" vertical="center"/>
    </xf>
    <xf numFmtId="0" fontId="82" fillId="15" borderId="65" xfId="0" applyFont="1" applyFill="1" applyBorder="1" applyAlignment="1">
      <alignment horizontal="center" vertical="center"/>
    </xf>
    <xf numFmtId="0" fontId="49" fillId="15" borderId="2" xfId="0" applyFont="1" applyFill="1" applyBorder="1" applyAlignment="1">
      <alignment horizontal="center" vertical="center"/>
    </xf>
    <xf numFmtId="0" fontId="110" fillId="0" borderId="6" xfId="0" applyFont="1" applyFill="1" applyBorder="1" applyAlignment="1">
      <alignment horizontal="center" vertical="center"/>
    </xf>
    <xf numFmtId="0" fontId="110" fillId="0" borderId="6" xfId="0" applyFont="1" applyFill="1" applyBorder="1" applyAlignment="1">
      <alignment vertical="center"/>
    </xf>
    <xf numFmtId="1" fontId="93" fillId="0" borderId="58" xfId="0" applyNumberFormat="1" applyFont="1" applyFill="1" applyBorder="1" applyAlignment="1">
      <alignment horizontal="center" vertical="center"/>
    </xf>
    <xf numFmtId="1" fontId="93" fillId="0" borderId="60" xfId="0" applyNumberFormat="1" applyFont="1" applyFill="1" applyBorder="1" applyAlignment="1">
      <alignment horizontal="center" vertical="center"/>
    </xf>
    <xf numFmtId="0" fontId="93" fillId="0" borderId="60" xfId="0" applyFont="1" applyFill="1" applyBorder="1" applyAlignment="1">
      <alignment horizontal="center" vertical="center"/>
    </xf>
    <xf numFmtId="0" fontId="21" fillId="14" borderId="22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center" vertical="center"/>
    </xf>
    <xf numFmtId="169" fontId="145" fillId="0" borderId="6" xfId="0" applyNumberFormat="1" applyFont="1" applyFill="1" applyBorder="1" applyAlignment="1" applyProtection="1">
      <alignment horizontal="center" vertical="center"/>
      <protection locked="0"/>
    </xf>
    <xf numFmtId="165" fontId="147" fillId="0" borderId="6" xfId="0" applyNumberFormat="1" applyFont="1" applyFill="1" applyBorder="1" applyAlignment="1" applyProtection="1">
      <alignment horizontal="center" vertical="center"/>
      <protection locked="0"/>
    </xf>
    <xf numFmtId="169" fontId="147" fillId="0" borderId="6" xfId="0" applyNumberFormat="1" applyFont="1" applyFill="1" applyBorder="1" applyAlignment="1" applyProtection="1">
      <alignment horizontal="center" vertical="center"/>
      <protection locked="0"/>
    </xf>
    <xf numFmtId="169" fontId="90" fillId="0" borderId="4" xfId="0" applyNumberFormat="1" applyFont="1" applyFill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2" fontId="145" fillId="15" borderId="0" xfId="0" applyNumberFormat="1" applyFont="1" applyFill="1" applyBorder="1" applyAlignment="1">
      <alignment horizontal="center" vertical="center"/>
    </xf>
    <xf numFmtId="2" fontId="147" fillId="0" borderId="24" xfId="0" applyNumberFormat="1" applyFont="1" applyFill="1" applyBorder="1" applyAlignment="1">
      <alignment horizontal="center" vertical="center"/>
    </xf>
    <xf numFmtId="2" fontId="147" fillId="0" borderId="8" xfId="0" applyNumberFormat="1" applyFont="1" applyFill="1" applyBorder="1" applyAlignment="1">
      <alignment horizontal="center" vertical="center"/>
    </xf>
    <xf numFmtId="2" fontId="145" fillId="0" borderId="8" xfId="0" applyNumberFormat="1" applyFont="1" applyFill="1" applyBorder="1" applyAlignment="1">
      <alignment horizontal="center" vertical="center"/>
    </xf>
    <xf numFmtId="0" fontId="56" fillId="0" borderId="30" xfId="0" applyFont="1" applyFill="1" applyBorder="1" applyAlignment="1">
      <alignment horizontal="center" vertical="center"/>
    </xf>
    <xf numFmtId="0" fontId="56" fillId="0" borderId="31" xfId="0" applyFont="1" applyFill="1" applyBorder="1" applyAlignment="1">
      <alignment horizontal="center" vertical="center"/>
    </xf>
    <xf numFmtId="0" fontId="148" fillId="0" borderId="31" xfId="0" applyFont="1" applyFill="1" applyBorder="1" applyAlignment="1">
      <alignment horizontal="center" vertical="center"/>
    </xf>
    <xf numFmtId="0" fontId="49" fillId="0" borderId="31" xfId="0" applyFont="1" applyFill="1" applyBorder="1" applyAlignment="1">
      <alignment horizontal="center" vertical="center"/>
    </xf>
    <xf numFmtId="0" fontId="33" fillId="0" borderId="4" xfId="0" applyFont="1" applyBorder="1" applyAlignment="1">
      <alignment horizontal="center" vertical="center" wrapText="1"/>
    </xf>
    <xf numFmtId="166" fontId="94" fillId="0" borderId="26" xfId="0" applyNumberFormat="1" applyFont="1" applyFill="1" applyBorder="1" applyAlignment="1">
      <alignment horizontal="center" vertical="center"/>
    </xf>
    <xf numFmtId="3" fontId="111" fillId="0" borderId="26" xfId="0" applyNumberFormat="1" applyFont="1" applyFill="1" applyBorder="1" applyAlignment="1">
      <alignment horizontal="center" vertical="center"/>
    </xf>
    <xf numFmtId="3" fontId="111" fillId="0" borderId="40" xfId="0" applyNumberFormat="1" applyFont="1" applyFill="1" applyBorder="1" applyAlignment="1">
      <alignment horizontal="center" vertical="center"/>
    </xf>
    <xf numFmtId="165" fontId="100" fillId="15" borderId="4" xfId="0" applyNumberFormat="1" applyFont="1" applyFill="1" applyBorder="1" applyAlignment="1">
      <alignment horizontal="center" vertical="center"/>
    </xf>
    <xf numFmtId="165" fontId="100" fillId="15" borderId="19" xfId="0" applyNumberFormat="1" applyFont="1" applyFill="1" applyBorder="1" applyAlignment="1">
      <alignment horizontal="center" vertical="center"/>
    </xf>
    <xf numFmtId="165" fontId="100" fillId="15" borderId="7" xfId="0" applyNumberFormat="1" applyFont="1" applyFill="1" applyBorder="1" applyAlignment="1">
      <alignment horizontal="center" vertical="center"/>
    </xf>
    <xf numFmtId="2" fontId="145" fillId="0" borderId="3" xfId="0" applyNumberFormat="1" applyFont="1" applyFill="1" applyBorder="1" applyAlignment="1">
      <alignment horizontal="center" vertical="center"/>
    </xf>
    <xf numFmtId="2" fontId="147" fillId="0" borderId="1" xfId="0" applyNumberFormat="1" applyFont="1" applyFill="1" applyBorder="1" applyAlignment="1">
      <alignment horizontal="center" vertical="center"/>
    </xf>
    <xf numFmtId="2" fontId="147" fillId="0" borderId="0" xfId="0" applyNumberFormat="1" applyFont="1" applyFill="1" applyBorder="1" applyAlignment="1">
      <alignment horizontal="center" vertical="center" wrapText="1"/>
    </xf>
    <xf numFmtId="2" fontId="145" fillId="0" borderId="24" xfId="0" applyNumberFormat="1" applyFont="1" applyFill="1" applyBorder="1" applyAlignment="1">
      <alignment horizontal="center" vertical="center" wrapText="1"/>
    </xf>
    <xf numFmtId="2" fontId="145" fillId="0" borderId="16" xfId="0" applyNumberFormat="1" applyFont="1" applyFill="1" applyBorder="1" applyAlignment="1">
      <alignment horizontal="center" vertical="center"/>
    </xf>
    <xf numFmtId="2" fontId="145" fillId="0" borderId="17" xfId="0" applyNumberFormat="1" applyFont="1" applyFill="1" applyBorder="1" applyAlignment="1">
      <alignment horizontal="center" vertical="center"/>
    </xf>
    <xf numFmtId="2" fontId="145" fillId="0" borderId="13" xfId="0" applyNumberFormat="1" applyFont="1" applyFill="1" applyBorder="1" applyAlignment="1">
      <alignment horizontal="center" vertical="center"/>
    </xf>
    <xf numFmtId="2" fontId="145" fillId="0" borderId="20" xfId="0" applyNumberFormat="1" applyFont="1" applyFill="1" applyBorder="1" applyAlignment="1">
      <alignment horizontal="center" vertical="center"/>
    </xf>
    <xf numFmtId="2" fontId="147" fillId="0" borderId="3" xfId="0" applyNumberFormat="1" applyFont="1" applyFill="1" applyBorder="1" applyAlignment="1">
      <alignment horizontal="center" vertical="center"/>
    </xf>
    <xf numFmtId="2" fontId="128" fillId="0" borderId="17" xfId="0" applyNumberFormat="1" applyFont="1" applyFill="1" applyBorder="1" applyAlignment="1">
      <alignment horizontal="center" vertical="center"/>
    </xf>
    <xf numFmtId="1" fontId="134" fillId="15" borderId="25" xfId="0" applyNumberFormat="1" applyFont="1" applyFill="1" applyBorder="1" applyAlignment="1">
      <alignment horizontal="center" vertical="center"/>
    </xf>
    <xf numFmtId="2" fontId="134" fillId="15" borderId="25" xfId="0" applyNumberFormat="1" applyFont="1" applyFill="1" applyBorder="1" applyAlignment="1">
      <alignment horizontal="center" vertical="center"/>
    </xf>
    <xf numFmtId="0" fontId="90" fillId="15" borderId="11" xfId="0" applyFont="1" applyFill="1" applyBorder="1" applyAlignment="1">
      <alignment horizontal="center" vertical="center"/>
    </xf>
    <xf numFmtId="165" fontId="0" fillId="0" borderId="0" xfId="0" applyNumberFormat="1" applyFont="1" applyFill="1" applyBorder="1" applyAlignment="1">
      <alignment vertical="center"/>
    </xf>
    <xf numFmtId="165" fontId="7" fillId="0" borderId="0" xfId="0" applyNumberFormat="1" applyFont="1" applyFill="1" applyBorder="1" applyAlignment="1">
      <alignment vertical="center"/>
    </xf>
    <xf numFmtId="2" fontId="162" fillId="4" borderId="72" xfId="0" applyNumberFormat="1" applyFont="1" applyFill="1" applyBorder="1" applyAlignment="1" applyProtection="1">
      <alignment horizontal="center" vertical="center"/>
      <protection locked="0"/>
    </xf>
    <xf numFmtId="2" fontId="162" fillId="0" borderId="73" xfId="0" applyNumberFormat="1" applyFont="1" applyFill="1" applyBorder="1" applyAlignment="1" applyProtection="1">
      <alignment horizontal="center" vertical="center"/>
      <protection locked="0"/>
    </xf>
    <xf numFmtId="169" fontId="158" fillId="0" borderId="34" xfId="0" applyNumberFormat="1" applyFont="1" applyFill="1" applyBorder="1" applyAlignment="1">
      <alignment horizontal="center" vertical="center"/>
    </xf>
    <xf numFmtId="0" fontId="158" fillId="10" borderId="39" xfId="0" applyFont="1" applyFill="1" applyBorder="1" applyAlignment="1">
      <alignment horizontal="right"/>
    </xf>
    <xf numFmtId="0" fontId="17" fillId="10" borderId="39" xfId="0" applyFont="1" applyFill="1" applyBorder="1"/>
    <xf numFmtId="169" fontId="158" fillId="10" borderId="34" xfId="0" applyNumberFormat="1" applyFont="1" applyFill="1" applyBorder="1" applyAlignment="1">
      <alignment horizontal="center" vertical="center"/>
    </xf>
    <xf numFmtId="0" fontId="118" fillId="10" borderId="39" xfId="0" applyFont="1" applyFill="1" applyBorder="1"/>
    <xf numFmtId="0" fontId="33" fillId="0" borderId="18" xfId="0" applyFont="1" applyBorder="1" applyAlignment="1">
      <alignment horizontal="center" vertical="center" wrapText="1"/>
    </xf>
    <xf numFmtId="165" fontId="91" fillId="0" borderId="37" xfId="0" applyNumberFormat="1" applyFont="1" applyFill="1" applyBorder="1" applyAlignment="1">
      <alignment horizontal="center" vertical="center"/>
    </xf>
    <xf numFmtId="165" fontId="32" fillId="0" borderId="40" xfId="0" applyNumberFormat="1" applyFont="1" applyFill="1" applyBorder="1" applyAlignment="1">
      <alignment horizontal="center" vertical="center"/>
    </xf>
    <xf numFmtId="165" fontId="94" fillId="0" borderId="0" xfId="0" applyNumberFormat="1" applyFont="1" applyFill="1" applyBorder="1" applyAlignment="1">
      <alignment horizontal="center" vertical="center"/>
    </xf>
    <xf numFmtId="165" fontId="91" fillId="0" borderId="40" xfId="0" applyNumberFormat="1" applyFont="1" applyFill="1" applyBorder="1" applyAlignment="1">
      <alignment horizontal="center" vertical="center"/>
    </xf>
    <xf numFmtId="165" fontId="91" fillId="0" borderId="69" xfId="0" applyNumberFormat="1" applyFont="1" applyFill="1" applyBorder="1" applyAlignment="1">
      <alignment horizontal="center" vertical="center"/>
    </xf>
    <xf numFmtId="2" fontId="32" fillId="0" borderId="2" xfId="0" applyNumberFormat="1" applyFont="1" applyFill="1" applyBorder="1" applyAlignment="1">
      <alignment horizontal="center" vertical="center"/>
    </xf>
    <xf numFmtId="2" fontId="32" fillId="0" borderId="6" xfId="0" applyNumberFormat="1" applyFont="1" applyFill="1" applyBorder="1" applyAlignment="1">
      <alignment horizontal="center" vertical="center"/>
    </xf>
    <xf numFmtId="2" fontId="32" fillId="0" borderId="7" xfId="0" applyNumberFormat="1" applyFont="1" applyFill="1" applyBorder="1" applyAlignment="1">
      <alignment horizontal="center" vertical="center"/>
    </xf>
    <xf numFmtId="2" fontId="91" fillId="0" borderId="2" xfId="0" applyNumberFormat="1" applyFont="1" applyFill="1" applyBorder="1" applyAlignment="1">
      <alignment horizontal="center" vertical="center"/>
    </xf>
    <xf numFmtId="2" fontId="91" fillId="0" borderId="6" xfId="0" applyNumberFormat="1" applyFont="1" applyFill="1" applyBorder="1" applyAlignment="1">
      <alignment horizontal="center" vertical="center"/>
    </xf>
    <xf numFmtId="2" fontId="91" fillId="0" borderId="7" xfId="0" applyNumberFormat="1" applyFont="1" applyFill="1" applyBorder="1" applyAlignment="1">
      <alignment horizontal="center" vertical="center"/>
    </xf>
    <xf numFmtId="0" fontId="32" fillId="0" borderId="47" xfId="0" applyFont="1" applyFill="1" applyBorder="1" applyAlignment="1">
      <alignment horizontal="center" vertical="center"/>
    </xf>
    <xf numFmtId="0" fontId="32" fillId="10" borderId="6" xfId="0" applyFont="1" applyFill="1" applyBorder="1" applyAlignment="1">
      <alignment vertical="center"/>
    </xf>
    <xf numFmtId="0" fontId="90" fillId="0" borderId="65" xfId="0" applyFont="1" applyFill="1" applyBorder="1" applyAlignment="1">
      <alignment horizontal="center" vertical="center"/>
    </xf>
    <xf numFmtId="0" fontId="90" fillId="0" borderId="47" xfId="0" applyFont="1" applyFill="1" applyBorder="1" applyAlignment="1">
      <alignment horizontal="center" vertical="center"/>
    </xf>
    <xf numFmtId="0" fontId="32" fillId="0" borderId="11" xfId="0" applyFont="1" applyFill="1" applyBorder="1" applyAlignment="1">
      <alignment horizontal="center" vertical="center"/>
    </xf>
    <xf numFmtId="0" fontId="32" fillId="0" borderId="65" xfId="0" applyFont="1" applyFill="1" applyBorder="1" applyAlignment="1">
      <alignment horizontal="center" vertical="center"/>
    </xf>
    <xf numFmtId="0" fontId="49" fillId="15" borderId="24" xfId="0" applyFont="1" applyFill="1" applyBorder="1" applyAlignment="1">
      <alignment horizontal="center" vertical="center"/>
    </xf>
    <xf numFmtId="0" fontId="5" fillId="0" borderId="56" xfId="0" applyFont="1" applyFill="1" applyBorder="1" applyAlignment="1">
      <alignment horizontal="center"/>
    </xf>
    <xf numFmtId="0" fontId="5" fillId="0" borderId="29" xfId="0" applyFont="1" applyFill="1" applyBorder="1" applyAlignment="1">
      <alignment horizontal="center"/>
    </xf>
    <xf numFmtId="0" fontId="5" fillId="0" borderId="57" xfId="0" applyFont="1" applyFill="1" applyBorder="1" applyAlignment="1">
      <alignment horizontal="center"/>
    </xf>
    <xf numFmtId="2" fontId="145" fillId="15" borderId="5" xfId="0" applyNumberFormat="1" applyFont="1" applyFill="1" applyBorder="1" applyAlignment="1">
      <alignment horizontal="center" vertical="center"/>
    </xf>
    <xf numFmtId="2" fontId="146" fillId="0" borderId="65" xfId="0" applyNumberFormat="1" applyFont="1" applyFill="1" applyBorder="1" applyAlignment="1">
      <alignment horizontal="center" vertical="center"/>
    </xf>
    <xf numFmtId="2" fontId="145" fillId="15" borderId="38" xfId="0" applyNumberFormat="1" applyFont="1" applyFill="1" applyBorder="1" applyAlignment="1">
      <alignment horizontal="center" vertical="center"/>
    </xf>
    <xf numFmtId="2" fontId="145" fillId="0" borderId="63" xfId="0" applyNumberFormat="1" applyFont="1" applyFill="1" applyBorder="1" applyAlignment="1">
      <alignment horizontal="center" vertical="center"/>
    </xf>
    <xf numFmtId="2" fontId="145" fillId="0" borderId="38" xfId="0" applyNumberFormat="1" applyFont="1" applyFill="1" applyBorder="1" applyAlignment="1">
      <alignment horizontal="center" vertical="center"/>
    </xf>
    <xf numFmtId="2" fontId="145" fillId="0" borderId="45" xfId="0" applyNumberFormat="1" applyFont="1" applyFill="1" applyBorder="1" applyAlignment="1">
      <alignment horizontal="center" vertical="center"/>
    </xf>
    <xf numFmtId="2" fontId="145" fillId="15" borderId="26" xfId="0" applyNumberFormat="1" applyFont="1" applyFill="1" applyBorder="1" applyAlignment="1">
      <alignment horizontal="center" vertical="center"/>
    </xf>
    <xf numFmtId="2" fontId="145" fillId="14" borderId="38" xfId="0" applyNumberFormat="1" applyFont="1" applyFill="1" applyBorder="1" applyAlignment="1">
      <alignment horizontal="center" vertical="center"/>
    </xf>
    <xf numFmtId="2" fontId="145" fillId="0" borderId="63" xfId="0" applyNumberFormat="1" applyFont="1" applyFill="1" applyBorder="1" applyAlignment="1">
      <alignment horizontal="center" vertical="center" wrapText="1"/>
    </xf>
    <xf numFmtId="165" fontId="163" fillId="0" borderId="38" xfId="0" applyNumberFormat="1" applyFont="1" applyFill="1" applyBorder="1" applyAlignment="1">
      <alignment horizontal="center" vertical="center"/>
    </xf>
    <xf numFmtId="165" fontId="163" fillId="0" borderId="63" xfId="0" applyNumberFormat="1" applyFont="1" applyFill="1" applyBorder="1" applyAlignment="1">
      <alignment horizontal="center" vertical="center"/>
    </xf>
    <xf numFmtId="2" fontId="163" fillId="0" borderId="26" xfId="0" applyNumberFormat="1" applyFont="1" applyFill="1" applyBorder="1" applyAlignment="1">
      <alignment horizontal="center" vertical="center"/>
    </xf>
    <xf numFmtId="165" fontId="163" fillId="7" borderId="38" xfId="0" applyNumberFormat="1" applyFont="1" applyFill="1" applyBorder="1" applyAlignment="1">
      <alignment horizontal="center" vertical="center"/>
    </xf>
    <xf numFmtId="165" fontId="163" fillId="7" borderId="63" xfId="0" applyNumberFormat="1" applyFont="1" applyFill="1" applyBorder="1" applyAlignment="1">
      <alignment horizontal="center" vertical="center"/>
    </xf>
    <xf numFmtId="165" fontId="163" fillId="0" borderId="43" xfId="0" applyNumberFormat="1" applyFont="1" applyFill="1" applyBorder="1" applyAlignment="1">
      <alignment horizontal="center" vertical="center"/>
    </xf>
    <xf numFmtId="165" fontId="161" fillId="4" borderId="6" xfId="0" applyNumberFormat="1" applyFont="1" applyFill="1" applyBorder="1" applyAlignment="1" applyProtection="1">
      <alignment horizontal="center" vertical="center"/>
      <protection locked="0"/>
    </xf>
    <xf numFmtId="165" fontId="164" fillId="4" borderId="6" xfId="0" applyNumberFormat="1" applyFont="1" applyFill="1" applyBorder="1" applyAlignment="1" applyProtection="1">
      <alignment horizontal="center" vertical="center"/>
      <protection locked="0"/>
    </xf>
    <xf numFmtId="165" fontId="161" fillId="0" borderId="6" xfId="0" applyNumberFormat="1" applyFont="1" applyFill="1" applyBorder="1" applyAlignment="1" applyProtection="1">
      <alignment horizontal="center" vertical="center"/>
      <protection locked="0"/>
    </xf>
    <xf numFmtId="165" fontId="164" fillId="4" borderId="7" xfId="0" applyNumberFormat="1" applyFont="1" applyFill="1" applyBorder="1" applyAlignment="1" applyProtection="1">
      <alignment horizontal="center" vertical="center"/>
      <protection locked="0"/>
    </xf>
    <xf numFmtId="4" fontId="161" fillId="0" borderId="34" xfId="0" applyNumberFormat="1" applyFont="1" applyFill="1" applyBorder="1" applyAlignment="1">
      <alignment horizontal="center" vertical="center"/>
    </xf>
    <xf numFmtId="4" fontId="161" fillId="0" borderId="29" xfId="0" applyNumberFormat="1" applyFont="1" applyFill="1" applyBorder="1" applyAlignment="1">
      <alignment horizontal="center" vertical="center"/>
    </xf>
    <xf numFmtId="0" fontId="53" fillId="15" borderId="22" xfId="0" applyFont="1" applyFill="1" applyBorder="1" applyAlignment="1">
      <alignment horizontal="center" vertical="center"/>
    </xf>
    <xf numFmtId="0" fontId="165" fillId="14" borderId="39" xfId="0" applyFont="1" applyFill="1" applyBorder="1" applyAlignment="1">
      <alignment vertical="center"/>
    </xf>
    <xf numFmtId="2" fontId="145" fillId="15" borderId="2" xfId="0" applyNumberFormat="1" applyFont="1" applyFill="1" applyBorder="1" applyAlignment="1">
      <alignment horizontal="center" vertical="center"/>
    </xf>
    <xf numFmtId="2" fontId="147" fillId="0" borderId="6" xfId="0" applyNumberFormat="1" applyFont="1" applyFill="1" applyBorder="1" applyAlignment="1">
      <alignment horizontal="center" vertical="center"/>
    </xf>
    <xf numFmtId="2" fontId="145" fillId="15" borderId="6" xfId="0" applyNumberFormat="1" applyFont="1" applyFill="1" applyBorder="1" applyAlignment="1">
      <alignment horizontal="center" vertical="center"/>
    </xf>
    <xf numFmtId="2" fontId="145" fillId="0" borderId="2" xfId="0" applyNumberFormat="1" applyFont="1" applyFill="1" applyBorder="1" applyAlignment="1">
      <alignment horizontal="center" vertical="center"/>
    </xf>
    <xf numFmtId="2" fontId="145" fillId="0" borderId="6" xfId="0" applyNumberFormat="1" applyFont="1" applyFill="1" applyBorder="1" applyAlignment="1">
      <alignment horizontal="center" vertical="center"/>
    </xf>
    <xf numFmtId="2" fontId="145" fillId="9" borderId="6" xfId="0" applyNumberFormat="1" applyFont="1" applyFill="1" applyBorder="1" applyAlignment="1">
      <alignment horizontal="center" vertical="center"/>
    </xf>
    <xf numFmtId="2" fontId="145" fillId="0" borderId="7" xfId="0" applyNumberFormat="1" applyFont="1" applyFill="1" applyBorder="1" applyAlignment="1">
      <alignment horizontal="center" vertical="center"/>
    </xf>
    <xf numFmtId="2" fontId="145" fillId="0" borderId="4" xfId="0" applyNumberFormat="1" applyFont="1" applyFill="1" applyBorder="1" applyAlignment="1">
      <alignment horizontal="center" vertical="center"/>
    </xf>
    <xf numFmtId="2" fontId="147" fillId="0" borderId="2" xfId="0" applyNumberFormat="1" applyFont="1" applyFill="1" applyBorder="1" applyAlignment="1">
      <alignment horizontal="center" vertical="center"/>
    </xf>
    <xf numFmtId="2" fontId="147" fillId="0" borderId="7" xfId="0" applyNumberFormat="1" applyFont="1" applyFill="1" applyBorder="1" applyAlignment="1">
      <alignment horizontal="center" vertical="center"/>
    </xf>
    <xf numFmtId="2" fontId="147" fillId="0" borderId="6" xfId="0" applyNumberFormat="1" applyFont="1" applyFill="1" applyBorder="1" applyAlignment="1">
      <alignment horizontal="center" vertical="center" wrapText="1"/>
    </xf>
    <xf numFmtId="2" fontId="145" fillId="0" borderId="2" xfId="0" applyNumberFormat="1" applyFont="1" applyFill="1" applyBorder="1" applyAlignment="1">
      <alignment horizontal="center" vertical="center" wrapText="1"/>
    </xf>
    <xf numFmtId="2" fontId="145" fillId="0" borderId="23" xfId="0" applyNumberFormat="1" applyFont="1" applyFill="1" applyBorder="1" applyAlignment="1">
      <alignment horizontal="center" vertical="center"/>
    </xf>
    <xf numFmtId="2" fontId="145" fillId="0" borderId="22" xfId="0" applyNumberFormat="1" applyFont="1" applyFill="1" applyBorder="1" applyAlignment="1">
      <alignment horizontal="center" vertical="center"/>
    </xf>
    <xf numFmtId="2" fontId="128" fillId="0" borderId="4" xfId="0" applyNumberFormat="1" applyFont="1" applyFill="1" applyBorder="1" applyAlignment="1">
      <alignment horizontal="center" vertical="center"/>
    </xf>
    <xf numFmtId="169" fontId="145" fillId="0" borderId="58" xfId="0" applyNumberFormat="1" applyFont="1" applyFill="1" applyBorder="1" applyAlignment="1" applyProtection="1">
      <alignment horizontal="center" vertical="center"/>
      <protection locked="0"/>
    </xf>
    <xf numFmtId="165" fontId="147" fillId="0" borderId="58" xfId="0" applyNumberFormat="1" applyFont="1" applyFill="1" applyBorder="1" applyAlignment="1" applyProtection="1">
      <alignment horizontal="center" vertical="center"/>
      <protection locked="0"/>
    </xf>
    <xf numFmtId="169" fontId="147" fillId="0" borderId="58" xfId="0" applyNumberFormat="1" applyFont="1" applyFill="1" applyBorder="1" applyAlignment="1" applyProtection="1">
      <alignment horizontal="center" vertical="center"/>
      <protection locked="0"/>
    </xf>
    <xf numFmtId="169" fontId="90" fillId="0" borderId="49" xfId="0" applyNumberFormat="1" applyFont="1" applyFill="1" applyBorder="1" applyAlignment="1">
      <alignment horizontal="center" vertical="center"/>
    </xf>
    <xf numFmtId="2" fontId="147" fillId="0" borderId="26" xfId="0" applyNumberFormat="1" applyFont="1" applyFill="1" applyBorder="1" applyAlignment="1">
      <alignment horizontal="center" vertical="center"/>
    </xf>
    <xf numFmtId="0" fontId="166" fillId="0" borderId="0" xfId="0" applyFont="1" applyFill="1" applyAlignment="1">
      <alignment horizontal="left" vertical="center"/>
    </xf>
    <xf numFmtId="0" fontId="166" fillId="0" borderId="0" xfId="0" applyFont="1" applyFill="1" applyAlignment="1">
      <alignment horizontal="left"/>
    </xf>
    <xf numFmtId="0" fontId="167" fillId="0" borderId="0" xfId="0" applyFont="1" applyFill="1"/>
    <xf numFmtId="2" fontId="167" fillId="0" borderId="0" xfId="0" applyNumberFormat="1" applyFont="1" applyFill="1"/>
    <xf numFmtId="2" fontId="168" fillId="0" borderId="0" xfId="0" applyNumberFormat="1" applyFont="1" applyFill="1"/>
    <xf numFmtId="0" fontId="2" fillId="0" borderId="22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169" fillId="0" borderId="0" xfId="0" applyFont="1" applyFill="1" applyAlignment="1">
      <alignment horizontal="center" vertical="center"/>
    </xf>
    <xf numFmtId="1" fontId="169" fillId="0" borderId="0" xfId="0" applyNumberFormat="1" applyFont="1" applyFill="1" applyBorder="1" applyAlignment="1" applyProtection="1">
      <alignment horizontal="center" vertical="center"/>
      <protection locked="0"/>
    </xf>
    <xf numFmtId="0" fontId="170" fillId="0" borderId="0" xfId="0" applyFont="1" applyFill="1" applyAlignment="1">
      <alignment vertical="center"/>
    </xf>
    <xf numFmtId="0" fontId="171" fillId="0" borderId="0" xfId="0" applyFont="1" applyFill="1" applyBorder="1" applyAlignment="1">
      <alignment horizontal="center" vertical="top"/>
    </xf>
    <xf numFmtId="0" fontId="172" fillId="0" borderId="0" xfId="0" applyFont="1" applyFill="1" applyBorder="1" applyAlignment="1">
      <alignment horizontal="center" vertical="top"/>
    </xf>
    <xf numFmtId="165" fontId="173" fillId="0" borderId="0" xfId="0" applyNumberFormat="1" applyFont="1" applyFill="1" applyBorder="1" applyAlignment="1">
      <alignment horizontal="center" vertical="top"/>
    </xf>
    <xf numFmtId="3" fontId="172" fillId="0" borderId="0" xfId="0" applyNumberFormat="1" applyFont="1" applyFill="1" applyBorder="1" applyAlignment="1">
      <alignment horizontal="center" vertical="top"/>
    </xf>
    <xf numFmtId="1" fontId="172" fillId="0" borderId="0" xfId="0" applyNumberFormat="1" applyFont="1" applyFill="1" applyBorder="1" applyAlignment="1">
      <alignment horizontal="center" vertical="top"/>
    </xf>
    <xf numFmtId="165" fontId="172" fillId="0" borderId="0" xfId="0" applyNumberFormat="1" applyFont="1" applyFill="1" applyBorder="1" applyAlignment="1">
      <alignment horizontal="center" vertical="top"/>
    </xf>
    <xf numFmtId="2" fontId="172" fillId="0" borderId="0" xfId="0" applyNumberFormat="1" applyFont="1" applyFill="1" applyBorder="1" applyAlignment="1">
      <alignment horizontal="center" vertical="top"/>
    </xf>
    <xf numFmtId="0" fontId="114" fillId="0" borderId="0" xfId="0" applyFont="1" applyFill="1" applyBorder="1" applyAlignment="1">
      <alignment vertical="top"/>
    </xf>
    <xf numFmtId="0" fontId="114" fillId="0" borderId="0" xfId="0" applyFont="1" applyFill="1" applyAlignment="1">
      <alignment vertical="top"/>
    </xf>
    <xf numFmtId="0" fontId="54" fillId="0" borderId="11" xfId="0" applyFont="1" applyFill="1" applyBorder="1" applyAlignment="1">
      <alignment horizontal="center" vertical="center"/>
    </xf>
    <xf numFmtId="0" fontId="128" fillId="0" borderId="39" xfId="0" applyFont="1" applyFill="1" applyBorder="1" applyAlignment="1" applyProtection="1">
      <alignment horizontal="center" vertical="center"/>
      <protection locked="0"/>
    </xf>
    <xf numFmtId="1" fontId="32" fillId="0" borderId="2" xfId="0" applyNumberFormat="1" applyFont="1" applyFill="1" applyBorder="1" applyAlignment="1">
      <alignment horizontal="center" vertical="center"/>
    </xf>
    <xf numFmtId="0" fontId="54" fillId="9" borderId="6" xfId="0" applyFont="1" applyFill="1" applyBorder="1" applyAlignment="1">
      <alignment horizontal="center" vertical="center"/>
    </xf>
    <xf numFmtId="169" fontId="100" fillId="4" borderId="70" xfId="0" applyNumberFormat="1" applyFont="1" applyFill="1" applyBorder="1" applyAlignment="1">
      <alignment horizontal="center" vertical="center"/>
    </xf>
    <xf numFmtId="165" fontId="100" fillId="0" borderId="70" xfId="0" applyNumberFormat="1" applyFont="1" applyFill="1" applyBorder="1" applyAlignment="1">
      <alignment horizontal="center" vertical="center"/>
    </xf>
    <xf numFmtId="165" fontId="100" fillId="0" borderId="74" xfId="2" applyNumberFormat="1" applyFont="1" applyFill="1" applyBorder="1" applyAlignment="1">
      <alignment horizontal="center" vertical="center"/>
    </xf>
    <xf numFmtId="2" fontId="100" fillId="4" borderId="70" xfId="0" applyNumberFormat="1" applyFont="1" applyFill="1" applyBorder="1" applyAlignment="1">
      <alignment horizontal="center" vertical="center"/>
    </xf>
    <xf numFmtId="165" fontId="100" fillId="4" borderId="70" xfId="0" applyNumberFormat="1" applyFont="1" applyFill="1" applyBorder="1" applyAlignment="1">
      <alignment horizontal="center" vertical="center"/>
    </xf>
    <xf numFmtId="165" fontId="100" fillId="4" borderId="29" xfId="0" applyNumberFormat="1" applyFont="1" applyFill="1" applyBorder="1" applyAlignment="1">
      <alignment horizontal="center" vertical="center"/>
    </xf>
    <xf numFmtId="0" fontId="53" fillId="15" borderId="6" xfId="0" applyFont="1" applyFill="1" applyBorder="1" applyAlignment="1">
      <alignment horizontal="center" vertical="center"/>
    </xf>
    <xf numFmtId="0" fontId="144" fillId="15" borderId="47" xfId="0" applyFont="1" applyFill="1" applyBorder="1" applyAlignment="1">
      <alignment horizontal="center" vertical="center"/>
    </xf>
    <xf numFmtId="1" fontId="82" fillId="15" borderId="6" xfId="0" applyNumberFormat="1" applyFont="1" applyFill="1" applyBorder="1" applyAlignment="1">
      <alignment horizontal="center" vertical="center"/>
    </xf>
    <xf numFmtId="165" fontId="82" fillId="15" borderId="3" xfId="0" applyNumberFormat="1" applyFont="1" applyFill="1" applyBorder="1" applyAlignment="1">
      <alignment horizontal="center" vertical="center"/>
    </xf>
    <xf numFmtId="166" fontId="33" fillId="16" borderId="34" xfId="0" applyNumberFormat="1" applyFont="1" applyFill="1" applyBorder="1" applyAlignment="1" applyProtection="1">
      <alignment horizontal="center" vertical="center"/>
      <protection locked="0"/>
    </xf>
    <xf numFmtId="166" fontId="54" fillId="0" borderId="7" xfId="0" applyNumberFormat="1" applyFont="1" applyFill="1" applyBorder="1" applyAlignment="1">
      <alignment horizontal="center" vertical="center"/>
    </xf>
    <xf numFmtId="0" fontId="92" fillId="0" borderId="22" xfId="0" applyFont="1" applyFill="1" applyBorder="1" applyAlignment="1">
      <alignment horizontal="center" vertical="center"/>
    </xf>
    <xf numFmtId="0" fontId="92" fillId="0" borderId="6" xfId="0" applyFont="1" applyFill="1" applyBorder="1" applyAlignment="1">
      <alignment horizontal="center" vertical="center"/>
    </xf>
    <xf numFmtId="165" fontId="49" fillId="0" borderId="27" xfId="2" applyNumberFormat="1" applyFont="1" applyFill="1" applyBorder="1" applyAlignment="1">
      <alignment horizontal="center" vertical="center"/>
    </xf>
    <xf numFmtId="165" fontId="49" fillId="0" borderId="9" xfId="0" applyNumberFormat="1" applyFont="1" applyFill="1" applyBorder="1" applyAlignment="1">
      <alignment horizontal="center" vertical="center"/>
    </xf>
    <xf numFmtId="0" fontId="39" fillId="0" borderId="11" xfId="0" applyFont="1" applyFill="1" applyBorder="1" applyAlignment="1">
      <alignment horizontal="center" vertical="center"/>
    </xf>
    <xf numFmtId="0" fontId="39" fillId="0" borderId="65" xfId="0" applyFont="1" applyFill="1" applyBorder="1" applyAlignment="1">
      <alignment horizontal="center" vertical="center"/>
    </xf>
    <xf numFmtId="0" fontId="73" fillId="0" borderId="6" xfId="0" applyFont="1" applyFill="1" applyBorder="1" applyAlignment="1">
      <alignment horizontal="center" vertical="center"/>
    </xf>
    <xf numFmtId="0" fontId="73" fillId="0" borderId="6" xfId="0" applyFont="1" applyFill="1" applyBorder="1" applyAlignment="1">
      <alignment vertical="center"/>
    </xf>
    <xf numFmtId="0" fontId="39" fillId="0" borderId="6" xfId="0" applyFont="1" applyFill="1" applyBorder="1" applyAlignment="1">
      <alignment horizontal="left" vertical="center" wrapText="1"/>
    </xf>
    <xf numFmtId="0" fontId="60" fillId="0" borderId="0" xfId="0" applyFont="1" applyFill="1" applyBorder="1" applyAlignment="1">
      <alignment vertical="center"/>
    </xf>
    <xf numFmtId="165" fontId="161" fillId="0" borderId="34" xfId="0" applyNumberFormat="1" applyFont="1" applyFill="1" applyBorder="1" applyAlignment="1" applyProtection="1">
      <alignment horizontal="center" vertical="center"/>
      <protection locked="0"/>
    </xf>
    <xf numFmtId="165" fontId="161" fillId="0" borderId="33" xfId="0" applyNumberFormat="1" applyFont="1" applyFill="1" applyBorder="1" applyAlignment="1" applyProtection="1">
      <alignment horizontal="center" vertical="center"/>
      <protection locked="0"/>
    </xf>
    <xf numFmtId="2" fontId="161" fillId="0" borderId="33" xfId="0" applyNumberFormat="1" applyFont="1" applyFill="1" applyBorder="1" applyAlignment="1" applyProtection="1">
      <alignment horizontal="center" vertical="center"/>
      <protection locked="0"/>
    </xf>
    <xf numFmtId="2" fontId="161" fillId="0" borderId="32" xfId="0" applyNumberFormat="1" applyFont="1" applyFill="1" applyBorder="1" applyAlignment="1" applyProtection="1">
      <alignment horizontal="center" vertical="center"/>
      <protection locked="0"/>
    </xf>
    <xf numFmtId="166" fontId="161" fillId="0" borderId="2" xfId="0" applyNumberFormat="1" applyFont="1" applyFill="1" applyBorder="1" applyAlignment="1" applyProtection="1">
      <alignment horizontal="center" vertical="center"/>
      <protection locked="0"/>
    </xf>
    <xf numFmtId="165" fontId="17" fillId="0" borderId="0" xfId="0" applyNumberFormat="1" applyFont="1" applyFill="1" applyBorder="1" applyAlignment="1">
      <alignment vertical="center"/>
    </xf>
    <xf numFmtId="2" fontId="147" fillId="0" borderId="3" xfId="0" applyNumberFormat="1" applyFont="1" applyFill="1" applyBorder="1" applyAlignment="1">
      <alignment vertical="center"/>
    </xf>
    <xf numFmtId="2" fontId="147" fillId="0" borderId="6" xfId="0" applyNumberFormat="1" applyFont="1" applyFill="1" applyBorder="1" applyAlignment="1">
      <alignment vertical="center"/>
    </xf>
    <xf numFmtId="0" fontId="60" fillId="0" borderId="12" xfId="0" applyFont="1" applyFill="1" applyBorder="1" applyAlignment="1">
      <alignment horizontal="center" vertical="center"/>
    </xf>
    <xf numFmtId="165" fontId="100" fillId="4" borderId="74" xfId="2" applyNumberFormat="1" applyFont="1" applyFill="1" applyBorder="1" applyAlignment="1">
      <alignment horizontal="center" vertical="center"/>
    </xf>
    <xf numFmtId="169" fontId="95" fillId="0" borderId="34" xfId="0" applyNumberFormat="1" applyFont="1" applyFill="1" applyBorder="1" applyAlignment="1">
      <alignment horizontal="center" vertical="center"/>
    </xf>
    <xf numFmtId="0" fontId="112" fillId="0" borderId="39" xfId="0" applyFont="1" applyBorder="1"/>
    <xf numFmtId="169" fontId="95" fillId="0" borderId="4" xfId="0" applyNumberFormat="1" applyFont="1" applyFill="1" applyBorder="1" applyAlignment="1">
      <alignment horizontal="center" vertical="center"/>
    </xf>
    <xf numFmtId="4" fontId="161" fillId="0" borderId="4" xfId="0" applyNumberFormat="1" applyFont="1" applyFill="1" applyBorder="1" applyAlignment="1">
      <alignment horizontal="center" vertical="center"/>
    </xf>
    <xf numFmtId="4" fontId="161" fillId="0" borderId="49" xfId="0" applyNumberFormat="1" applyFont="1" applyFill="1" applyBorder="1" applyAlignment="1">
      <alignment horizontal="center" vertical="center"/>
    </xf>
    <xf numFmtId="166" fontId="54" fillId="0" borderId="2" xfId="0" applyNumberFormat="1" applyFont="1" applyFill="1" applyBorder="1" applyAlignment="1">
      <alignment horizontal="center" vertical="center"/>
    </xf>
    <xf numFmtId="2" fontId="174" fillId="0" borderId="0" xfId="0" applyNumberFormat="1" applyFont="1" applyFill="1"/>
    <xf numFmtId="166" fontId="54" fillId="0" borderId="6" xfId="0" applyNumberFormat="1" applyFont="1" applyFill="1" applyBorder="1" applyAlignment="1">
      <alignment horizontal="center" vertical="center"/>
    </xf>
    <xf numFmtId="166" fontId="49" fillId="15" borderId="2" xfId="0" applyNumberFormat="1" applyFont="1" applyFill="1" applyBorder="1" applyAlignment="1">
      <alignment horizontal="center" vertical="center"/>
    </xf>
    <xf numFmtId="166" fontId="49" fillId="0" borderId="6" xfId="0" applyNumberFormat="1" applyFont="1" applyFill="1" applyBorder="1" applyAlignment="1">
      <alignment horizontal="center" vertical="center"/>
    </xf>
    <xf numFmtId="166" fontId="54" fillId="0" borderId="23" xfId="0" applyNumberFormat="1" applyFont="1" applyFill="1" applyBorder="1" applyAlignment="1">
      <alignment horizontal="center" vertical="center"/>
    </xf>
    <xf numFmtId="166" fontId="129" fillId="0" borderId="4" xfId="0" applyNumberFormat="1" applyFont="1" applyFill="1" applyBorder="1" applyAlignment="1">
      <alignment horizontal="center" vertical="center"/>
    </xf>
    <xf numFmtId="0" fontId="148" fillId="0" borderId="8" xfId="0" applyFont="1" applyFill="1" applyBorder="1" applyAlignment="1">
      <alignment horizontal="center" vertical="center"/>
    </xf>
    <xf numFmtId="0" fontId="148" fillId="0" borderId="7" xfId="0" applyFont="1" applyFill="1" applyBorder="1" applyAlignment="1">
      <alignment horizontal="center" vertical="center"/>
    </xf>
    <xf numFmtId="1" fontId="90" fillId="15" borderId="59" xfId="0" applyNumberFormat="1" applyFont="1" applyFill="1" applyBorder="1" applyAlignment="1">
      <alignment horizontal="center" vertical="center"/>
    </xf>
    <xf numFmtId="1" fontId="121" fillId="0" borderId="60" xfId="0" applyNumberFormat="1" applyFont="1" applyFill="1" applyBorder="1" applyAlignment="1">
      <alignment horizontal="center" vertical="center"/>
    </xf>
    <xf numFmtId="1" fontId="93" fillId="0" borderId="59" xfId="0" applyNumberFormat="1" applyFont="1" applyFill="1" applyBorder="1" applyAlignment="1">
      <alignment horizontal="center" vertical="center"/>
    </xf>
    <xf numFmtId="1" fontId="90" fillId="0" borderId="48" xfId="0" applyNumberFormat="1" applyFont="1" applyFill="1" applyBorder="1" applyAlignment="1">
      <alignment horizontal="center" vertical="center"/>
    </xf>
    <xf numFmtId="1" fontId="90" fillId="0" borderId="59" xfId="0" applyNumberFormat="1" applyFont="1" applyFill="1" applyBorder="1" applyAlignment="1">
      <alignment horizontal="center" vertical="center"/>
    </xf>
    <xf numFmtId="1" fontId="136" fillId="0" borderId="59" xfId="0" applyNumberFormat="1" applyFont="1" applyFill="1" applyBorder="1" applyAlignment="1">
      <alignment horizontal="center" vertical="center"/>
    </xf>
    <xf numFmtId="1" fontId="90" fillId="15" borderId="58" xfId="0" applyNumberFormat="1" applyFont="1" applyFill="1" applyBorder="1" applyAlignment="1">
      <alignment horizontal="center" vertical="center"/>
    </xf>
    <xf numFmtId="1" fontId="93" fillId="0" borderId="48" xfId="0" applyNumberFormat="1" applyFont="1" applyFill="1" applyBorder="1" applyAlignment="1">
      <alignment horizontal="center" vertical="center"/>
    </xf>
    <xf numFmtId="1" fontId="90" fillId="0" borderId="60" xfId="0" applyNumberFormat="1" applyFont="1" applyFill="1" applyBorder="1" applyAlignment="1">
      <alignment horizontal="center" vertical="center"/>
    </xf>
    <xf numFmtId="1" fontId="175" fillId="0" borderId="59" xfId="0" applyNumberFormat="1" applyFont="1" applyFill="1" applyBorder="1" applyAlignment="1">
      <alignment horizontal="center" vertical="center"/>
    </xf>
    <xf numFmtId="1" fontId="90" fillId="0" borderId="58" xfId="0" applyNumberFormat="1" applyFont="1" applyFill="1" applyBorder="1" applyAlignment="1">
      <alignment horizontal="center" vertical="center"/>
    </xf>
    <xf numFmtId="1" fontId="32" fillId="0" borderId="58" xfId="0" applyNumberFormat="1" applyFont="1" applyFill="1" applyBorder="1" applyAlignment="1">
      <alignment horizontal="center" vertical="center"/>
    </xf>
    <xf numFmtId="1" fontId="32" fillId="0" borderId="59" xfId="0" applyNumberFormat="1" applyFont="1" applyFill="1" applyBorder="1" applyAlignment="1">
      <alignment horizontal="center" vertical="center"/>
    </xf>
    <xf numFmtId="1" fontId="90" fillId="14" borderId="59" xfId="0" applyNumberFormat="1" applyFont="1" applyFill="1" applyBorder="1" applyAlignment="1">
      <alignment horizontal="center" vertical="center"/>
    </xf>
    <xf numFmtId="1" fontId="119" fillId="0" borderId="14" xfId="0" applyNumberFormat="1" applyFont="1" applyFill="1" applyBorder="1" applyAlignment="1">
      <alignment horizontal="center" vertical="center"/>
    </xf>
    <xf numFmtId="1" fontId="72" fillId="0" borderId="15" xfId="0" applyNumberFormat="1" applyFont="1" applyFill="1" applyBorder="1" applyAlignment="1">
      <alignment horizontal="center" vertical="center"/>
    </xf>
    <xf numFmtId="49" fontId="92" fillId="0" borderId="3" xfId="0" applyNumberFormat="1" applyFont="1" applyFill="1" applyBorder="1" applyAlignment="1">
      <alignment horizontal="center" vertical="center"/>
    </xf>
    <xf numFmtId="165" fontId="100" fillId="4" borderId="75" xfId="0" applyNumberFormat="1" applyFont="1" applyFill="1" applyBorder="1" applyAlignment="1">
      <alignment horizontal="center" vertical="center"/>
    </xf>
    <xf numFmtId="165" fontId="100" fillId="4" borderId="66" xfId="0" applyNumberFormat="1" applyFont="1" applyFill="1" applyBorder="1" applyAlignment="1">
      <alignment horizontal="center" vertical="center"/>
    </xf>
    <xf numFmtId="0" fontId="93" fillId="0" borderId="11" xfId="0" applyFont="1" applyFill="1" applyBorder="1" applyAlignment="1">
      <alignment horizontal="center" vertical="center"/>
    </xf>
    <xf numFmtId="0" fontId="32" fillId="0" borderId="23" xfId="0" applyFont="1" applyFill="1" applyBorder="1" applyAlignment="1">
      <alignment horizontal="left" vertical="center"/>
    </xf>
    <xf numFmtId="166" fontId="94" fillId="0" borderId="38" xfId="0" applyNumberFormat="1" applyFont="1" applyFill="1" applyBorder="1" applyAlignment="1">
      <alignment horizontal="center" vertical="center"/>
    </xf>
    <xf numFmtId="4" fontId="49" fillId="15" borderId="22" xfId="0" applyNumberFormat="1" applyFont="1" applyFill="1" applyBorder="1" applyAlignment="1">
      <alignment horizontal="center" vertical="center" wrapText="1"/>
    </xf>
    <xf numFmtId="0" fontId="82" fillId="15" borderId="22" xfId="0" applyFont="1" applyFill="1" applyBorder="1" applyAlignment="1">
      <alignment horizontal="left" vertical="center" wrapText="1"/>
    </xf>
    <xf numFmtId="4" fontId="49" fillId="15" borderId="6" xfId="0" applyNumberFormat="1" applyFont="1" applyFill="1" applyBorder="1" applyAlignment="1">
      <alignment horizontal="center" vertical="center" wrapText="1"/>
    </xf>
    <xf numFmtId="0" fontId="53" fillId="15" borderId="6" xfId="0" applyFont="1" applyFill="1" applyBorder="1" applyAlignment="1">
      <alignment horizontal="left" vertical="center" wrapText="1"/>
    </xf>
    <xf numFmtId="164" fontId="176" fillId="0" borderId="0" xfId="1" applyFont="1" applyFill="1" applyBorder="1" applyAlignment="1">
      <alignment horizontal="left"/>
    </xf>
    <xf numFmtId="164" fontId="177" fillId="0" borderId="0" xfId="1" applyFont="1" applyFill="1" applyBorder="1" applyAlignment="1">
      <alignment horizontal="left"/>
    </xf>
    <xf numFmtId="165" fontId="54" fillId="0" borderId="27" xfId="2" applyNumberFormat="1" applyFont="1" applyFill="1" applyBorder="1" applyAlignment="1">
      <alignment horizontal="center" vertical="center"/>
    </xf>
    <xf numFmtId="2" fontId="91" fillId="15" borderId="3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62" xfId="0" applyFont="1" applyFill="1" applyBorder="1" applyAlignment="1">
      <alignment horizontal="center"/>
    </xf>
    <xf numFmtId="2" fontId="144" fillId="15" borderId="47" xfId="0" applyNumberFormat="1" applyFont="1" applyFill="1" applyBorder="1" applyAlignment="1">
      <alignment horizontal="center" vertical="center"/>
    </xf>
    <xf numFmtId="0" fontId="170" fillId="0" borderId="0" xfId="0" applyFont="1" applyFill="1" applyBorder="1" applyAlignment="1">
      <alignment horizontal="left" vertical="center"/>
    </xf>
    <xf numFmtId="0" fontId="170" fillId="0" borderId="0" xfId="0" applyFont="1" applyFill="1" applyAlignment="1">
      <alignment vertical="center" wrapText="1"/>
    </xf>
    <xf numFmtId="1" fontId="33" fillId="4" borderId="0" xfId="0" applyNumberFormat="1" applyFont="1" applyFill="1" applyBorder="1" applyAlignment="1" applyProtection="1">
      <alignment vertical="center"/>
      <protection locked="0"/>
    </xf>
    <xf numFmtId="0" fontId="53" fillId="15" borderId="13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/>
    </xf>
    <xf numFmtId="0" fontId="2" fillId="0" borderId="22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0" fontId="6" fillId="15" borderId="16" xfId="0" applyFont="1" applyFill="1" applyBorder="1" applyAlignment="1">
      <alignment horizontal="center" vertical="center"/>
    </xf>
    <xf numFmtId="0" fontId="6" fillId="15" borderId="23" xfId="0" applyFont="1" applyFill="1" applyBorder="1" applyAlignment="1">
      <alignment horizontal="center" vertical="center"/>
    </xf>
    <xf numFmtId="0" fontId="6" fillId="15" borderId="11" xfId="0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center" vertical="center"/>
    </xf>
    <xf numFmtId="0" fontId="6" fillId="15" borderId="15" xfId="0" applyFont="1" applyFill="1" applyBorder="1" applyAlignment="1">
      <alignment horizontal="center" vertical="center"/>
    </xf>
    <xf numFmtId="0" fontId="49" fillId="15" borderId="3" xfId="0" applyFont="1" applyFill="1" applyBorder="1" applyAlignment="1">
      <alignment vertical="center"/>
    </xf>
    <xf numFmtId="0" fontId="170" fillId="0" borderId="0" xfId="0" applyFont="1" applyFill="1" applyAlignment="1">
      <alignment horizontal="left" vertical="center"/>
    </xf>
    <xf numFmtId="0" fontId="49" fillId="15" borderId="13" xfId="0" applyFont="1" applyFill="1" applyBorder="1" applyAlignment="1">
      <alignment vertical="center"/>
    </xf>
    <xf numFmtId="2" fontId="145" fillId="15" borderId="59" xfId="0" applyNumberFormat="1" applyFont="1" applyFill="1" applyBorder="1" applyAlignment="1">
      <alignment horizontal="center" vertical="center"/>
    </xf>
    <xf numFmtId="0" fontId="54" fillId="0" borderId="13" xfId="0" applyFont="1" applyFill="1" applyBorder="1" applyAlignment="1">
      <alignment horizontal="left" vertical="center"/>
    </xf>
    <xf numFmtId="0" fontId="54" fillId="0" borderId="20" xfId="0" applyFont="1" applyFill="1" applyBorder="1" applyAlignment="1">
      <alignment horizontal="left" vertical="center"/>
    </xf>
    <xf numFmtId="0" fontId="54" fillId="0" borderId="54" xfId="0" applyFont="1" applyFill="1" applyBorder="1" applyAlignment="1">
      <alignment horizontal="left" vertical="center"/>
    </xf>
    <xf numFmtId="0" fontId="49" fillId="0" borderId="20" xfId="0" applyFont="1" applyFill="1" applyBorder="1" applyAlignment="1">
      <alignment horizontal="left" vertical="center"/>
    </xf>
    <xf numFmtId="0" fontId="54" fillId="0" borderId="13" xfId="0" applyFont="1" applyFill="1" applyBorder="1" applyAlignment="1">
      <alignment horizontal="left" vertical="center" wrapText="1"/>
    </xf>
    <xf numFmtId="0" fontId="54" fillId="0" borderId="20" xfId="0" applyFont="1" applyFill="1" applyBorder="1" applyAlignment="1">
      <alignment horizontal="left" vertical="center" wrapText="1"/>
    </xf>
    <xf numFmtId="0" fontId="49" fillId="15" borderId="13" xfId="0" applyFont="1" applyFill="1" applyBorder="1" applyAlignment="1">
      <alignment horizontal="left" vertical="center" wrapText="1"/>
    </xf>
    <xf numFmtId="0" fontId="49" fillId="15" borderId="3" xfId="0" applyFont="1" applyFill="1" applyBorder="1" applyAlignment="1">
      <alignment horizontal="left" vertical="center" wrapText="1"/>
    </xf>
    <xf numFmtId="0" fontId="54" fillId="0" borderId="54" xfId="0" applyFont="1" applyFill="1" applyBorder="1" applyAlignment="1">
      <alignment vertical="center"/>
    </xf>
    <xf numFmtId="0" fontId="49" fillId="0" borderId="13" xfId="0" applyFont="1" applyFill="1" applyBorder="1" applyAlignment="1">
      <alignment vertical="center"/>
    </xf>
    <xf numFmtId="0" fontId="49" fillId="21" borderId="3" xfId="0" applyFont="1" applyFill="1" applyBorder="1" applyAlignment="1">
      <alignment vertical="center"/>
    </xf>
    <xf numFmtId="0" fontId="49" fillId="15" borderId="13" xfId="0" applyFont="1" applyFill="1" applyBorder="1" applyAlignment="1">
      <alignment horizontal="left" vertical="center"/>
    </xf>
    <xf numFmtId="49" fontId="21" fillId="19" borderId="54" xfId="0" applyNumberFormat="1" applyFont="1" applyFill="1" applyBorder="1" applyAlignment="1">
      <alignment horizontal="left" vertical="center"/>
    </xf>
    <xf numFmtId="0" fontId="49" fillId="8" borderId="13" xfId="0" applyFont="1" applyFill="1" applyBorder="1" applyAlignment="1">
      <alignment vertical="center"/>
    </xf>
    <xf numFmtId="0" fontId="49" fillId="14" borderId="13" xfId="0" applyFont="1" applyFill="1" applyBorder="1" applyAlignment="1">
      <alignment vertical="center"/>
    </xf>
    <xf numFmtId="0" fontId="92" fillId="0" borderId="20" xfId="0" applyFont="1" applyFill="1" applyBorder="1" applyAlignment="1">
      <alignment vertical="center"/>
    </xf>
    <xf numFmtId="2" fontId="145" fillId="0" borderId="60" xfId="0" applyNumberFormat="1" applyFont="1" applyFill="1" applyBorder="1" applyAlignment="1">
      <alignment horizontal="center" vertical="center"/>
    </xf>
    <xf numFmtId="2" fontId="145" fillId="0" borderId="59" xfId="0" applyNumberFormat="1" applyFont="1" applyFill="1" applyBorder="1" applyAlignment="1">
      <alignment horizontal="center" vertical="center"/>
    </xf>
    <xf numFmtId="2" fontId="145" fillId="0" borderId="58" xfId="0" applyNumberFormat="1" applyFont="1" applyFill="1" applyBorder="1" applyAlignment="1">
      <alignment horizontal="center" vertical="center"/>
    </xf>
    <xf numFmtId="2" fontId="145" fillId="0" borderId="48" xfId="0" applyNumberFormat="1" applyFont="1" applyFill="1" applyBorder="1" applyAlignment="1">
      <alignment horizontal="center" vertical="center"/>
    </xf>
    <xf numFmtId="2" fontId="145" fillId="15" borderId="58" xfId="0" applyNumberFormat="1" applyFont="1" applyFill="1" applyBorder="1" applyAlignment="1">
      <alignment horizontal="center" vertical="center"/>
    </xf>
    <xf numFmtId="2" fontId="147" fillId="0" borderId="59" xfId="0" applyNumberFormat="1" applyFont="1" applyFill="1" applyBorder="1" applyAlignment="1">
      <alignment horizontal="center" vertical="center"/>
    </xf>
    <xf numFmtId="2" fontId="147" fillId="0" borderId="58" xfId="0" applyNumberFormat="1" applyFont="1" applyFill="1" applyBorder="1" applyAlignment="1">
      <alignment horizontal="center" vertical="center"/>
    </xf>
    <xf numFmtId="2" fontId="145" fillId="0" borderId="60" xfId="0" applyNumberFormat="1" applyFont="1" applyFill="1" applyBorder="1" applyAlignment="1">
      <alignment horizontal="center" vertical="center" wrapText="1"/>
    </xf>
    <xf numFmtId="2" fontId="145" fillId="14" borderId="59" xfId="0" applyNumberFormat="1" applyFont="1" applyFill="1" applyBorder="1" applyAlignment="1">
      <alignment horizontal="center" vertical="center"/>
    </xf>
    <xf numFmtId="165" fontId="145" fillId="0" borderId="60" xfId="0" applyNumberFormat="1" applyFont="1" applyFill="1" applyBorder="1" applyAlignment="1">
      <alignment horizontal="center" vertical="center"/>
    </xf>
    <xf numFmtId="165" fontId="163" fillId="0" borderId="59" xfId="0" applyNumberFormat="1" applyFont="1" applyFill="1" applyBorder="1" applyAlignment="1">
      <alignment horizontal="center" vertical="center"/>
    </xf>
    <xf numFmtId="165" fontId="163" fillId="0" borderId="60" xfId="0" applyNumberFormat="1" applyFont="1" applyFill="1" applyBorder="1" applyAlignment="1">
      <alignment horizontal="center" vertical="center"/>
    </xf>
    <xf numFmtId="2" fontId="163" fillId="0" borderId="58" xfId="0" applyNumberFormat="1" applyFont="1" applyFill="1" applyBorder="1" applyAlignment="1">
      <alignment horizontal="center" vertical="center"/>
    </xf>
    <xf numFmtId="4" fontId="54" fillId="15" borderId="2" xfId="0" applyNumberFormat="1" applyFont="1" applyFill="1" applyBorder="1" applyAlignment="1">
      <alignment horizontal="center" vertical="center"/>
    </xf>
    <xf numFmtId="4" fontId="54" fillId="15" borderId="6" xfId="0" applyNumberFormat="1" applyFont="1" applyFill="1" applyBorder="1" applyAlignment="1">
      <alignment horizontal="center" vertical="center"/>
    </xf>
    <xf numFmtId="4" fontId="54" fillId="0" borderId="23" xfId="0" applyNumberFormat="1" applyFont="1" applyFill="1" applyBorder="1" applyAlignment="1">
      <alignment horizontal="center" vertical="center" wrapText="1"/>
    </xf>
    <xf numFmtId="4" fontId="49" fillId="0" borderId="22" xfId="0" applyNumberFormat="1" applyFont="1" applyFill="1" applyBorder="1" applyAlignment="1">
      <alignment horizontal="center" vertical="center"/>
    </xf>
    <xf numFmtId="4" fontId="49" fillId="15" borderId="22" xfId="0" applyNumberFormat="1" applyFont="1" applyFill="1" applyBorder="1" applyAlignment="1">
      <alignment horizontal="center" vertical="center"/>
    </xf>
    <xf numFmtId="4" fontId="16" fillId="0" borderId="23" xfId="0" applyNumberFormat="1" applyFont="1" applyFill="1" applyBorder="1" applyAlignment="1">
      <alignment horizontal="center" vertical="center"/>
    </xf>
    <xf numFmtId="1" fontId="178" fillId="4" borderId="0" xfId="0" applyNumberFormat="1" applyFont="1" applyFill="1" applyBorder="1" applyAlignment="1" applyProtection="1">
      <alignment vertical="center"/>
      <protection locked="0"/>
    </xf>
    <xf numFmtId="1" fontId="116" fillId="0" borderId="0" xfId="0" applyNumberFormat="1" applyFont="1" applyFill="1" applyBorder="1" applyAlignment="1">
      <alignment horizontal="center"/>
    </xf>
    <xf numFmtId="1" fontId="126" fillId="0" borderId="0" xfId="0" applyNumberFormat="1" applyFont="1" applyFill="1" applyBorder="1" applyAlignment="1">
      <alignment horizontal="right"/>
    </xf>
    <xf numFmtId="1" fontId="178" fillId="0" borderId="0" xfId="0" applyNumberFormat="1" applyFont="1" applyFill="1" applyBorder="1" applyAlignment="1"/>
    <xf numFmtId="1" fontId="179" fillId="0" borderId="0" xfId="0" applyNumberFormat="1" applyFont="1" applyFill="1" applyBorder="1" applyAlignment="1">
      <alignment horizontal="center"/>
    </xf>
    <xf numFmtId="0" fontId="116" fillId="0" borderId="0" xfId="0" applyFont="1" applyFill="1" applyAlignment="1">
      <alignment horizontal="right"/>
    </xf>
    <xf numFmtId="0" fontId="180" fillId="0" borderId="0" xfId="0" applyFont="1" applyFill="1" applyAlignment="1"/>
    <xf numFmtId="0" fontId="116" fillId="0" borderId="0" xfId="0" applyFont="1" applyFill="1" applyAlignment="1"/>
    <xf numFmtId="165" fontId="181" fillId="4" borderId="76" xfId="0" applyNumberFormat="1" applyFont="1" applyFill="1" applyBorder="1" applyAlignment="1" applyProtection="1">
      <alignment horizontal="right" vertical="center"/>
      <protection locked="0"/>
    </xf>
    <xf numFmtId="165" fontId="32" fillId="4" borderId="2" xfId="0" applyNumberFormat="1" applyFont="1" applyFill="1" applyBorder="1" applyAlignment="1" applyProtection="1">
      <alignment horizontal="center" vertical="center"/>
      <protection locked="0"/>
    </xf>
    <xf numFmtId="0" fontId="129" fillId="0" borderId="2" xfId="0" applyFont="1" applyFill="1" applyBorder="1" applyAlignment="1" applyProtection="1">
      <alignment horizontal="center" vertical="center"/>
      <protection locked="0"/>
    </xf>
    <xf numFmtId="165" fontId="161" fillId="4" borderId="36" xfId="0" applyNumberFormat="1" applyFont="1" applyFill="1" applyBorder="1" applyAlignment="1" applyProtection="1">
      <alignment horizontal="right" vertical="center"/>
      <protection locked="0"/>
    </xf>
    <xf numFmtId="165" fontId="182" fillId="4" borderId="36" xfId="0" applyNumberFormat="1" applyFont="1" applyFill="1" applyBorder="1" applyAlignment="1" applyProtection="1">
      <alignment horizontal="center" vertical="center"/>
      <protection locked="0"/>
    </xf>
    <xf numFmtId="165" fontId="145" fillId="4" borderId="2" xfId="0" applyNumberFormat="1" applyFont="1" applyFill="1" applyBorder="1" applyAlignment="1" applyProtection="1">
      <alignment horizontal="right" vertical="center"/>
      <protection locked="0"/>
    </xf>
    <xf numFmtId="165" fontId="82" fillId="15" borderId="58" xfId="0" applyNumberFormat="1" applyFont="1" applyFill="1" applyBorder="1" applyAlignment="1">
      <alignment horizontal="center" vertical="center"/>
    </xf>
    <xf numFmtId="0" fontId="52" fillId="15" borderId="23" xfId="0" applyFont="1" applyFill="1" applyBorder="1" applyAlignment="1">
      <alignment horizontal="center" vertical="center"/>
    </xf>
    <xf numFmtId="0" fontId="52" fillId="15" borderId="23" xfId="0" applyFont="1" applyFill="1" applyBorder="1" applyAlignment="1">
      <alignment vertical="center"/>
    </xf>
    <xf numFmtId="3" fontId="16" fillId="0" borderId="23" xfId="0" applyNumberFormat="1" applyFont="1" applyFill="1" applyBorder="1" applyAlignment="1">
      <alignment horizontal="center" vertical="center"/>
    </xf>
    <xf numFmtId="165" fontId="54" fillId="0" borderId="36" xfId="2" applyNumberFormat="1" applyFont="1" applyFill="1" applyBorder="1" applyAlignment="1">
      <alignment horizontal="center" vertical="center"/>
    </xf>
    <xf numFmtId="165" fontId="54" fillId="0" borderId="25" xfId="2" applyNumberFormat="1" applyFont="1" applyFill="1" applyBorder="1" applyAlignment="1">
      <alignment horizontal="center" vertical="center"/>
    </xf>
    <xf numFmtId="0" fontId="54" fillId="0" borderId="25" xfId="2" applyFont="1" applyFill="1" applyBorder="1" applyAlignment="1">
      <alignment horizontal="center" vertical="center"/>
    </xf>
    <xf numFmtId="1" fontId="152" fillId="0" borderId="25" xfId="2" applyNumberFormat="1" applyFont="1" applyFill="1" applyBorder="1" applyAlignment="1">
      <alignment horizontal="center" vertical="center"/>
    </xf>
    <xf numFmtId="2" fontId="152" fillId="0" borderId="25" xfId="2" applyNumberFormat="1" applyFont="1" applyFill="1" applyBorder="1" applyAlignment="1">
      <alignment horizontal="center" vertical="center"/>
    </xf>
    <xf numFmtId="1" fontId="54" fillId="0" borderId="25" xfId="2" applyNumberFormat="1" applyFont="1" applyFill="1" applyBorder="1" applyAlignment="1">
      <alignment horizontal="center" vertical="center"/>
    </xf>
    <xf numFmtId="3" fontId="143" fillId="0" borderId="2" xfId="0" applyNumberFormat="1" applyFont="1" applyFill="1" applyBorder="1" applyAlignment="1">
      <alignment horizontal="center" vertical="center"/>
    </xf>
    <xf numFmtId="0" fontId="92" fillId="0" borderId="65" xfId="0" applyFont="1" applyFill="1" applyBorder="1" applyAlignment="1">
      <alignment horizontal="center" vertical="center"/>
    </xf>
    <xf numFmtId="0" fontId="114" fillId="0" borderId="0" xfId="0" applyFont="1" applyFill="1" applyBorder="1" applyAlignment="1">
      <alignment vertical="center"/>
    </xf>
    <xf numFmtId="0" fontId="183" fillId="0" borderId="0" xfId="0" applyFont="1" applyFill="1" applyBorder="1" applyAlignment="1">
      <alignment vertical="center"/>
    </xf>
    <xf numFmtId="0" fontId="49" fillId="15" borderId="5" xfId="0" applyFont="1" applyFill="1" applyBorder="1" applyAlignment="1">
      <alignment vertical="center"/>
    </xf>
    <xf numFmtId="2" fontId="2" fillId="0" borderId="0" xfId="0" applyNumberFormat="1" applyFont="1" applyFill="1" applyBorder="1" applyAlignment="1">
      <alignment vertical="center"/>
    </xf>
    <xf numFmtId="0" fontId="94" fillId="0" borderId="6" xfId="0" applyFont="1" applyFill="1" applyBorder="1" applyAlignment="1">
      <alignment horizontal="center" vertical="center"/>
    </xf>
    <xf numFmtId="0" fontId="111" fillId="0" borderId="39" xfId="0" applyFont="1" applyFill="1" applyBorder="1" applyAlignment="1">
      <alignment horizontal="center" vertical="center"/>
    </xf>
    <xf numFmtId="0" fontId="24" fillId="0" borderId="39" xfId="0" applyFont="1" applyFill="1" applyBorder="1" applyAlignment="1">
      <alignment vertical="center"/>
    </xf>
    <xf numFmtId="0" fontId="32" fillId="0" borderId="7" xfId="0" applyFont="1" applyFill="1" applyBorder="1" applyAlignment="1">
      <alignment horizontal="center" vertical="center"/>
    </xf>
    <xf numFmtId="3" fontId="33" fillId="0" borderId="6" xfId="0" applyNumberFormat="1" applyFont="1" applyFill="1" applyBorder="1" applyAlignment="1">
      <alignment horizontal="center" vertical="center"/>
    </xf>
    <xf numFmtId="3" fontId="56" fillId="0" borderId="0" xfId="0" applyNumberFormat="1" applyFont="1" applyFill="1" applyBorder="1" applyAlignment="1">
      <alignment horizontal="center" vertical="center"/>
    </xf>
    <xf numFmtId="0" fontId="119" fillId="0" borderId="6" xfId="0" applyFont="1" applyFill="1" applyBorder="1" applyAlignment="1">
      <alignment horizontal="center" vertical="center"/>
    </xf>
    <xf numFmtId="1" fontId="119" fillId="0" borderId="27" xfId="0" applyNumberFormat="1" applyFont="1" applyFill="1" applyBorder="1" applyAlignment="1">
      <alignment horizontal="center" vertical="center"/>
    </xf>
    <xf numFmtId="2" fontId="119" fillId="0" borderId="40" xfId="0" applyNumberFormat="1" applyFont="1" applyFill="1" applyBorder="1" applyAlignment="1">
      <alignment horizontal="center" vertical="center"/>
    </xf>
    <xf numFmtId="166" fontId="119" fillId="0" borderId="31" xfId="0" applyNumberFormat="1" applyFont="1" applyFill="1" applyBorder="1" applyAlignment="1">
      <alignment horizontal="center" vertical="center"/>
    </xf>
    <xf numFmtId="167" fontId="119" fillId="0" borderId="31" xfId="0" applyNumberFormat="1" applyFont="1" applyFill="1" applyBorder="1" applyAlignment="1">
      <alignment horizontal="center" vertical="center"/>
    </xf>
    <xf numFmtId="3" fontId="33" fillId="0" borderId="2" xfId="0" applyNumberFormat="1" applyFont="1" applyFill="1" applyBorder="1" applyAlignment="1">
      <alignment horizontal="center" vertical="center"/>
    </xf>
    <xf numFmtId="3" fontId="33" fillId="0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Fill="1" applyBorder="1" applyAlignment="1">
      <alignment horizontal="center" vertical="center"/>
    </xf>
    <xf numFmtId="0" fontId="119" fillId="0" borderId="8" xfId="0" applyFont="1" applyFill="1" applyBorder="1" applyAlignment="1">
      <alignment horizontal="center" vertical="center"/>
    </xf>
    <xf numFmtId="0" fontId="111" fillId="0" borderId="0" xfId="0" applyFont="1" applyFill="1" applyBorder="1" applyAlignment="1">
      <alignment horizontal="center" vertical="center"/>
    </xf>
    <xf numFmtId="1" fontId="54" fillId="0" borderId="6" xfId="0" applyNumberFormat="1" applyFont="1" applyFill="1" applyBorder="1" applyAlignment="1">
      <alignment vertical="center"/>
    </xf>
    <xf numFmtId="1" fontId="54" fillId="0" borderId="7" xfId="0" applyNumberFormat="1" applyFont="1" applyFill="1" applyBorder="1" applyAlignment="1">
      <alignment vertical="center"/>
    </xf>
    <xf numFmtId="0" fontId="6" fillId="15" borderId="24" xfId="0" applyFont="1" applyFill="1" applyBorder="1" applyAlignment="1">
      <alignment horizontal="center"/>
    </xf>
    <xf numFmtId="0" fontId="6" fillId="15" borderId="2" xfId="0" applyFont="1" applyFill="1" applyBorder="1" applyAlignment="1">
      <alignment horizontal="center"/>
    </xf>
    <xf numFmtId="0" fontId="6" fillId="15" borderId="30" xfId="0" applyFont="1" applyFill="1" applyBorder="1" applyAlignment="1">
      <alignment horizontal="center"/>
    </xf>
    <xf numFmtId="0" fontId="49" fillId="0" borderId="0" xfId="0" applyFont="1" applyFill="1" applyBorder="1" applyAlignment="1">
      <alignment vertical="center"/>
    </xf>
    <xf numFmtId="4" fontId="49" fillId="0" borderId="6" xfId="0" applyNumberFormat="1" applyFont="1" applyFill="1" applyBorder="1" applyAlignment="1">
      <alignment horizontal="center" vertical="center"/>
    </xf>
    <xf numFmtId="0" fontId="49" fillId="0" borderId="0" xfId="0" applyFont="1" applyFill="1" applyBorder="1" applyAlignment="1">
      <alignment horizontal="center" vertical="center"/>
    </xf>
    <xf numFmtId="1" fontId="49" fillId="0" borderId="0" xfId="0" applyNumberFormat="1" applyFont="1" applyFill="1" applyBorder="1" applyAlignment="1">
      <alignment horizontal="center" vertical="center"/>
    </xf>
    <xf numFmtId="165" fontId="49" fillId="0" borderId="6" xfId="0" applyNumberFormat="1" applyFont="1" applyFill="1" applyBorder="1" applyAlignment="1">
      <alignment horizontal="center" vertical="center"/>
    </xf>
    <xf numFmtId="0" fontId="170" fillId="0" borderId="0" xfId="0" applyFont="1" applyFill="1" applyAlignment="1">
      <alignment horizontal="left"/>
    </xf>
    <xf numFmtId="0" fontId="90" fillId="15" borderId="38" xfId="0" applyFont="1" applyFill="1" applyBorder="1" applyAlignment="1">
      <alignment horizontal="center" vertical="center"/>
    </xf>
    <xf numFmtId="0" fontId="184" fillId="15" borderId="11" xfId="0" applyFont="1" applyFill="1" applyBorder="1" applyAlignment="1">
      <alignment horizontal="center" vertical="center"/>
    </xf>
    <xf numFmtId="0" fontId="185" fillId="15" borderId="65" xfId="0" applyFont="1" applyFill="1" applyBorder="1" applyAlignment="1">
      <alignment horizontal="center" vertical="center"/>
    </xf>
    <xf numFmtId="0" fontId="18" fillId="15" borderId="0" xfId="0" applyFont="1" applyFill="1" applyAlignment="1">
      <alignment vertical="center"/>
    </xf>
    <xf numFmtId="165" fontId="49" fillId="15" borderId="2" xfId="0" applyNumberFormat="1" applyFont="1" applyFill="1" applyBorder="1" applyAlignment="1">
      <alignment horizontal="center" vertical="center"/>
    </xf>
    <xf numFmtId="0" fontId="49" fillId="15" borderId="5" xfId="0" applyFont="1" applyFill="1" applyBorder="1" applyAlignment="1">
      <alignment horizontal="center" vertical="center"/>
    </xf>
    <xf numFmtId="0" fontId="143" fillId="15" borderId="25" xfId="0" applyFont="1" applyFill="1" applyBorder="1" applyAlignment="1">
      <alignment horizontal="center" vertical="center"/>
    </xf>
    <xf numFmtId="167" fontId="49" fillId="15" borderId="19" xfId="0" applyNumberFormat="1" applyFont="1" applyFill="1" applyBorder="1" applyAlignment="1">
      <alignment horizontal="center" vertical="center"/>
    </xf>
    <xf numFmtId="0" fontId="123" fillId="0" borderId="0" xfId="0" applyFont="1" applyFill="1" applyAlignment="1">
      <alignment horizontal="left"/>
    </xf>
    <xf numFmtId="2" fontId="145" fillId="15" borderId="24" xfId="0" applyNumberFormat="1" applyFont="1" applyFill="1" applyBorder="1" applyAlignment="1">
      <alignment horizontal="center" vertical="center"/>
    </xf>
    <xf numFmtId="1" fontId="49" fillId="15" borderId="24" xfId="0" applyNumberFormat="1" applyFont="1" applyFill="1" applyBorder="1" applyAlignment="1">
      <alignment horizontal="center" vertical="center"/>
    </xf>
    <xf numFmtId="165" fontId="49" fillId="15" borderId="24" xfId="0" applyNumberFormat="1" applyFont="1" applyFill="1" applyBorder="1" applyAlignment="1">
      <alignment horizontal="center" vertical="center"/>
    </xf>
    <xf numFmtId="166" fontId="49" fillId="15" borderId="30" xfId="0" applyNumberFormat="1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" fontId="23" fillId="0" borderId="0" xfId="0" applyNumberFormat="1" applyFont="1" applyFill="1" applyBorder="1" applyAlignment="1">
      <alignment horizontal="center"/>
    </xf>
    <xf numFmtId="165" fontId="23" fillId="0" borderId="0" xfId="0" applyNumberFormat="1" applyFont="1" applyFill="1" applyBorder="1" applyAlignment="1">
      <alignment horizontal="center"/>
    </xf>
    <xf numFmtId="2" fontId="23" fillId="0" borderId="0" xfId="0" applyNumberFormat="1" applyFont="1" applyFill="1" applyBorder="1" applyAlignment="1">
      <alignment horizontal="center"/>
    </xf>
    <xf numFmtId="0" fontId="17" fillId="0" borderId="0" xfId="0" applyFont="1" applyFill="1" applyBorder="1"/>
    <xf numFmtId="165" fontId="17" fillId="0" borderId="0" xfId="0" applyNumberFormat="1" applyFont="1"/>
    <xf numFmtId="0" fontId="53" fillId="15" borderId="65" xfId="0" applyFont="1" applyFill="1" applyBorder="1" applyAlignment="1">
      <alignment horizontal="center" vertical="center"/>
    </xf>
    <xf numFmtId="2" fontId="145" fillId="15" borderId="22" xfId="0" applyNumberFormat="1" applyFont="1" applyFill="1" applyBorder="1" applyAlignment="1">
      <alignment horizontal="center" vertical="center"/>
    </xf>
    <xf numFmtId="0" fontId="90" fillId="15" borderId="22" xfId="0" applyFont="1" applyFill="1" applyBorder="1" applyAlignment="1">
      <alignment horizontal="center" vertical="center"/>
    </xf>
    <xf numFmtId="165" fontId="91" fillId="15" borderId="38" xfId="2" applyNumberFormat="1" applyFont="1" applyFill="1" applyBorder="1" applyAlignment="1">
      <alignment horizontal="center" vertical="center"/>
    </xf>
    <xf numFmtId="165" fontId="91" fillId="15" borderId="59" xfId="2" applyNumberFormat="1" applyFont="1" applyFill="1" applyBorder="1" applyAlignment="1">
      <alignment horizontal="center" vertical="center"/>
    </xf>
    <xf numFmtId="165" fontId="91" fillId="15" borderId="10" xfId="2" applyNumberFormat="1" applyFont="1" applyFill="1" applyBorder="1" applyAlignment="1">
      <alignment horizontal="center" vertical="center"/>
    </xf>
    <xf numFmtId="1" fontId="145" fillId="15" borderId="10" xfId="2" applyNumberFormat="1" applyFont="1" applyFill="1" applyBorder="1" applyAlignment="1">
      <alignment horizontal="center" vertical="center"/>
    </xf>
    <xf numFmtId="2" fontId="145" fillId="15" borderId="10" xfId="2" applyNumberFormat="1" applyFont="1" applyFill="1" applyBorder="1" applyAlignment="1">
      <alignment horizontal="center" vertical="center"/>
    </xf>
    <xf numFmtId="1" fontId="91" fillId="15" borderId="10" xfId="2" applyNumberFormat="1" applyFont="1" applyFill="1" applyBorder="1" applyAlignment="1">
      <alignment horizontal="center" vertical="center"/>
    </xf>
    <xf numFmtId="0" fontId="53" fillId="15" borderId="22" xfId="0" applyFont="1" applyFill="1" applyBorder="1" applyAlignment="1">
      <alignment horizontal="left" vertical="center"/>
    </xf>
    <xf numFmtId="49" fontId="53" fillId="15" borderId="13" xfId="0" applyNumberFormat="1" applyFont="1" applyFill="1" applyBorder="1" applyAlignment="1">
      <alignment horizontal="center" vertical="center"/>
    </xf>
    <xf numFmtId="0" fontId="61" fillId="15" borderId="23" xfId="0" applyFont="1" applyFill="1" applyBorder="1" applyAlignment="1">
      <alignment horizontal="center" vertical="center"/>
    </xf>
    <xf numFmtId="0" fontId="52" fillId="15" borderId="7" xfId="0" applyFont="1" applyFill="1" applyBorder="1" applyAlignment="1">
      <alignment vertical="center"/>
    </xf>
    <xf numFmtId="0" fontId="33" fillId="0" borderId="21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49" fillId="15" borderId="3" xfId="0" applyFont="1" applyFill="1" applyBorder="1" applyAlignment="1">
      <alignment horizontal="center" vertical="center" wrapText="1"/>
    </xf>
    <xf numFmtId="2" fontId="145" fillId="15" borderId="3" xfId="0" applyNumberFormat="1" applyFont="1" applyFill="1" applyBorder="1" applyAlignment="1">
      <alignment horizontal="center" vertical="center"/>
    </xf>
    <xf numFmtId="165" fontId="49" fillId="15" borderId="6" xfId="0" applyNumberFormat="1" applyFont="1" applyFill="1" applyBorder="1" applyAlignment="1">
      <alignment horizontal="center" vertical="center"/>
    </xf>
    <xf numFmtId="0" fontId="49" fillId="15" borderId="27" xfId="0" applyFont="1" applyFill="1" applyBorder="1" applyAlignment="1">
      <alignment horizontal="center" vertical="center"/>
    </xf>
    <xf numFmtId="166" fontId="49" fillId="15" borderId="6" xfId="0" applyNumberFormat="1" applyFont="1" applyFill="1" applyBorder="1" applyAlignment="1">
      <alignment horizontal="center" vertical="center"/>
    </xf>
    <xf numFmtId="167" fontId="49" fillId="15" borderId="6" xfId="0" applyNumberFormat="1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0" xfId="0" applyFont="1" applyFill="1" applyBorder="1" applyAlignment="1">
      <alignment horizontal="center"/>
    </xf>
    <xf numFmtId="49" fontId="54" fillId="0" borderId="8" xfId="0" applyNumberFormat="1" applyFont="1" applyFill="1" applyBorder="1" applyAlignment="1">
      <alignment horizontal="center" vertical="center"/>
    </xf>
    <xf numFmtId="0" fontId="148" fillId="0" borderId="2" xfId="0" applyFont="1" applyFill="1" applyBorder="1" applyAlignment="1">
      <alignment horizontal="center" vertical="center"/>
    </xf>
    <xf numFmtId="1" fontId="175" fillId="0" borderId="0" xfId="0" applyNumberFormat="1" applyFont="1" applyFill="1" applyBorder="1" applyAlignment="1">
      <alignment horizontal="center" vertical="center"/>
    </xf>
    <xf numFmtId="1" fontId="183" fillId="0" borderId="0" xfId="0" applyNumberFormat="1" applyFont="1" applyBorder="1" applyAlignment="1">
      <alignment vertical="center"/>
    </xf>
    <xf numFmtId="1" fontId="175" fillId="0" borderId="58" xfId="0" applyNumberFormat="1" applyFont="1" applyFill="1" applyBorder="1" applyAlignment="1">
      <alignment horizontal="center" vertical="center"/>
    </xf>
    <xf numFmtId="1" fontId="175" fillId="0" borderId="60" xfId="0" applyNumberFormat="1" applyFont="1" applyFill="1" applyBorder="1" applyAlignment="1">
      <alignment horizontal="center" vertical="center"/>
    </xf>
    <xf numFmtId="1" fontId="136" fillId="15" borderId="58" xfId="0" applyNumberFormat="1" applyFont="1" applyFill="1" applyBorder="1" applyAlignment="1">
      <alignment horizontal="center" vertical="center"/>
    </xf>
    <xf numFmtId="1" fontId="119" fillId="0" borderId="58" xfId="0" applyNumberFormat="1" applyFont="1" applyFill="1" applyBorder="1" applyAlignment="1">
      <alignment horizontal="center" vertical="center"/>
    </xf>
    <xf numFmtId="0" fontId="49" fillId="15" borderId="3" xfId="0" applyFont="1" applyFill="1" applyBorder="1" applyAlignment="1">
      <alignment horizontal="center" vertical="center"/>
    </xf>
    <xf numFmtId="0" fontId="143" fillId="15" borderId="27" xfId="0" applyFont="1" applyFill="1" applyBorder="1" applyAlignment="1">
      <alignment horizontal="center" vertical="center"/>
    </xf>
    <xf numFmtId="4" fontId="49" fillId="15" borderId="7" xfId="0" applyNumberFormat="1" applyFont="1" applyFill="1" applyBorder="1" applyAlignment="1">
      <alignment horizontal="center" vertical="center"/>
    </xf>
    <xf numFmtId="49" fontId="16" fillId="0" borderId="65" xfId="0" applyNumberFormat="1" applyFont="1" applyFill="1" applyBorder="1" applyAlignment="1">
      <alignment horizontal="center" vertical="center"/>
    </xf>
    <xf numFmtId="165" fontId="54" fillId="0" borderId="13" xfId="0" applyNumberFormat="1" applyFont="1" applyFill="1" applyBorder="1" applyAlignment="1">
      <alignment horizontal="center" vertical="center"/>
    </xf>
    <xf numFmtId="0" fontId="57" fillId="0" borderId="45" xfId="0" applyFont="1" applyFill="1" applyBorder="1" applyAlignment="1">
      <alignment horizontal="center" vertical="center"/>
    </xf>
    <xf numFmtId="0" fontId="57" fillId="0" borderId="48" xfId="0" applyFont="1" applyFill="1" applyBorder="1" applyAlignment="1">
      <alignment horizontal="center" vertical="center"/>
    </xf>
    <xf numFmtId="0" fontId="57" fillId="0" borderId="12" xfId="0" applyFont="1" applyFill="1" applyBorder="1" applyAlignment="1">
      <alignment horizontal="center" vertical="center"/>
    </xf>
    <xf numFmtId="0" fontId="57" fillId="0" borderId="53" xfId="0" applyFont="1" applyFill="1" applyBorder="1" applyAlignment="1">
      <alignment horizontal="center" vertical="center"/>
    </xf>
    <xf numFmtId="0" fontId="57" fillId="0" borderId="55" xfId="0" applyFont="1" applyFill="1" applyBorder="1" applyAlignment="1">
      <alignment horizontal="center" vertical="center"/>
    </xf>
    <xf numFmtId="0" fontId="24" fillId="0" borderId="6" xfId="0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vertical="center"/>
    </xf>
    <xf numFmtId="0" fontId="24" fillId="0" borderId="12" xfId="0" applyFont="1" applyFill="1" applyBorder="1" applyAlignment="1">
      <alignment vertical="center"/>
    </xf>
    <xf numFmtId="0" fontId="49" fillId="15" borderId="24" xfId="0" applyFont="1" applyFill="1" applyBorder="1" applyAlignment="1">
      <alignment vertical="center"/>
    </xf>
    <xf numFmtId="2" fontId="94" fillId="0" borderId="6" xfId="0" applyNumberFormat="1" applyFont="1" applyFill="1" applyBorder="1" applyAlignment="1">
      <alignment horizontal="center" vertical="center"/>
    </xf>
    <xf numFmtId="165" fontId="150" fillId="15" borderId="25" xfId="0" applyNumberFormat="1" applyFont="1" applyFill="1" applyBorder="1" applyAlignment="1">
      <alignment horizontal="center" vertical="center"/>
    </xf>
    <xf numFmtId="1" fontId="49" fillId="15" borderId="5" xfId="0" applyNumberFormat="1" applyFont="1" applyFill="1" applyBorder="1" applyAlignment="1">
      <alignment horizontal="center" vertical="center"/>
    </xf>
    <xf numFmtId="164" fontId="77" fillId="0" borderId="0" xfId="1" applyFont="1" applyBorder="1" applyAlignment="1">
      <alignment horizontal="center"/>
    </xf>
    <xf numFmtId="0" fontId="49" fillId="0" borderId="2" xfId="0" applyFont="1" applyFill="1" applyBorder="1" applyAlignment="1">
      <alignment horizontal="center" vertical="center" wrapText="1"/>
    </xf>
    <xf numFmtId="0" fontId="49" fillId="0" borderId="7" xfId="0" applyFont="1" applyFill="1" applyBorder="1" applyAlignment="1">
      <alignment horizontal="center" vertical="center" wrapText="1"/>
    </xf>
    <xf numFmtId="0" fontId="49" fillId="4" borderId="2" xfId="0" applyFont="1" applyFill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49" fillId="4" borderId="5" xfId="0" applyFont="1" applyFill="1" applyBorder="1" applyAlignment="1">
      <alignment horizontal="center" vertical="center" wrapText="1"/>
    </xf>
    <xf numFmtId="0" fontId="49" fillId="4" borderId="8" xfId="0" applyFont="1" applyFill="1" applyBorder="1" applyAlignment="1">
      <alignment horizontal="center" vertical="center" wrapText="1"/>
    </xf>
    <xf numFmtId="0" fontId="49" fillId="4" borderId="17" xfId="0" applyFont="1" applyFill="1" applyBorder="1" applyAlignment="1">
      <alignment horizontal="center" vertical="center" wrapText="1"/>
    </xf>
    <xf numFmtId="0" fontId="49" fillId="4" borderId="19" xfId="0" applyFont="1" applyFill="1" applyBorder="1" applyAlignment="1">
      <alignment horizontal="center" vertical="center" wrapText="1"/>
    </xf>
    <xf numFmtId="0" fontId="49" fillId="4" borderId="17" xfId="0" applyFont="1" applyFill="1" applyBorder="1" applyAlignment="1">
      <alignment horizontal="center" wrapText="1"/>
    </xf>
    <xf numFmtId="0" fontId="49" fillId="4" borderId="39" xfId="0" applyFont="1" applyFill="1" applyBorder="1" applyAlignment="1">
      <alignment horizontal="center" wrapText="1"/>
    </xf>
    <xf numFmtId="0" fontId="49" fillId="4" borderId="19" xfId="0" applyFont="1" applyFill="1" applyBorder="1" applyAlignment="1">
      <alignment horizontal="center" wrapText="1"/>
    </xf>
    <xf numFmtId="0" fontId="49" fillId="4" borderId="36" xfId="0" applyFont="1" applyFill="1" applyBorder="1" applyAlignment="1">
      <alignment horizontal="center" vertical="center" wrapText="1"/>
    </xf>
    <xf numFmtId="0" fontId="49" fillId="4" borderId="43" xfId="0" applyFont="1" applyFill="1" applyBorder="1" applyAlignment="1">
      <alignment horizontal="center" vertical="center"/>
    </xf>
    <xf numFmtId="0" fontId="176" fillId="0" borderId="0" xfId="0" applyFont="1" applyBorder="1" applyAlignment="1">
      <alignment horizontal="center"/>
    </xf>
    <xf numFmtId="0" fontId="49" fillId="4" borderId="76" xfId="0" applyFont="1" applyFill="1" applyBorder="1" applyAlignment="1">
      <alignment horizontal="center" vertical="center" wrapText="1"/>
    </xf>
    <xf numFmtId="0" fontId="49" fillId="4" borderId="42" xfId="0" applyFont="1" applyFill="1" applyBorder="1" applyAlignment="1">
      <alignment horizontal="center" vertical="center" wrapText="1"/>
    </xf>
    <xf numFmtId="1" fontId="73" fillId="0" borderId="3" xfId="0" applyNumberFormat="1" applyFont="1" applyFill="1" applyBorder="1" applyAlignment="1" applyProtection="1">
      <alignment horizontal="center" vertical="center"/>
      <protection locked="0"/>
    </xf>
    <xf numFmtId="1" fontId="73" fillId="0" borderId="8" xfId="0" applyNumberFormat="1" applyFont="1" applyFill="1" applyBorder="1" applyAlignment="1" applyProtection="1">
      <alignment horizontal="center" vertical="center"/>
      <protection locked="0"/>
    </xf>
    <xf numFmtId="0" fontId="7" fillId="0" borderId="17" xfId="0" applyFont="1" applyFill="1" applyBorder="1" applyAlignment="1">
      <alignment horizontal="center" wrapText="1"/>
    </xf>
    <xf numFmtId="0" fontId="7" fillId="0" borderId="39" xfId="0" applyFont="1" applyFill="1" applyBorder="1" applyAlignment="1">
      <alignment horizontal="center" wrapText="1"/>
    </xf>
    <xf numFmtId="0" fontId="7" fillId="0" borderId="19" xfId="0" applyFont="1" applyFill="1" applyBorder="1" applyAlignment="1">
      <alignment horizontal="center" wrapText="1"/>
    </xf>
    <xf numFmtId="2" fontId="53" fillId="6" borderId="0" xfId="0" applyNumberFormat="1" applyFont="1" applyFill="1" applyBorder="1" applyAlignment="1">
      <alignment horizontal="center" vertical="top"/>
    </xf>
    <xf numFmtId="2" fontId="53" fillId="6" borderId="0" xfId="0" applyNumberFormat="1" applyFont="1" applyFill="1" applyBorder="1" applyAlignment="1">
      <alignment horizontal="center" vertical="top" wrapText="1"/>
    </xf>
    <xf numFmtId="165" fontId="187" fillId="0" borderId="5" xfId="0" applyNumberFormat="1" applyFont="1" applyFill="1" applyBorder="1" applyAlignment="1" applyProtection="1">
      <alignment horizontal="center" vertical="center" wrapText="1"/>
      <protection locked="0"/>
    </xf>
    <xf numFmtId="165" fontId="186" fillId="0" borderId="30" xfId="0" applyNumberFormat="1" applyFont="1" applyFill="1" applyBorder="1" applyAlignment="1" applyProtection="1">
      <alignment horizontal="center" vertical="center" wrapText="1"/>
      <protection locked="0"/>
    </xf>
    <xf numFmtId="165" fontId="186" fillId="0" borderId="3" xfId="0" applyNumberFormat="1" applyFont="1" applyFill="1" applyBorder="1" applyAlignment="1" applyProtection="1">
      <alignment horizontal="center" vertical="center" wrapText="1"/>
      <protection locked="0"/>
    </xf>
    <xf numFmtId="165" fontId="186" fillId="0" borderId="31" xfId="0" applyNumberFormat="1" applyFont="1" applyFill="1" applyBorder="1" applyAlignment="1" applyProtection="1">
      <alignment horizontal="center" vertical="center" wrapText="1"/>
      <protection locked="0"/>
    </xf>
    <xf numFmtId="1" fontId="61" fillId="4" borderId="3" xfId="0" applyNumberFormat="1" applyFont="1" applyFill="1" applyBorder="1" applyAlignment="1" applyProtection="1">
      <alignment horizontal="center" vertical="center"/>
      <protection locked="0"/>
    </xf>
    <xf numFmtId="1" fontId="61" fillId="4" borderId="0" xfId="0" applyNumberFormat="1" applyFont="1" applyFill="1" applyBorder="1" applyAlignment="1" applyProtection="1">
      <alignment horizontal="center" vertical="center"/>
      <protection locked="0"/>
    </xf>
    <xf numFmtId="1" fontId="61" fillId="4" borderId="31" xfId="0" applyNumberFormat="1" applyFont="1" applyFill="1" applyBorder="1" applyAlignment="1" applyProtection="1">
      <alignment horizontal="center" vertical="center"/>
      <protection locked="0"/>
    </xf>
    <xf numFmtId="0" fontId="49" fillId="0" borderId="51" xfId="0" applyFont="1" applyFill="1" applyBorder="1" applyAlignment="1">
      <alignment horizontal="center" vertical="center" wrapText="1"/>
    </xf>
    <xf numFmtId="0" fontId="49" fillId="0" borderId="76" xfId="0" applyFont="1" applyFill="1" applyBorder="1" applyAlignment="1">
      <alignment horizontal="center" vertical="center" wrapText="1"/>
    </xf>
    <xf numFmtId="0" fontId="49" fillId="0" borderId="46" xfId="0" applyFont="1" applyFill="1" applyBorder="1" applyAlignment="1">
      <alignment horizontal="center" vertical="center" wrapText="1"/>
    </xf>
    <xf numFmtId="0" fontId="49" fillId="0" borderId="42" xfId="0" applyFont="1" applyFill="1" applyBorder="1" applyAlignment="1">
      <alignment horizontal="center" vertical="center" wrapText="1"/>
    </xf>
    <xf numFmtId="0" fontId="57" fillId="0" borderId="17" xfId="0" applyFont="1" applyFill="1" applyBorder="1" applyAlignment="1">
      <alignment horizontal="center" vertical="center"/>
    </xf>
    <xf numFmtId="0" fontId="57" fillId="0" borderId="39" xfId="0" applyFont="1" applyFill="1" applyBorder="1" applyAlignment="1">
      <alignment horizontal="center" vertical="center"/>
    </xf>
    <xf numFmtId="0" fontId="57" fillId="0" borderId="19" xfId="0" applyFont="1" applyFill="1" applyBorder="1" applyAlignment="1">
      <alignment horizontal="center" vertical="center"/>
    </xf>
    <xf numFmtId="0" fontId="49" fillId="4" borderId="2" xfId="0" applyFont="1" applyFill="1" applyBorder="1" applyAlignment="1">
      <alignment horizontal="center" vertical="center" wrapText="1"/>
    </xf>
    <xf numFmtId="0" fontId="49" fillId="4" borderId="7" xfId="0" applyFont="1" applyFill="1" applyBorder="1" applyAlignment="1">
      <alignment horizontal="center" vertical="center" wrapText="1"/>
    </xf>
    <xf numFmtId="165" fontId="53" fillId="0" borderId="24" xfId="0" applyNumberFormat="1" applyFont="1" applyFill="1" applyBorder="1" applyAlignment="1">
      <alignment horizontal="center" vertical="top" wrapText="1"/>
    </xf>
    <xf numFmtId="165" fontId="53" fillId="0" borderId="1" xfId="0" applyNumberFormat="1" applyFont="1" applyFill="1" applyBorder="1" applyAlignment="1">
      <alignment horizontal="center" vertical="top" wrapText="1"/>
    </xf>
    <xf numFmtId="0" fontId="102" fillId="0" borderId="0" xfId="0" applyFont="1" applyFill="1" applyAlignment="1">
      <alignment horizontal="left" vertical="center" wrapText="1"/>
    </xf>
    <xf numFmtId="0" fontId="49" fillId="4" borderId="51" xfId="0" applyFont="1" applyFill="1" applyBorder="1" applyAlignment="1">
      <alignment horizontal="center" vertical="center" wrapText="1"/>
    </xf>
    <xf numFmtId="0" fontId="49" fillId="4" borderId="46" xfId="0" applyFont="1" applyFill="1" applyBorder="1" applyAlignment="1">
      <alignment horizontal="center" vertical="center"/>
    </xf>
    <xf numFmtId="165" fontId="33" fillId="6" borderId="75" xfId="0" applyNumberFormat="1" applyFont="1" applyFill="1" applyBorder="1" applyAlignment="1" applyProtection="1">
      <alignment horizontal="left" vertical="center" wrapText="1"/>
      <protection locked="0"/>
    </xf>
    <xf numFmtId="165" fontId="33" fillId="6" borderId="74" xfId="0" applyNumberFormat="1" applyFont="1" applyFill="1" applyBorder="1" applyAlignment="1" applyProtection="1">
      <alignment horizontal="left" vertical="center" wrapText="1"/>
      <protection locked="0"/>
    </xf>
    <xf numFmtId="2" fontId="140" fillId="0" borderId="31" xfId="0" applyNumberFormat="1" applyFont="1" applyFill="1" applyBorder="1" applyAlignment="1" applyProtection="1">
      <alignment horizontal="center" vertical="center"/>
      <protection locked="0"/>
    </xf>
    <xf numFmtId="0" fontId="101" fillId="0" borderId="0" xfId="0" applyFont="1" applyAlignment="1">
      <alignment horizontal="left" vertical="center"/>
    </xf>
    <xf numFmtId="165" fontId="157" fillId="6" borderId="66" xfId="0" applyNumberFormat="1" applyFont="1" applyFill="1" applyBorder="1" applyAlignment="1" applyProtection="1">
      <alignment horizontal="center" vertical="center"/>
      <protection locked="0"/>
    </xf>
    <xf numFmtId="165" fontId="157" fillId="6" borderId="56" xfId="0" applyNumberFormat="1" applyFont="1" applyFill="1" applyBorder="1" applyAlignment="1" applyProtection="1">
      <alignment horizontal="center" vertical="center"/>
      <protection locked="0"/>
    </xf>
    <xf numFmtId="0" fontId="49" fillId="19" borderId="17" xfId="0" applyFont="1" applyFill="1" applyBorder="1" applyAlignment="1">
      <alignment horizontal="right" vertical="center"/>
    </xf>
    <xf numFmtId="0" fontId="49" fillId="19" borderId="19" xfId="0" applyFont="1" applyFill="1" applyBorder="1" applyAlignment="1">
      <alignment horizontal="right" vertical="center"/>
    </xf>
    <xf numFmtId="165" fontId="186" fillId="9" borderId="5" xfId="0" applyNumberFormat="1" applyFont="1" applyFill="1" applyBorder="1" applyAlignment="1" applyProtection="1">
      <alignment horizontal="center" vertical="center" wrapText="1"/>
      <protection locked="0"/>
    </xf>
    <xf numFmtId="165" fontId="186" fillId="9" borderId="24" xfId="0" applyNumberFormat="1" applyFont="1" applyFill="1" applyBorder="1" applyAlignment="1" applyProtection="1">
      <alignment horizontal="center" vertical="center" wrapText="1"/>
      <protection locked="0"/>
    </xf>
    <xf numFmtId="165" fontId="186" fillId="9" borderId="30" xfId="0" applyNumberFormat="1" applyFont="1" applyFill="1" applyBorder="1" applyAlignment="1" applyProtection="1">
      <alignment horizontal="center" vertical="center" wrapText="1"/>
      <protection locked="0"/>
    </xf>
    <xf numFmtId="165" fontId="186" fillId="9" borderId="20" xfId="0" applyNumberFormat="1" applyFont="1" applyFill="1" applyBorder="1" applyAlignment="1" applyProtection="1">
      <alignment horizontal="center" vertical="center" wrapText="1"/>
      <protection locked="0"/>
    </xf>
    <xf numFmtId="165" fontId="186" fillId="9" borderId="16" xfId="0" applyNumberFormat="1" applyFont="1" applyFill="1" applyBorder="1" applyAlignment="1" applyProtection="1">
      <alignment horizontal="center" vertical="center" wrapText="1"/>
      <protection locked="0"/>
    </xf>
    <xf numFmtId="165" fontId="186" fillId="9" borderId="15" xfId="0" applyNumberFormat="1" applyFont="1" applyFill="1" applyBorder="1" applyAlignment="1" applyProtection="1">
      <alignment horizontal="center" vertical="center" wrapText="1"/>
      <protection locked="0"/>
    </xf>
    <xf numFmtId="0" fontId="49" fillId="0" borderId="5" xfId="0" applyFont="1" applyBorder="1" applyAlignment="1">
      <alignment horizontal="right" vertical="center" textRotation="90"/>
    </xf>
    <xf numFmtId="0" fontId="49" fillId="0" borderId="3" xfId="0" applyFont="1" applyBorder="1" applyAlignment="1">
      <alignment horizontal="right" vertical="center" textRotation="90"/>
    </xf>
    <xf numFmtId="0" fontId="49" fillId="0" borderId="8" xfId="0" applyFont="1" applyBorder="1" applyAlignment="1">
      <alignment horizontal="right" vertical="center" textRotation="90"/>
    </xf>
    <xf numFmtId="165" fontId="53" fillId="6" borderId="5" xfId="0" applyNumberFormat="1" applyFont="1" applyFill="1" applyBorder="1" applyAlignment="1">
      <alignment horizontal="center" vertical="top" wrapText="1"/>
    </xf>
    <xf numFmtId="165" fontId="53" fillId="6" borderId="3" xfId="0" applyNumberFormat="1" applyFont="1" applyFill="1" applyBorder="1" applyAlignment="1">
      <alignment horizontal="center" vertical="top" wrapText="1"/>
    </xf>
    <xf numFmtId="1" fontId="53" fillId="6" borderId="0" xfId="0" applyNumberFormat="1" applyFont="1" applyFill="1" applyBorder="1" applyAlignment="1">
      <alignment horizontal="center" vertical="top" wrapText="1"/>
    </xf>
    <xf numFmtId="2" fontId="53" fillId="6" borderId="37" xfId="0" applyNumberFormat="1" applyFont="1" applyFill="1" applyBorder="1" applyAlignment="1">
      <alignment horizontal="center" vertical="top" wrapText="1"/>
    </xf>
    <xf numFmtId="2" fontId="53" fillId="6" borderId="40" xfId="0" applyNumberFormat="1" applyFont="1" applyFill="1" applyBorder="1" applyAlignment="1">
      <alignment horizontal="center" vertical="top" wrapText="1"/>
    </xf>
    <xf numFmtId="2" fontId="140" fillId="0" borderId="62" xfId="0" applyNumberFormat="1" applyFont="1" applyFill="1" applyBorder="1" applyAlignment="1" applyProtection="1">
      <alignment horizontal="center" vertical="center"/>
      <protection locked="0"/>
    </xf>
    <xf numFmtId="0" fontId="101" fillId="0" borderId="0" xfId="0" applyFont="1" applyFill="1" applyAlignment="1">
      <alignment horizontal="left" vertical="center" wrapText="1"/>
    </xf>
    <xf numFmtId="0" fontId="170" fillId="0" borderId="0" xfId="0" applyFont="1" applyFill="1" applyAlignment="1">
      <alignment horizontal="left" vertical="center" wrapText="1"/>
    </xf>
    <xf numFmtId="173" fontId="100" fillId="0" borderId="3" xfId="0" applyNumberFormat="1" applyFont="1" applyBorder="1" applyAlignment="1">
      <alignment horizontal="center" vertical="center"/>
    </xf>
    <xf numFmtId="173" fontId="100" fillId="0" borderId="0" xfId="0" applyNumberFormat="1" applyFont="1" applyBorder="1" applyAlignment="1">
      <alignment horizontal="center" vertical="center"/>
    </xf>
    <xf numFmtId="173" fontId="100" fillId="0" borderId="31" xfId="0" applyNumberFormat="1" applyFont="1" applyBorder="1" applyAlignment="1">
      <alignment horizontal="center" vertical="center"/>
    </xf>
    <xf numFmtId="173" fontId="100" fillId="0" borderId="8" xfId="0" applyNumberFormat="1" applyFont="1" applyBorder="1" applyAlignment="1">
      <alignment horizontal="center" vertical="center"/>
    </xf>
    <xf numFmtId="173" fontId="100" fillId="0" borderId="1" xfId="0" applyNumberFormat="1" applyFont="1" applyBorder="1" applyAlignment="1">
      <alignment horizontal="center" vertical="center"/>
    </xf>
    <xf numFmtId="173" fontId="100" fillId="0" borderId="62" xfId="0" applyNumberFormat="1" applyFont="1" applyBorder="1" applyAlignment="1">
      <alignment horizontal="center" vertical="center"/>
    </xf>
    <xf numFmtId="0" fontId="43" fillId="4" borderId="2" xfId="0" applyFont="1" applyFill="1" applyBorder="1" applyAlignment="1">
      <alignment horizontal="center" vertical="center" wrapText="1"/>
    </xf>
    <xf numFmtId="0" fontId="43" fillId="4" borderId="7" xfId="0" applyFont="1" applyFill="1" applyBorder="1" applyAlignment="1">
      <alignment horizontal="center" vertical="center" wrapText="1"/>
    </xf>
    <xf numFmtId="0" fontId="100" fillId="0" borderId="2" xfId="0" applyFont="1" applyBorder="1" applyAlignment="1">
      <alignment horizontal="center" vertical="center"/>
    </xf>
    <xf numFmtId="0" fontId="100" fillId="0" borderId="7" xfId="0" applyFont="1" applyBorder="1" applyAlignment="1">
      <alignment horizontal="center" vertical="center"/>
    </xf>
    <xf numFmtId="0" fontId="100" fillId="0" borderId="5" xfId="0" applyFont="1" applyBorder="1" applyAlignment="1">
      <alignment horizontal="center" vertical="center"/>
    </xf>
    <xf numFmtId="0" fontId="100" fillId="0" borderId="76" xfId="0" applyFont="1" applyBorder="1" applyAlignment="1">
      <alignment horizontal="center" vertical="center"/>
    </xf>
    <xf numFmtId="0" fontId="100" fillId="0" borderId="8" xfId="0" applyFont="1" applyBorder="1" applyAlignment="1">
      <alignment horizontal="center" vertical="center"/>
    </xf>
    <xf numFmtId="0" fontId="100" fillId="0" borderId="42" xfId="0" applyFont="1" applyBorder="1" applyAlignment="1">
      <alignment horizontal="center" vertical="center"/>
    </xf>
    <xf numFmtId="1" fontId="100" fillId="4" borderId="2" xfId="0" applyNumberFormat="1" applyFont="1" applyFill="1" applyBorder="1" applyAlignment="1">
      <alignment horizontal="center" vertical="center"/>
    </xf>
    <xf numFmtId="1" fontId="100" fillId="4" borderId="6" xfId="0" applyNumberFormat="1" applyFont="1" applyFill="1" applyBorder="1" applyAlignment="1">
      <alignment horizontal="center" vertical="center"/>
    </xf>
    <xf numFmtId="1" fontId="100" fillId="4" borderId="7" xfId="0" applyNumberFormat="1" applyFont="1" applyFill="1" applyBorder="1" applyAlignment="1">
      <alignment horizontal="center" vertical="center"/>
    </xf>
    <xf numFmtId="3" fontId="100" fillId="4" borderId="5" xfId="0" applyNumberFormat="1" applyFont="1" applyFill="1" applyBorder="1" applyAlignment="1">
      <alignment horizontal="center" vertical="center"/>
    </xf>
    <xf numFmtId="3" fontId="100" fillId="4" borderId="8" xfId="0" applyNumberFormat="1" applyFont="1" applyFill="1" applyBorder="1" applyAlignment="1">
      <alignment horizontal="center" vertical="center"/>
    </xf>
    <xf numFmtId="1" fontId="100" fillId="4" borderId="23" xfId="0" applyNumberFormat="1" applyFont="1" applyFill="1" applyBorder="1" applyAlignment="1">
      <alignment horizontal="center" vertical="center"/>
    </xf>
    <xf numFmtId="0" fontId="56" fillId="0" borderId="0" xfId="0" applyFont="1" applyBorder="1" applyAlignment="1">
      <alignment horizontal="center" textRotation="90"/>
    </xf>
    <xf numFmtId="0" fontId="78" fillId="0" borderId="0" xfId="0" applyFont="1" applyAlignment="1">
      <alignment horizontal="center"/>
    </xf>
    <xf numFmtId="164" fontId="188" fillId="0" borderId="0" xfId="1" applyFont="1" applyBorder="1" applyAlignment="1">
      <alignment horizontal="center"/>
    </xf>
    <xf numFmtId="0" fontId="78" fillId="0" borderId="0" xfId="0" applyFont="1" applyBorder="1" applyAlignment="1">
      <alignment horizontal="center"/>
    </xf>
    <xf numFmtId="1" fontId="40" fillId="4" borderId="0" xfId="0" applyNumberFormat="1" applyFont="1" applyFill="1" applyBorder="1" applyAlignment="1" applyProtection="1">
      <alignment horizontal="center" vertical="center" wrapText="1"/>
      <protection locked="0"/>
    </xf>
    <xf numFmtId="1" fontId="40" fillId="4" borderId="31" xfId="0" applyNumberFormat="1" applyFont="1" applyFill="1" applyBorder="1" applyAlignment="1" applyProtection="1">
      <alignment horizontal="center" vertical="center" wrapText="1"/>
      <protection locked="0"/>
    </xf>
    <xf numFmtId="0" fontId="34" fillId="0" borderId="31" xfId="0" applyFont="1" applyBorder="1" applyAlignment="1">
      <alignment horizontal="center" vertical="center"/>
    </xf>
    <xf numFmtId="0" fontId="49" fillId="4" borderId="39" xfId="0" applyFont="1" applyFill="1" applyBorder="1" applyAlignment="1">
      <alignment horizontal="center" vertical="center" wrapText="1"/>
    </xf>
    <xf numFmtId="0" fontId="43" fillId="4" borderId="5" xfId="0" applyFont="1" applyFill="1" applyBorder="1" applyAlignment="1">
      <alignment horizontal="center" vertical="center"/>
    </xf>
    <xf numFmtId="0" fontId="56" fillId="0" borderId="3" xfId="0" applyFont="1" applyBorder="1" applyAlignment="1">
      <alignment horizontal="center" vertical="center"/>
    </xf>
    <xf numFmtId="0" fontId="94" fillId="0" borderId="2" xfId="0" applyFont="1" applyFill="1" applyBorder="1" applyAlignment="1">
      <alignment horizontal="center" vertical="center" textRotation="90"/>
    </xf>
    <xf numFmtId="0" fontId="94" fillId="0" borderId="7" xfId="0" applyFont="1" applyBorder="1"/>
    <xf numFmtId="1" fontId="56" fillId="0" borderId="0" xfId="0" applyNumberFormat="1" applyFont="1" applyFill="1" applyBorder="1" applyAlignment="1">
      <alignment horizontal="center"/>
    </xf>
    <xf numFmtId="165" fontId="100" fillId="0" borderId="5" xfId="0" applyNumberFormat="1" applyFont="1" applyFill="1" applyBorder="1" applyAlignment="1">
      <alignment horizontal="center" vertical="center"/>
    </xf>
    <xf numFmtId="165" fontId="100" fillId="0" borderId="24" xfId="0" applyNumberFormat="1" applyFont="1" applyFill="1" applyBorder="1" applyAlignment="1">
      <alignment horizontal="center" vertical="center"/>
    </xf>
    <xf numFmtId="165" fontId="100" fillId="0" borderId="30" xfId="0" applyNumberFormat="1" applyFont="1" applyFill="1" applyBorder="1" applyAlignment="1">
      <alignment horizontal="center" vertical="center"/>
    </xf>
    <xf numFmtId="165" fontId="100" fillId="0" borderId="8" xfId="0" applyNumberFormat="1" applyFont="1" applyFill="1" applyBorder="1" applyAlignment="1">
      <alignment horizontal="center" vertical="center"/>
    </xf>
    <xf numFmtId="165" fontId="100" fillId="0" borderId="1" xfId="0" applyNumberFormat="1" applyFont="1" applyFill="1" applyBorder="1" applyAlignment="1">
      <alignment horizontal="center" vertical="center"/>
    </xf>
    <xf numFmtId="165" fontId="100" fillId="0" borderId="62" xfId="0" applyNumberFormat="1" applyFont="1" applyFill="1" applyBorder="1" applyAlignment="1">
      <alignment horizontal="center" vertical="center"/>
    </xf>
    <xf numFmtId="0" fontId="56" fillId="0" borderId="0" xfId="0" applyFont="1" applyBorder="1" applyAlignment="1">
      <alignment horizontal="center"/>
    </xf>
    <xf numFmtId="0" fontId="100" fillId="0" borderId="24" xfId="0" applyFont="1" applyBorder="1" applyAlignment="1">
      <alignment horizontal="center" vertical="center"/>
    </xf>
    <xf numFmtId="0" fontId="100" fillId="0" borderId="30" xfId="0" applyFont="1" applyBorder="1" applyAlignment="1">
      <alignment horizontal="center" vertical="center"/>
    </xf>
    <xf numFmtId="0" fontId="100" fillId="0" borderId="3" xfId="0" applyFont="1" applyBorder="1" applyAlignment="1">
      <alignment horizontal="center" vertical="center"/>
    </xf>
    <xf numFmtId="0" fontId="100" fillId="0" borderId="0" xfId="0" applyFont="1" applyBorder="1" applyAlignment="1">
      <alignment horizontal="center" vertical="center"/>
    </xf>
    <xf numFmtId="0" fontId="100" fillId="0" borderId="31" xfId="0" applyFont="1" applyBorder="1" applyAlignment="1">
      <alignment horizontal="center" vertical="center"/>
    </xf>
    <xf numFmtId="0" fontId="100" fillId="0" borderId="1" xfId="0" applyFont="1" applyBorder="1" applyAlignment="1">
      <alignment horizontal="center" vertical="center"/>
    </xf>
    <xf numFmtId="0" fontId="100" fillId="0" borderId="62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62" xfId="0" applyFont="1" applyBorder="1" applyAlignment="1">
      <alignment horizontal="center" vertical="center"/>
    </xf>
    <xf numFmtId="1" fontId="180" fillId="0" borderId="0" xfId="0" applyNumberFormat="1" applyFont="1" applyFill="1" applyBorder="1" applyAlignment="1"/>
    <xf numFmtId="0" fontId="2" fillId="2" borderId="39" xfId="0" applyFont="1" applyFill="1" applyBorder="1" applyAlignment="1">
      <alignment horizontal="center" vertical="center"/>
    </xf>
    <xf numFmtId="165" fontId="53" fillId="0" borderId="24" xfId="0" applyNumberFormat="1" applyFont="1" applyFill="1" applyBorder="1" applyAlignment="1" applyProtection="1">
      <alignment horizontal="center" vertical="top" wrapText="1"/>
      <protection locked="0"/>
    </xf>
    <xf numFmtId="165" fontId="53" fillId="0" borderId="0" xfId="0" applyNumberFormat="1" applyFont="1" applyFill="1" applyBorder="1" applyAlignment="1" applyProtection="1">
      <alignment horizontal="center" vertical="top" wrapText="1"/>
      <protection locked="0"/>
    </xf>
    <xf numFmtId="0" fontId="33" fillId="0" borderId="5" xfId="0" applyFont="1" applyBorder="1" applyAlignment="1">
      <alignment horizontal="center" vertical="center"/>
    </xf>
    <xf numFmtId="0" fontId="33" fillId="0" borderId="24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49" fillId="4" borderId="52" xfId="0" applyFont="1" applyFill="1" applyBorder="1" applyAlignment="1">
      <alignment horizontal="center" vertical="center" wrapText="1"/>
    </xf>
    <xf numFmtId="0" fontId="49" fillId="4" borderId="77" xfId="0" applyFont="1" applyFill="1" applyBorder="1" applyAlignment="1">
      <alignment horizontal="center" vertical="center" wrapText="1"/>
    </xf>
    <xf numFmtId="1" fontId="95" fillId="0" borderId="0" xfId="0" applyNumberFormat="1" applyFont="1" applyFill="1" applyBorder="1" applyAlignment="1" applyProtection="1">
      <alignment horizontal="left" vertical="top"/>
      <protection locked="0"/>
    </xf>
    <xf numFmtId="0" fontId="160" fillId="0" borderId="39" xfId="0" applyFont="1" applyBorder="1" applyAlignment="1">
      <alignment horizontal="right" vertical="center" wrapText="1"/>
    </xf>
    <xf numFmtId="0" fontId="160" fillId="0" borderId="19" xfId="0" applyFont="1" applyBorder="1" applyAlignment="1">
      <alignment horizontal="right" vertical="center" wrapText="1"/>
    </xf>
    <xf numFmtId="20" fontId="100" fillId="0" borderId="5" xfId="0" applyNumberFormat="1" applyFont="1" applyBorder="1" applyAlignment="1">
      <alignment horizontal="center" vertical="center"/>
    </xf>
    <xf numFmtId="20" fontId="100" fillId="0" borderId="24" xfId="0" applyNumberFormat="1" applyFont="1" applyBorder="1" applyAlignment="1">
      <alignment horizontal="center" vertical="center"/>
    </xf>
    <xf numFmtId="20" fontId="100" fillId="0" borderId="30" xfId="0" applyNumberFormat="1" applyFont="1" applyBorder="1" applyAlignment="1">
      <alignment horizontal="center" vertical="center"/>
    </xf>
    <xf numFmtId="20" fontId="100" fillId="0" borderId="20" xfId="0" applyNumberFormat="1" applyFont="1" applyBorder="1" applyAlignment="1">
      <alignment horizontal="center" vertical="center"/>
    </xf>
    <xf numFmtId="20" fontId="100" fillId="0" borderId="16" xfId="0" applyNumberFormat="1" applyFont="1" applyBorder="1" applyAlignment="1">
      <alignment horizontal="center" vertical="center"/>
    </xf>
    <xf numFmtId="20" fontId="100" fillId="0" borderId="15" xfId="0" applyNumberFormat="1" applyFont="1" applyBorder="1" applyAlignment="1">
      <alignment horizontal="center" vertical="center"/>
    </xf>
    <xf numFmtId="1" fontId="95" fillId="22" borderId="0" xfId="0" applyNumberFormat="1" applyFont="1" applyFill="1" applyBorder="1" applyAlignment="1" applyProtection="1">
      <alignment horizontal="left" vertical="top"/>
      <protection locked="0"/>
    </xf>
    <xf numFmtId="165" fontId="53" fillId="4" borderId="5" xfId="0" applyNumberFormat="1" applyFont="1" applyFill="1" applyBorder="1" applyAlignment="1" applyProtection="1">
      <alignment horizontal="center" vertical="top" wrapText="1"/>
      <protection locked="0"/>
    </xf>
    <xf numFmtId="165" fontId="53" fillId="4" borderId="3" xfId="0" applyNumberFormat="1" applyFont="1" applyFill="1" applyBorder="1" applyAlignment="1" applyProtection="1">
      <alignment horizontal="center" vertical="top" wrapText="1"/>
      <protection locked="0"/>
    </xf>
    <xf numFmtId="3" fontId="100" fillId="19" borderId="17" xfId="0" applyNumberFormat="1" applyFont="1" applyFill="1" applyBorder="1" applyAlignment="1">
      <alignment horizontal="left"/>
    </xf>
    <xf numFmtId="3" fontId="100" fillId="19" borderId="39" xfId="0" applyNumberFormat="1" applyFont="1" applyFill="1" applyBorder="1" applyAlignment="1">
      <alignment horizontal="left"/>
    </xf>
    <xf numFmtId="3" fontId="100" fillId="19" borderId="19" xfId="0" applyNumberFormat="1" applyFont="1" applyFill="1" applyBorder="1" applyAlignment="1">
      <alignment horizontal="left"/>
    </xf>
    <xf numFmtId="0" fontId="100" fillId="19" borderId="3" xfId="0" applyFont="1" applyFill="1" applyBorder="1" applyAlignment="1">
      <alignment horizontal="center"/>
    </xf>
    <xf numFmtId="0" fontId="100" fillId="19" borderId="0" xfId="0" applyFont="1" applyFill="1" applyBorder="1" applyAlignment="1">
      <alignment horizontal="center"/>
    </xf>
    <xf numFmtId="0" fontId="100" fillId="19" borderId="31" xfId="0" applyFont="1" applyFill="1" applyBorder="1" applyAlignment="1">
      <alignment horizontal="center"/>
    </xf>
    <xf numFmtId="165" fontId="100" fillId="0" borderId="2" xfId="0" applyNumberFormat="1" applyFont="1" applyFill="1" applyBorder="1" applyAlignment="1">
      <alignment horizontal="center" vertical="center"/>
    </xf>
    <xf numFmtId="165" fontId="100" fillId="0" borderId="7" xfId="0" applyNumberFormat="1" applyFont="1" applyFill="1" applyBorder="1" applyAlignment="1">
      <alignment horizontal="center" vertical="center"/>
    </xf>
    <xf numFmtId="1" fontId="100" fillId="0" borderId="17" xfId="0" applyNumberFormat="1" applyFont="1" applyFill="1" applyBorder="1" applyAlignment="1">
      <alignment horizontal="center" vertical="center"/>
    </xf>
    <xf numFmtId="1" fontId="100" fillId="0" borderId="39" xfId="0" applyNumberFormat="1" applyFont="1" applyFill="1" applyBorder="1" applyAlignment="1">
      <alignment horizontal="center" vertical="center"/>
    </xf>
    <xf numFmtId="1" fontId="100" fillId="0" borderId="19" xfId="0" applyNumberFormat="1" applyFont="1" applyFill="1" applyBorder="1" applyAlignment="1">
      <alignment horizontal="center" vertical="center"/>
    </xf>
    <xf numFmtId="165" fontId="100" fillId="0" borderId="70" xfId="0" applyNumberFormat="1" applyFont="1" applyFill="1" applyBorder="1" applyAlignment="1">
      <alignment horizontal="center" vertical="center"/>
    </xf>
    <xf numFmtId="165" fontId="100" fillId="0" borderId="29" xfId="0" applyNumberFormat="1" applyFont="1" applyFill="1" applyBorder="1" applyAlignment="1">
      <alignment horizontal="center" vertical="center"/>
    </xf>
    <xf numFmtId="0" fontId="49" fillId="19" borderId="39" xfId="0" applyFont="1" applyFill="1" applyBorder="1" applyAlignment="1">
      <alignment horizontal="right" vertical="center"/>
    </xf>
    <xf numFmtId="0" fontId="102" fillId="0" borderId="0" xfId="0" applyFont="1" applyFill="1" applyBorder="1" applyAlignment="1">
      <alignment horizontal="left" vertical="center"/>
    </xf>
    <xf numFmtId="0" fontId="96" fillId="0" borderId="0" xfId="0" applyFont="1" applyFill="1" applyAlignment="1">
      <alignment horizontal="right"/>
    </xf>
    <xf numFmtId="0" fontId="101" fillId="0" borderId="0" xfId="0" applyFont="1" applyFill="1" applyBorder="1" applyAlignment="1" applyProtection="1">
      <alignment horizontal="left" vertical="center"/>
      <protection locked="0"/>
    </xf>
    <xf numFmtId="2" fontId="53" fillId="4" borderId="2" xfId="0" applyNumberFormat="1" applyFont="1" applyFill="1" applyBorder="1" applyAlignment="1" applyProtection="1">
      <alignment horizontal="center" vertical="top" wrapText="1"/>
      <protection locked="0"/>
    </xf>
    <xf numFmtId="2" fontId="53" fillId="4" borderId="6" xfId="0" applyNumberFormat="1" applyFont="1" applyFill="1" applyBorder="1" applyAlignment="1" applyProtection="1">
      <alignment horizontal="center" vertical="top" wrapText="1"/>
      <protection locked="0"/>
    </xf>
    <xf numFmtId="165" fontId="53" fillId="4" borderId="24" xfId="0" applyNumberFormat="1" applyFont="1" applyFill="1" applyBorder="1" applyAlignment="1" applyProtection="1">
      <alignment horizontal="center" vertical="top" wrapText="1"/>
      <protection locked="0"/>
    </xf>
    <xf numFmtId="165" fontId="53" fillId="4" borderId="0" xfId="0" applyNumberFormat="1" applyFont="1" applyFill="1" applyBorder="1" applyAlignment="1" applyProtection="1">
      <alignment horizontal="center" vertical="top" wrapText="1"/>
      <protection locked="0"/>
    </xf>
    <xf numFmtId="2" fontId="53" fillId="4" borderId="24" xfId="0" applyNumberFormat="1" applyFont="1" applyFill="1" applyBorder="1" applyAlignment="1" applyProtection="1">
      <alignment horizontal="center" vertical="top" wrapText="1"/>
      <protection locked="0"/>
    </xf>
    <xf numFmtId="2" fontId="53" fillId="4" borderId="0" xfId="0" applyNumberFormat="1" applyFont="1" applyFill="1" applyBorder="1" applyAlignment="1" applyProtection="1">
      <alignment horizontal="center" vertical="top" wrapText="1"/>
      <protection locked="0"/>
    </xf>
    <xf numFmtId="165" fontId="39" fillId="0" borderId="75" xfId="0" applyNumberFormat="1" applyFont="1" applyFill="1" applyBorder="1" applyAlignment="1" applyProtection="1">
      <alignment horizontal="left" vertical="top" wrapText="1"/>
      <protection locked="0"/>
    </xf>
    <xf numFmtId="165" fontId="39" fillId="0" borderId="74" xfId="0" applyNumberFormat="1" applyFont="1" applyFill="1" applyBorder="1" applyAlignment="1" applyProtection="1">
      <alignment horizontal="left" vertical="top" wrapText="1"/>
      <protection locked="0"/>
    </xf>
    <xf numFmtId="0" fontId="56" fillId="0" borderId="2" xfId="0" applyFont="1" applyBorder="1" applyAlignment="1">
      <alignment horizontal="center" vertical="center" textRotation="90"/>
    </xf>
    <xf numFmtId="0" fontId="56" fillId="0" borderId="6" xfId="0" applyFont="1" applyBorder="1" applyAlignment="1">
      <alignment horizontal="center" vertical="center" textRotation="90"/>
    </xf>
    <xf numFmtId="0" fontId="56" fillId="0" borderId="7" xfId="0" applyFont="1" applyBorder="1" applyAlignment="1">
      <alignment horizontal="center" vertical="center" textRotation="90"/>
    </xf>
    <xf numFmtId="165" fontId="53" fillId="4" borderId="24" xfId="0" applyNumberFormat="1" applyFont="1" applyFill="1" applyBorder="1" applyAlignment="1" applyProtection="1">
      <alignment horizontal="center" vertical="top"/>
      <protection locked="0"/>
    </xf>
    <xf numFmtId="0" fontId="70" fillId="0" borderId="0" xfId="0" applyFont="1" applyAlignment="1">
      <alignment horizontal="center"/>
    </xf>
    <xf numFmtId="0" fontId="49" fillId="4" borderId="75" xfId="0" applyFont="1" applyFill="1" applyBorder="1" applyAlignment="1">
      <alignment horizontal="center" vertical="center" wrapText="1"/>
    </xf>
    <xf numFmtId="0" fontId="49" fillId="4" borderId="74" xfId="0" applyFont="1" applyFill="1" applyBorder="1" applyAlignment="1">
      <alignment horizontal="center" vertical="center" wrapText="1"/>
    </xf>
    <xf numFmtId="0" fontId="49" fillId="4" borderId="68" xfId="0" applyFont="1" applyFill="1" applyBorder="1" applyAlignment="1">
      <alignment horizontal="center" vertical="center" wrapText="1"/>
    </xf>
    <xf numFmtId="0" fontId="49" fillId="4" borderId="6" xfId="0" applyFont="1" applyFill="1" applyBorder="1" applyAlignment="1">
      <alignment horizontal="center" vertical="center" wrapText="1"/>
    </xf>
    <xf numFmtId="0" fontId="49" fillId="4" borderId="6" xfId="0" applyFont="1" applyFill="1" applyBorder="1" applyAlignment="1">
      <alignment horizontal="center" vertical="center"/>
    </xf>
  </cellXfs>
  <cellStyles count="4">
    <cellStyle name="Денежный" xfId="1" builtinId="4"/>
    <cellStyle name="Обычный" xfId="0" builtinId="0"/>
    <cellStyle name="Обычный_Лист1 (3)" xfId="2" xr:uid="{AE696FA3-70FF-4ADB-A159-42AA1B2041C9}"/>
    <cellStyle name="Обычный_света2" xfId="3" xr:uid="{655D2D7C-D484-4CD5-ADD3-FB5D414D0BAE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8A4B9-D863-4907-8F42-7BB219667070}">
  <sheetPr codeName="Лист1">
    <pageSetUpPr fitToPage="1"/>
  </sheetPr>
  <dimension ref="A1:BO200"/>
  <sheetViews>
    <sheetView topLeftCell="C118" zoomScale="70" zoomScaleNormal="70" workbookViewId="0">
      <selection activeCell="Z131" sqref="Z131"/>
    </sheetView>
  </sheetViews>
  <sheetFormatPr defaultRowHeight="12.75" x14ac:dyDescent="0.2"/>
  <cols>
    <col min="1" max="1" width="33.44140625" style="4" customWidth="1"/>
    <col min="2" max="2" width="36.88671875" style="4" customWidth="1"/>
    <col min="3" max="3" width="14.77734375" style="4" customWidth="1"/>
    <col min="4" max="4" width="12.5546875" style="4" customWidth="1"/>
    <col min="5" max="5" width="12.88671875" style="4" customWidth="1"/>
    <col min="6" max="6" width="8.5546875" style="4" customWidth="1"/>
    <col min="7" max="7" width="11.88671875" style="4" customWidth="1"/>
    <col min="8" max="8" width="9.33203125" style="4" hidden="1" customWidth="1"/>
    <col min="9" max="9" width="9.6640625" style="4" hidden="1" customWidth="1"/>
    <col min="10" max="11" width="10" style="4" customWidth="1"/>
    <col min="12" max="12" width="11.6640625" style="4" hidden="1" customWidth="1"/>
    <col min="13" max="13" width="14.88671875" style="4" customWidth="1"/>
    <col min="14" max="14" width="9.21875" style="4" customWidth="1"/>
    <col min="15" max="15" width="12.109375" style="35" customWidth="1"/>
    <col min="16" max="16" width="9.33203125" style="4" hidden="1" customWidth="1"/>
    <col min="17" max="17" width="10.21875" style="4" customWidth="1"/>
    <col min="18" max="18" width="6.33203125" style="4" hidden="1" customWidth="1"/>
    <col min="19" max="19" width="12.109375" style="35" customWidth="1"/>
    <col min="20" max="20" width="5.88671875" style="35" customWidth="1"/>
    <col min="21" max="25" width="7.33203125" style="4" customWidth="1"/>
    <col min="26" max="26" width="13" style="4" customWidth="1"/>
    <col min="27" max="27" width="10.44140625" style="4" hidden="1" customWidth="1"/>
    <col min="28" max="28" width="7" style="4" customWidth="1"/>
    <col min="29" max="29" width="9.5546875" style="4" customWidth="1"/>
    <col min="30" max="30" width="7" style="4" customWidth="1"/>
    <col min="31" max="31" width="8.88671875" style="4" customWidth="1"/>
    <col min="32" max="35" width="7" style="4" customWidth="1"/>
    <col min="36" max="37" width="10.6640625" style="4" hidden="1" customWidth="1"/>
    <col min="38" max="38" width="24.77734375" style="4" hidden="1" customWidth="1"/>
    <col min="39" max="39" width="11.33203125" style="4" hidden="1" customWidth="1"/>
    <col min="40" max="40" width="4.88671875" style="4" hidden="1" customWidth="1"/>
    <col min="41" max="41" width="28.5546875" style="4" hidden="1" customWidth="1"/>
    <col min="42" max="42" width="8.88671875" style="35" customWidth="1"/>
    <col min="43" max="44" width="8.88671875" style="4" customWidth="1"/>
    <col min="45" max="47" width="8.88671875" style="4"/>
    <col min="48" max="55" width="0" style="4" hidden="1" customWidth="1"/>
    <col min="56" max="16384" width="8.88671875" style="4"/>
  </cols>
  <sheetData>
    <row r="1" spans="1:67" s="41" customFormat="1" ht="84.75" customHeigh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35"/>
      <c r="O1" s="35"/>
      <c r="P1" s="4"/>
      <c r="Q1" s="4"/>
      <c r="R1" s="4"/>
      <c r="S1" s="504" t="s">
        <v>157</v>
      </c>
      <c r="T1" s="504"/>
      <c r="U1" s="490"/>
      <c r="V1" s="490"/>
      <c r="W1" s="490"/>
      <c r="X1" s="490"/>
      <c r="Y1" s="468"/>
      <c r="Z1" s="468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</row>
    <row r="2" spans="1:67" s="41" customFormat="1" ht="20.25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35"/>
      <c r="P2" s="4"/>
      <c r="Q2" s="4"/>
      <c r="R2" s="4"/>
      <c r="S2" s="504" t="s">
        <v>158</v>
      </c>
      <c r="T2" s="504"/>
      <c r="U2" s="490"/>
      <c r="V2" s="490"/>
      <c r="W2" s="490"/>
      <c r="X2" s="490"/>
      <c r="Y2" s="468"/>
      <c r="Z2" s="468"/>
      <c r="AA2" s="4"/>
      <c r="AB2" s="70"/>
      <c r="AC2" s="71"/>
      <c r="AD2" s="72"/>
      <c r="AE2" s="4"/>
      <c r="AF2" s="4"/>
      <c r="AG2" s="4"/>
      <c r="AH2" s="4"/>
      <c r="AI2" s="4"/>
      <c r="AJ2" s="4"/>
      <c r="AK2" s="4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</row>
    <row r="3" spans="1:67" s="41" customFormat="1" ht="20.25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35"/>
      <c r="P3" s="4"/>
      <c r="Q3" s="4"/>
      <c r="R3" s="4"/>
      <c r="S3" s="504"/>
      <c r="T3" s="504"/>
      <c r="U3" s="490"/>
      <c r="V3" s="490"/>
      <c r="W3" s="490"/>
      <c r="X3" s="490"/>
      <c r="Y3" s="468"/>
      <c r="Z3" s="468"/>
      <c r="AA3" s="4"/>
      <c r="AB3" s="70"/>
      <c r="AC3" s="71"/>
      <c r="AD3" s="72"/>
      <c r="AE3" s="4"/>
      <c r="AF3" s="4"/>
      <c r="AG3" s="4"/>
      <c r="AH3" s="4"/>
      <c r="AI3" s="4"/>
      <c r="AJ3" s="4"/>
      <c r="AK3" s="4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</row>
    <row r="4" spans="1:67" s="41" customFormat="1" ht="20.25" x14ac:dyDescent="0.3">
      <c r="A4" s="4"/>
      <c r="B4" s="4"/>
      <c r="C4" s="4"/>
      <c r="E4" s="4"/>
      <c r="F4" s="4"/>
      <c r="G4" s="4"/>
      <c r="H4" s="4"/>
      <c r="I4" s="4"/>
      <c r="J4" s="4"/>
      <c r="K4" s="4"/>
      <c r="L4" s="4"/>
      <c r="M4" s="4"/>
      <c r="N4" s="4"/>
      <c r="O4" s="35"/>
      <c r="P4" s="4"/>
      <c r="Q4" s="4"/>
      <c r="R4" s="4"/>
      <c r="S4" s="505"/>
      <c r="T4" s="505"/>
      <c r="U4" s="506"/>
      <c r="V4" s="506"/>
      <c r="W4" s="507" t="s">
        <v>159</v>
      </c>
      <c r="X4" s="507"/>
      <c r="Y4" s="474"/>
      <c r="Z4" s="474"/>
      <c r="AA4" s="4"/>
      <c r="AB4" s="73"/>
      <c r="AC4" s="758"/>
      <c r="AD4" s="72"/>
      <c r="AE4" s="4"/>
      <c r="AF4" s="4"/>
      <c r="AG4" s="4"/>
      <c r="AH4" s="4"/>
      <c r="AI4" s="4"/>
      <c r="AJ4" s="4"/>
      <c r="AK4" s="4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</row>
    <row r="5" spans="1:67" s="41" customFormat="1" ht="18.75" customHeight="1" x14ac:dyDescent="0.3">
      <c r="A5" s="4"/>
      <c r="C5" s="4"/>
      <c r="D5" s="4"/>
      <c r="E5" s="4"/>
      <c r="F5" s="4"/>
      <c r="G5" s="4"/>
      <c r="H5" s="4"/>
      <c r="I5" s="4"/>
      <c r="J5" s="4"/>
      <c r="K5" s="4"/>
      <c r="L5" s="4"/>
      <c r="M5" s="7"/>
      <c r="N5" s="7"/>
      <c r="O5" s="339"/>
      <c r="P5" s="7"/>
      <c r="Q5" s="4"/>
      <c r="R5" s="4"/>
      <c r="S5" s="338"/>
      <c r="T5" s="338"/>
      <c r="U5" s="18"/>
      <c r="V5" s="17"/>
      <c r="W5" s="17"/>
      <c r="X5" s="17"/>
      <c r="Y5" s="17"/>
      <c r="Z5" s="17"/>
      <c r="AA5" s="4"/>
      <c r="AB5" s="70"/>
      <c r="AC5" s="758"/>
      <c r="AD5" s="72"/>
      <c r="AE5" s="4"/>
      <c r="AF5" s="4"/>
      <c r="AG5" s="4"/>
      <c r="AH5" s="4"/>
      <c r="AI5" s="4"/>
      <c r="AJ5" s="4"/>
      <c r="AK5" s="4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</row>
    <row r="6" spans="1:67" s="41" customFormat="1" ht="18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7"/>
      <c r="N6" s="7"/>
      <c r="O6" s="339"/>
      <c r="P6" s="7"/>
      <c r="Q6" s="4"/>
      <c r="R6" s="4"/>
      <c r="S6" s="339"/>
      <c r="T6" s="339"/>
      <c r="U6" s="5"/>
      <c r="V6" s="7"/>
      <c r="W6" s="7"/>
      <c r="X6" s="7"/>
      <c r="Y6" s="7"/>
      <c r="Z6" s="7"/>
      <c r="AA6" s="4"/>
      <c r="AE6" s="4"/>
      <c r="AF6" s="4"/>
      <c r="AG6" s="4"/>
      <c r="AH6" s="4"/>
      <c r="AI6" s="4"/>
      <c r="AJ6" s="4"/>
      <c r="AK6" s="4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</row>
    <row r="7" spans="1:67" s="41" customFormat="1" ht="21.75" customHeight="1" x14ac:dyDescent="0.35">
      <c r="A7" s="462" t="s">
        <v>0</v>
      </c>
      <c r="B7" s="2243" t="s">
        <v>47</v>
      </c>
      <c r="C7" s="2243"/>
      <c r="D7" s="2243"/>
      <c r="E7" s="2243"/>
      <c r="F7" s="2243"/>
      <c r="G7" s="2243"/>
      <c r="H7" s="2243"/>
      <c r="I7" s="2243"/>
      <c r="J7" s="2243"/>
      <c r="K7" s="2243"/>
      <c r="L7" s="2243"/>
      <c r="M7" s="2059" t="s">
        <v>160</v>
      </c>
      <c r="N7" s="2058"/>
      <c r="O7" s="2058"/>
      <c r="P7" s="2058"/>
      <c r="Q7" s="2058"/>
      <c r="R7" s="1707"/>
      <c r="S7" s="1706"/>
      <c r="T7" s="1706"/>
      <c r="U7" s="1706"/>
      <c r="V7" s="1706"/>
      <c r="W7" s="1706"/>
      <c r="X7" s="1706"/>
      <c r="Y7" s="464"/>
      <c r="Z7" s="464"/>
      <c r="AA7" s="69"/>
      <c r="AB7" s="8"/>
      <c r="AC7" s="74"/>
      <c r="AD7" s="74"/>
      <c r="AE7" s="8"/>
      <c r="AF7" s="8"/>
      <c r="AG7" s="8"/>
      <c r="AH7" s="10"/>
      <c r="AI7" s="10"/>
      <c r="AJ7" s="1"/>
      <c r="AK7" s="1"/>
      <c r="AL7" s="11"/>
      <c r="AM7" s="11"/>
      <c r="AN7" s="11"/>
      <c r="AO7" s="11"/>
      <c r="AP7" s="11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</row>
    <row r="8" spans="1:67" s="41" customFormat="1" ht="21.75" hidden="1" customHeight="1" x14ac:dyDescent="0.3">
      <c r="A8" s="462"/>
      <c r="B8" s="465" t="s">
        <v>0</v>
      </c>
      <c r="C8" s="465"/>
      <c r="D8" s="465"/>
      <c r="E8" s="466"/>
      <c r="F8" s="466"/>
      <c r="G8" s="466"/>
      <c r="H8" s="466"/>
      <c r="I8" s="466"/>
      <c r="J8" s="466"/>
      <c r="K8" s="466"/>
      <c r="L8" s="466"/>
      <c r="M8" s="466"/>
      <c r="N8" s="466"/>
      <c r="O8" s="867"/>
      <c r="P8" s="466"/>
      <c r="Q8" s="465"/>
      <c r="R8" s="465"/>
      <c r="S8" s="467"/>
      <c r="T8" s="467"/>
      <c r="U8" s="463"/>
      <c r="V8" s="463"/>
      <c r="W8" s="465"/>
      <c r="X8" s="465"/>
      <c r="Y8" s="465"/>
      <c r="Z8" s="465"/>
      <c r="AA8" s="32"/>
      <c r="AB8" s="8"/>
      <c r="AC8" s="9"/>
      <c r="AD8" s="8"/>
      <c r="AE8" s="8"/>
      <c r="AF8" s="8"/>
      <c r="AG8" s="8"/>
      <c r="AH8" s="10"/>
      <c r="AI8" s="10"/>
      <c r="AJ8" s="1"/>
      <c r="AK8" s="1"/>
      <c r="AL8" s="11"/>
      <c r="AM8" s="11"/>
      <c r="AN8" s="11"/>
      <c r="AO8" s="11"/>
      <c r="AP8" s="11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</row>
    <row r="9" spans="1:67" s="41" customFormat="1" ht="27" customHeight="1" x14ac:dyDescent="0.35">
      <c r="A9" s="1529"/>
      <c r="B9" s="1529"/>
      <c r="C9" s="1529"/>
      <c r="D9" s="2257"/>
      <c r="E9" s="2257"/>
      <c r="F9" s="2257"/>
      <c r="G9" s="2257"/>
      <c r="H9" s="2257"/>
      <c r="I9" s="2257"/>
      <c r="J9" s="2257"/>
      <c r="K9" s="2257"/>
      <c r="L9" s="2257"/>
      <c r="M9" s="2257"/>
      <c r="N9" s="2257"/>
      <c r="O9" s="2257"/>
      <c r="P9" s="2257"/>
      <c r="Q9" s="2257"/>
      <c r="R9" s="1529"/>
      <c r="S9" s="1529"/>
      <c r="T9" s="1529"/>
      <c r="U9" s="1529"/>
      <c r="V9" s="1529"/>
      <c r="W9" s="1529"/>
      <c r="X9" s="1529"/>
      <c r="Y9" s="1529"/>
      <c r="Z9" s="1529"/>
      <c r="AA9" s="32"/>
      <c r="AB9" s="8"/>
      <c r="AC9" s="9"/>
      <c r="AD9" s="8"/>
      <c r="AE9" s="8"/>
      <c r="AF9" s="8"/>
      <c r="AG9" s="8"/>
      <c r="AH9" s="10"/>
      <c r="AI9" s="10"/>
      <c r="AJ9" s="1"/>
      <c r="AK9" s="1"/>
      <c r="AL9" s="11"/>
      <c r="AM9" s="11"/>
      <c r="AN9" s="11"/>
      <c r="AO9" s="11"/>
      <c r="AP9" s="11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</row>
    <row r="10" spans="1:67" s="41" customFormat="1" ht="15.75" customHeight="1" thickBot="1" x14ac:dyDescent="0.25">
      <c r="A10" s="2" t="s">
        <v>0</v>
      </c>
      <c r="B10" s="2" t="s">
        <v>25</v>
      </c>
      <c r="C10" s="2"/>
      <c r="D10" s="2"/>
      <c r="E10" s="2"/>
      <c r="F10" s="2"/>
      <c r="G10" s="2"/>
      <c r="H10" s="3"/>
      <c r="I10" s="3"/>
      <c r="J10" s="3"/>
      <c r="K10" s="3"/>
      <c r="L10" s="2"/>
      <c r="M10" s="2"/>
      <c r="N10" s="2"/>
      <c r="O10" s="868"/>
      <c r="P10" s="3"/>
      <c r="Q10" s="3"/>
      <c r="R10" s="3"/>
      <c r="S10" s="668"/>
      <c r="T10" s="668"/>
      <c r="U10" s="3"/>
      <c r="V10" s="3"/>
      <c r="W10" s="3"/>
      <c r="X10" s="3"/>
      <c r="Y10" s="3"/>
      <c r="Z10" s="3"/>
      <c r="AA10" s="3"/>
      <c r="AB10" s="3"/>
      <c r="AC10" s="1"/>
      <c r="AD10" s="1"/>
      <c r="AE10" s="1"/>
      <c r="AF10" s="1"/>
      <c r="AG10" s="1"/>
      <c r="AH10" s="1"/>
      <c r="AI10" s="1"/>
      <c r="AJ10" s="1"/>
      <c r="AK10" s="1"/>
      <c r="AL10" s="11"/>
      <c r="AM10" s="11"/>
      <c r="AN10" s="11"/>
      <c r="AO10" s="11"/>
      <c r="AP10" s="11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</row>
    <row r="11" spans="1:67" s="41" customFormat="1" ht="44.25" customHeight="1" thickBot="1" x14ac:dyDescent="0.25">
      <c r="A11" s="500" t="s">
        <v>161</v>
      </c>
      <c r="B11" s="2246" t="s">
        <v>18</v>
      </c>
      <c r="C11" s="491" t="s">
        <v>43</v>
      </c>
      <c r="D11" s="2250" t="s">
        <v>147</v>
      </c>
      <c r="E11" s="2251"/>
      <c r="F11" s="2246" t="s">
        <v>162</v>
      </c>
      <c r="G11" s="2255" t="s">
        <v>116</v>
      </c>
      <c r="H11" s="546"/>
      <c r="I11" s="2286" t="s">
        <v>163</v>
      </c>
      <c r="J11" s="2252" t="s">
        <v>94</v>
      </c>
      <c r="K11" s="2253"/>
      <c r="L11" s="2254"/>
      <c r="M11" s="233" t="s">
        <v>164</v>
      </c>
      <c r="N11" s="233" t="s">
        <v>19</v>
      </c>
      <c r="O11" s="2244" t="s">
        <v>126</v>
      </c>
      <c r="P11" s="2248" t="s">
        <v>101</v>
      </c>
      <c r="Q11" s="2248" t="s">
        <v>89</v>
      </c>
      <c r="R11" s="2258"/>
      <c r="S11" s="2274" t="s">
        <v>165</v>
      </c>
      <c r="T11" s="2275"/>
      <c r="U11" s="423" t="s">
        <v>166</v>
      </c>
      <c r="V11" s="423" t="s">
        <v>27</v>
      </c>
      <c r="W11" s="236" t="s">
        <v>63</v>
      </c>
      <c r="X11" s="236" t="s">
        <v>64</v>
      </c>
      <c r="Y11" s="1726" t="s">
        <v>2</v>
      </c>
      <c r="Z11" s="2281" t="s">
        <v>121</v>
      </c>
      <c r="AA11" s="1760"/>
      <c r="AB11" s="2278" t="s">
        <v>167</v>
      </c>
      <c r="AC11" s="2279"/>
      <c r="AD11" s="2279"/>
      <c r="AE11" s="2279"/>
      <c r="AF11" s="2279"/>
      <c r="AG11" s="2279"/>
      <c r="AH11" s="2280"/>
      <c r="AI11" s="1754"/>
      <c r="AJ11" s="1280"/>
      <c r="AK11" s="2262" t="s">
        <v>168</v>
      </c>
      <c r="AL11" s="2263"/>
      <c r="AM11" s="2264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</row>
    <row r="12" spans="1:67" s="41" customFormat="1" ht="48.75" customHeight="1" thickBot="1" x14ac:dyDescent="0.3">
      <c r="A12" s="1530" t="s">
        <v>169</v>
      </c>
      <c r="B12" s="2247"/>
      <c r="C12" s="762" t="s">
        <v>170</v>
      </c>
      <c r="D12" s="446" t="s">
        <v>117</v>
      </c>
      <c r="E12" s="1898" t="s">
        <v>98</v>
      </c>
      <c r="F12" s="2247"/>
      <c r="G12" s="2256"/>
      <c r="H12" s="782"/>
      <c r="I12" s="2287"/>
      <c r="J12" s="814" t="s">
        <v>171</v>
      </c>
      <c r="K12" s="1321" t="s">
        <v>17</v>
      </c>
      <c r="L12" s="757" t="s">
        <v>93</v>
      </c>
      <c r="M12" s="421" t="s">
        <v>34</v>
      </c>
      <c r="N12" s="421" t="s">
        <v>20</v>
      </c>
      <c r="O12" s="2245"/>
      <c r="P12" s="2249"/>
      <c r="Q12" s="2249"/>
      <c r="R12" s="2259"/>
      <c r="S12" s="2276"/>
      <c r="T12" s="2277"/>
      <c r="U12" s="424" t="s">
        <v>172</v>
      </c>
      <c r="V12" s="424" t="s">
        <v>3</v>
      </c>
      <c r="W12" s="425" t="s">
        <v>16</v>
      </c>
      <c r="X12" s="425" t="s">
        <v>16</v>
      </c>
      <c r="Y12" s="1727" t="s">
        <v>3</v>
      </c>
      <c r="Z12" s="2282"/>
      <c r="AA12" s="692" t="s">
        <v>173</v>
      </c>
      <c r="AB12" s="359" t="s">
        <v>8</v>
      </c>
      <c r="AC12" s="360" t="s">
        <v>9</v>
      </c>
      <c r="AD12" s="361" t="s">
        <v>30</v>
      </c>
      <c r="AE12" s="362" t="s">
        <v>109</v>
      </c>
      <c r="AF12" s="363" t="s">
        <v>76</v>
      </c>
      <c r="AG12" s="364" t="s">
        <v>1</v>
      </c>
      <c r="AH12" s="359" t="s">
        <v>2</v>
      </c>
      <c r="AI12" s="359" t="s">
        <v>83</v>
      </c>
      <c r="AJ12" s="359" t="s">
        <v>83</v>
      </c>
      <c r="AK12" s="304" t="s">
        <v>71</v>
      </c>
      <c r="AL12" s="304" t="s">
        <v>68</v>
      </c>
      <c r="AM12" s="305" t="s">
        <v>69</v>
      </c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</row>
    <row r="13" spans="1:67" s="449" customFormat="1" ht="21.75" hidden="1" customHeight="1" x14ac:dyDescent="0.25">
      <c r="A13" s="1422"/>
      <c r="B13" s="863"/>
      <c r="C13" s="874"/>
      <c r="D13" s="1433"/>
      <c r="E13" s="1899"/>
      <c r="F13" s="1423" t="s">
        <v>174</v>
      </c>
      <c r="G13" s="1005"/>
      <c r="H13" s="709"/>
      <c r="I13" s="1424"/>
      <c r="J13" s="888"/>
      <c r="K13" s="1327"/>
      <c r="L13" s="908"/>
      <c r="M13" s="883">
        <f t="shared" ref="M13:M19" si="0">G13*$M$125/$G$125</f>
        <v>0</v>
      </c>
      <c r="N13" s="884">
        <f>SUM(M13:M14)</f>
        <v>0</v>
      </c>
      <c r="O13" s="1425" t="str">
        <f>IF(M13=0," ",L13/N13)</f>
        <v xml:space="preserve"> </v>
      </c>
      <c r="P13" s="1426"/>
      <c r="Q13" s="929">
        <v>9.2667000000000002</v>
      </c>
      <c r="R13" s="930"/>
      <c r="S13" s="931">
        <v>39.060899999999997</v>
      </c>
      <c r="T13" s="931"/>
      <c r="U13" s="886">
        <v>96.186000000000007</v>
      </c>
      <c r="V13" s="887">
        <v>0.97358999999999996</v>
      </c>
      <c r="W13" s="932">
        <v>45.747</v>
      </c>
      <c r="X13" s="932">
        <v>24.632999999999999</v>
      </c>
      <c r="Y13" s="1728">
        <v>0.56303999999999998</v>
      </c>
      <c r="Z13" s="1761"/>
      <c r="AA13" s="933">
        <v>4.2227999999999995E-2</v>
      </c>
      <c r="AB13" s="1786">
        <f t="shared" ref="AB13:AB44" si="1">($G13*Q13/$G$125)</f>
        <v>0</v>
      </c>
      <c r="AC13" s="1427">
        <f t="shared" ref="AC13:AC44" si="2">($G13*S13/$G$125)</f>
        <v>0</v>
      </c>
      <c r="AD13" s="1427">
        <f>($G13*U13/$G$125)</f>
        <v>0</v>
      </c>
      <c r="AE13" s="1427">
        <f>($G13*V13/$G$125)</f>
        <v>0</v>
      </c>
      <c r="AF13" s="1427">
        <f>($G13*W13/$G$125)</f>
        <v>0</v>
      </c>
      <c r="AG13" s="1428">
        <f>($G13*X13/$G$125)</f>
        <v>0</v>
      </c>
      <c r="AH13" s="1429">
        <f>($G13*Y13/$G$125)</f>
        <v>0</v>
      </c>
      <c r="AI13" s="1755"/>
      <c r="AJ13" s="1280">
        <f t="shared" ref="AJ13:AJ38" si="3">($G13*AA13/$G$125)</f>
        <v>0</v>
      </c>
      <c r="AK13" s="311"/>
      <c r="AL13" s="682"/>
      <c r="AM13" s="682"/>
    </row>
    <row r="14" spans="1:67" s="48" customFormat="1" ht="18.75" hidden="1" customHeight="1" thickBot="1" x14ac:dyDescent="0.25">
      <c r="A14" s="52"/>
      <c r="B14" s="1297"/>
      <c r="C14" s="265"/>
      <c r="D14" s="1418"/>
      <c r="E14" s="1900"/>
      <c r="F14" s="163" t="s">
        <v>174</v>
      </c>
      <c r="G14" s="726"/>
      <c r="H14" s="643"/>
      <c r="I14" s="803"/>
      <c r="J14" s="726"/>
      <c r="K14" s="1322"/>
      <c r="L14" s="644"/>
      <c r="M14" s="164">
        <f t="shared" si="0"/>
        <v>0</v>
      </c>
      <c r="N14" s="333"/>
      <c r="O14" s="333"/>
      <c r="P14" s="783"/>
      <c r="Q14" s="789"/>
      <c r="R14" s="656"/>
      <c r="S14" s="426"/>
      <c r="T14" s="426"/>
      <c r="U14" s="427"/>
      <c r="V14" s="428"/>
      <c r="W14" s="428"/>
      <c r="X14" s="429"/>
      <c r="Y14" s="1729"/>
      <c r="Z14" s="1762"/>
      <c r="AA14" s="348"/>
      <c r="AB14" s="1787">
        <f t="shared" si="1"/>
        <v>0</v>
      </c>
      <c r="AC14" s="1281">
        <f t="shared" si="2"/>
        <v>0</v>
      </c>
      <c r="AD14" s="1281">
        <f t="shared" ref="AD14:AD38" si="4">($G14*U14/$G$125)</f>
        <v>0</v>
      </c>
      <c r="AE14" s="1281">
        <f t="shared" ref="AE14:AE38" si="5">($G14*V14/$G$125)</f>
        <v>0</v>
      </c>
      <c r="AF14" s="1281">
        <f t="shared" ref="AF14:AF38" si="6">($G14*W14/$G$125)</f>
        <v>0</v>
      </c>
      <c r="AG14" s="1430"/>
      <c r="AH14" s="1431">
        <f t="shared" ref="AH14:AH38" si="7">($G14*Y14/$G$125)</f>
        <v>0</v>
      </c>
      <c r="AI14" s="1756"/>
      <c r="AJ14" s="1432">
        <f t="shared" si="3"/>
        <v>0</v>
      </c>
      <c r="AK14" s="311"/>
      <c r="AL14" s="297"/>
      <c r="AM14" s="301"/>
      <c r="AN14" s="136"/>
      <c r="AO14" s="136"/>
      <c r="AP14" s="136"/>
      <c r="AQ14" s="136"/>
    </row>
    <row r="15" spans="1:67" s="48" customFormat="1" ht="21" hidden="1" customHeight="1" x14ac:dyDescent="0.2">
      <c r="A15" s="855"/>
      <c r="B15" s="861" t="s">
        <v>175</v>
      </c>
      <c r="C15" s="1340"/>
      <c r="D15" s="1419"/>
      <c r="E15" s="981"/>
      <c r="F15" s="1341" t="s">
        <v>174</v>
      </c>
      <c r="G15" s="1342"/>
      <c r="H15" s="897">
        <f>G15*(100-P15)/100</f>
        <v>0</v>
      </c>
      <c r="I15" s="1338">
        <f>H15/H$125*100</f>
        <v>0</v>
      </c>
      <c r="J15" s="1343">
        <v>0</v>
      </c>
      <c r="K15" s="1344">
        <v>0</v>
      </c>
      <c r="L15" s="1339">
        <f>SUM(J15:K15)</f>
        <v>0</v>
      </c>
      <c r="M15" s="909">
        <f t="shared" si="0"/>
        <v>0</v>
      </c>
      <c r="N15" s="910">
        <f>SUM(M15:M17)</f>
        <v>0</v>
      </c>
      <c r="O15" s="969" t="str">
        <f>IF(N15=0," ",(J15+#REF!)/N15)</f>
        <v xml:space="preserve"> </v>
      </c>
      <c r="P15" s="912">
        <v>15.9528</v>
      </c>
      <c r="Q15" s="1345">
        <v>8.6801999999999992</v>
      </c>
      <c r="R15" s="1346"/>
      <c r="S15" s="1347">
        <v>25.923300000000001</v>
      </c>
      <c r="T15" s="1347"/>
      <c r="U15" s="932">
        <v>90.320999999999998</v>
      </c>
      <c r="V15" s="1348">
        <v>1.0674300000000001</v>
      </c>
      <c r="W15" s="1349">
        <v>53.957999999999998</v>
      </c>
      <c r="X15" s="1349">
        <v>18.768000000000001</v>
      </c>
      <c r="Y15" s="1730">
        <v>0.64515</v>
      </c>
      <c r="Z15" s="1763"/>
      <c r="AA15" s="1350">
        <v>4.2227999999999995E-2</v>
      </c>
      <c r="AB15" s="1788">
        <f t="shared" si="1"/>
        <v>0</v>
      </c>
      <c r="AC15" s="1282">
        <f t="shared" si="2"/>
        <v>0</v>
      </c>
      <c r="AD15" s="1282">
        <f t="shared" si="4"/>
        <v>0</v>
      </c>
      <c r="AE15" s="1282">
        <f t="shared" si="5"/>
        <v>0</v>
      </c>
      <c r="AF15" s="1282">
        <f t="shared" si="6"/>
        <v>0</v>
      </c>
      <c r="AG15" s="1283">
        <f t="shared" ref="AG15:AG38" si="8">($G15*X15/$G$125)</f>
        <v>0</v>
      </c>
      <c r="AH15" s="1284">
        <f t="shared" si="7"/>
        <v>0</v>
      </c>
      <c r="AI15" s="1757"/>
      <c r="AJ15" s="1285">
        <f t="shared" si="3"/>
        <v>0</v>
      </c>
      <c r="AK15" s="852"/>
      <c r="AL15" s="1351">
        <v>82.11</v>
      </c>
      <c r="AM15" s="301"/>
      <c r="AN15" s="136"/>
      <c r="AO15" s="1352" t="s">
        <v>176</v>
      </c>
      <c r="AP15" s="136"/>
      <c r="AQ15" s="136"/>
    </row>
    <row r="16" spans="1:67" s="48" customFormat="1" ht="21" hidden="1" customHeight="1" x14ac:dyDescent="0.2">
      <c r="A16" s="895"/>
      <c r="B16" s="860" t="s">
        <v>176</v>
      </c>
      <c r="C16" s="1278"/>
      <c r="D16" s="1420"/>
      <c r="E16" s="1901"/>
      <c r="F16" s="163" t="s">
        <v>174</v>
      </c>
      <c r="G16" s="896"/>
      <c r="H16" s="897"/>
      <c r="I16" s="898"/>
      <c r="J16" s="899"/>
      <c r="K16" s="1323"/>
      <c r="L16" s="991"/>
      <c r="M16" s="900">
        <f t="shared" si="0"/>
        <v>0</v>
      </c>
      <c r="N16" s="901"/>
      <c r="O16" s="902" t="str">
        <f>IF(N16=0," ",(J16+#REF!)/N16)</f>
        <v xml:space="preserve"> </v>
      </c>
      <c r="P16" s="903"/>
      <c r="Q16" s="790">
        <v>8.6801999999999992</v>
      </c>
      <c r="R16" s="657"/>
      <c r="S16" s="640">
        <v>41.055</v>
      </c>
      <c r="T16" s="640"/>
      <c r="U16" s="992">
        <v>99.704999999999998</v>
      </c>
      <c r="V16" s="993">
        <v>1.02051</v>
      </c>
      <c r="W16" s="641">
        <v>50.439</v>
      </c>
      <c r="X16" s="641">
        <v>24.632999999999999</v>
      </c>
      <c r="Y16" s="1731">
        <v>0.48093000000000002</v>
      </c>
      <c r="Z16" s="1764"/>
      <c r="AA16" s="642">
        <v>4.2227999999999995E-2</v>
      </c>
      <c r="AB16" s="1788">
        <f t="shared" si="1"/>
        <v>0</v>
      </c>
      <c r="AC16" s="1282">
        <f t="shared" si="2"/>
        <v>0</v>
      </c>
      <c r="AD16" s="1282">
        <f t="shared" si="4"/>
        <v>0</v>
      </c>
      <c r="AE16" s="1282">
        <f t="shared" si="5"/>
        <v>0</v>
      </c>
      <c r="AF16" s="1282">
        <f t="shared" si="6"/>
        <v>0</v>
      </c>
      <c r="AG16" s="1283">
        <f t="shared" si="8"/>
        <v>0</v>
      </c>
      <c r="AH16" s="1284">
        <f t="shared" si="7"/>
        <v>0</v>
      </c>
      <c r="AI16" s="1757"/>
      <c r="AJ16" s="1285">
        <f t="shared" si="3"/>
        <v>0</v>
      </c>
      <c r="AK16" s="852"/>
      <c r="AL16" s="853"/>
      <c r="AM16" s="301"/>
      <c r="AN16" s="136"/>
      <c r="AO16" s="139"/>
      <c r="AP16" s="136"/>
      <c r="AQ16" s="136"/>
    </row>
    <row r="17" spans="1:67" s="48" customFormat="1" ht="18.75" hidden="1" customHeight="1" x14ac:dyDescent="0.2">
      <c r="A17" s="895"/>
      <c r="B17" s="860" t="s">
        <v>176</v>
      </c>
      <c r="C17" s="873"/>
      <c r="D17" s="1421"/>
      <c r="E17" s="1902"/>
      <c r="F17" s="163" t="s">
        <v>174</v>
      </c>
      <c r="G17" s="896"/>
      <c r="H17" s="897"/>
      <c r="I17" s="898"/>
      <c r="J17" s="899"/>
      <c r="K17" s="1323"/>
      <c r="L17" s="384"/>
      <c r="M17" s="900">
        <f t="shared" si="0"/>
        <v>0</v>
      </c>
      <c r="N17" s="901"/>
      <c r="O17" s="902" t="str">
        <f>IF(N17=0," ",(J17+#REF!+K17)/N17)</f>
        <v xml:space="preserve"> </v>
      </c>
      <c r="P17" s="903"/>
      <c r="Q17" s="790">
        <v>10.3224</v>
      </c>
      <c r="R17" s="657"/>
      <c r="S17" s="640">
        <v>41.055</v>
      </c>
      <c r="T17" s="640"/>
      <c r="U17" s="893">
        <v>90.320999999999998</v>
      </c>
      <c r="V17" s="894">
        <v>1.0674300000000001</v>
      </c>
      <c r="W17" s="641">
        <v>53.957999999999998</v>
      </c>
      <c r="X17" s="641">
        <v>18.768000000000001</v>
      </c>
      <c r="Y17" s="1731">
        <v>0.64515</v>
      </c>
      <c r="Z17" s="1764"/>
      <c r="AA17" s="642">
        <v>4.2227999999999995E-2</v>
      </c>
      <c r="AB17" s="1788">
        <f t="shared" si="1"/>
        <v>0</v>
      </c>
      <c r="AC17" s="1282">
        <f t="shared" si="2"/>
        <v>0</v>
      </c>
      <c r="AD17" s="1282">
        <f t="shared" si="4"/>
        <v>0</v>
      </c>
      <c r="AE17" s="1282">
        <f t="shared" si="5"/>
        <v>0</v>
      </c>
      <c r="AF17" s="1282">
        <f t="shared" si="6"/>
        <v>0</v>
      </c>
      <c r="AG17" s="1283">
        <f t="shared" si="8"/>
        <v>0</v>
      </c>
      <c r="AH17" s="1284">
        <f t="shared" si="7"/>
        <v>0</v>
      </c>
      <c r="AI17" s="1757"/>
      <c r="AJ17" s="1285">
        <f t="shared" si="3"/>
        <v>0</v>
      </c>
      <c r="AK17" s="166"/>
      <c r="AL17" s="358"/>
      <c r="AM17" s="301"/>
      <c r="AN17" s="136"/>
      <c r="AO17" s="139" t="s">
        <v>176</v>
      </c>
      <c r="AP17" s="136"/>
      <c r="AQ17" s="136"/>
    </row>
    <row r="18" spans="1:67" s="48" customFormat="1" ht="22.5" hidden="1" customHeight="1" x14ac:dyDescent="0.2">
      <c r="A18" s="855"/>
      <c r="B18" s="861" t="s">
        <v>177</v>
      </c>
      <c r="C18" s="1470">
        <v>12915.199199999999</v>
      </c>
      <c r="D18" s="1452"/>
      <c r="E18" s="981"/>
      <c r="F18" s="1341" t="s">
        <v>174</v>
      </c>
      <c r="G18" s="904"/>
      <c r="H18" s="905"/>
      <c r="I18" s="906"/>
      <c r="J18" s="907">
        <v>0</v>
      </c>
      <c r="K18" s="1326">
        <v>0</v>
      </c>
      <c r="L18" s="942">
        <f>SUM(J18:K18)</f>
        <v>0</v>
      </c>
      <c r="M18" s="909">
        <f t="shared" si="0"/>
        <v>0</v>
      </c>
      <c r="N18" s="910">
        <f>SUM(M18:M19)</f>
        <v>0</v>
      </c>
      <c r="O18" s="969" t="str">
        <f>IF(N18=0," ",(J18+#REF!+K18)/N18)</f>
        <v xml:space="preserve"> </v>
      </c>
      <c r="P18" s="912"/>
      <c r="Q18" s="1345">
        <v>9.3840000000000003</v>
      </c>
      <c r="R18" s="1346"/>
      <c r="S18" s="1347">
        <v>41.2896</v>
      </c>
      <c r="T18" s="1347"/>
      <c r="U18" s="913">
        <v>99.704999999999998</v>
      </c>
      <c r="V18" s="914">
        <v>0.98531999999999997</v>
      </c>
      <c r="W18" s="1349">
        <v>51.612000000000002</v>
      </c>
      <c r="X18" s="1349">
        <v>23.46</v>
      </c>
      <c r="Y18" s="1730">
        <v>0.46920000000000001</v>
      </c>
      <c r="Z18" s="1763"/>
      <c r="AA18" s="1350">
        <v>4.2227999999999995E-2</v>
      </c>
      <c r="AB18" s="1788">
        <f t="shared" si="1"/>
        <v>0</v>
      </c>
      <c r="AC18" s="1282">
        <f t="shared" si="2"/>
        <v>0</v>
      </c>
      <c r="AD18" s="1282">
        <f t="shared" si="4"/>
        <v>0</v>
      </c>
      <c r="AE18" s="1282">
        <f t="shared" si="5"/>
        <v>0</v>
      </c>
      <c r="AF18" s="1282">
        <f t="shared" si="6"/>
        <v>0</v>
      </c>
      <c r="AG18" s="1283">
        <f t="shared" si="8"/>
        <v>0</v>
      </c>
      <c r="AH18" s="1284">
        <f t="shared" si="7"/>
        <v>0</v>
      </c>
      <c r="AI18" s="1757"/>
      <c r="AJ18" s="1285">
        <f t="shared" si="3"/>
        <v>0</v>
      </c>
      <c r="AK18" s="674"/>
      <c r="AL18" s="675"/>
      <c r="AM18" s="301"/>
      <c r="AN18" s="136"/>
      <c r="AO18" s="139"/>
      <c r="AP18" s="136"/>
      <c r="AQ18" s="136"/>
    </row>
    <row r="19" spans="1:67" s="48" customFormat="1" ht="18.75" hidden="1" customHeight="1" thickBot="1" x14ac:dyDescent="0.25">
      <c r="A19" s="915" t="s">
        <v>178</v>
      </c>
      <c r="B19" s="862" t="s">
        <v>88</v>
      </c>
      <c r="C19" s="1278">
        <v>12915.199199999999</v>
      </c>
      <c r="D19" s="1451"/>
      <c r="E19" s="1903"/>
      <c r="F19" s="163" t="s">
        <v>174</v>
      </c>
      <c r="G19" s="916"/>
      <c r="H19" s="917"/>
      <c r="I19" s="918"/>
      <c r="J19" s="919"/>
      <c r="K19" s="1324"/>
      <c r="L19" s="382"/>
      <c r="M19" s="920">
        <f t="shared" si="0"/>
        <v>0</v>
      </c>
      <c r="N19" s="921"/>
      <c r="O19" s="922" t="str">
        <f>IF(N19=0," ",(J19+#REF!+K19)/N19)</f>
        <v xml:space="preserve"> </v>
      </c>
      <c r="P19" s="923"/>
      <c r="Q19" s="791">
        <v>7.9763999999999999</v>
      </c>
      <c r="R19" s="677"/>
      <c r="S19" s="678">
        <v>41.5242</v>
      </c>
      <c r="T19" s="678"/>
      <c r="U19" s="924">
        <v>99.704999999999998</v>
      </c>
      <c r="V19" s="925">
        <v>0.98531999999999997</v>
      </c>
      <c r="W19" s="679">
        <v>51.612000000000002</v>
      </c>
      <c r="X19" s="679">
        <v>23.46</v>
      </c>
      <c r="Y19" s="1732">
        <v>0.46920000000000001</v>
      </c>
      <c r="Z19" s="1765"/>
      <c r="AA19" s="680">
        <v>4.2227999999999995E-2</v>
      </c>
      <c r="AB19" s="1788">
        <f t="shared" si="1"/>
        <v>0</v>
      </c>
      <c r="AC19" s="1282">
        <f t="shared" si="2"/>
        <v>0</v>
      </c>
      <c r="AD19" s="1282">
        <f t="shared" si="4"/>
        <v>0</v>
      </c>
      <c r="AE19" s="1282">
        <f t="shared" si="5"/>
        <v>0</v>
      </c>
      <c r="AF19" s="1282">
        <f t="shared" si="6"/>
        <v>0</v>
      </c>
      <c r="AG19" s="1283">
        <f t="shared" si="8"/>
        <v>0</v>
      </c>
      <c r="AH19" s="1284">
        <f t="shared" si="7"/>
        <v>0</v>
      </c>
      <c r="AI19" s="1757"/>
      <c r="AJ19" s="1285">
        <f t="shared" si="3"/>
        <v>0</v>
      </c>
      <c r="AK19" s="674"/>
      <c r="AL19" s="675"/>
      <c r="AM19" s="301"/>
      <c r="AN19" s="136"/>
      <c r="AO19" s="139"/>
      <c r="AP19" s="136"/>
      <c r="AQ19" s="136"/>
    </row>
    <row r="20" spans="1:67" s="1336" customFormat="1" ht="21" customHeight="1" x14ac:dyDescent="0.2">
      <c r="A20" s="1471" t="s">
        <v>179</v>
      </c>
      <c r="B20" s="2080" t="s">
        <v>48</v>
      </c>
      <c r="C20" s="2111">
        <v>11436.38637</v>
      </c>
      <c r="D20" s="2081">
        <v>11.73</v>
      </c>
      <c r="E20" s="1922">
        <v>11.183673469387756</v>
      </c>
      <c r="F20" s="1848" t="s">
        <v>13</v>
      </c>
      <c r="G20" s="2032">
        <v>14.076000000000001</v>
      </c>
      <c r="H20" s="1388"/>
      <c r="I20" s="1398"/>
      <c r="J20" s="1389">
        <v>2500</v>
      </c>
      <c r="K20" s="1390">
        <v>3100</v>
      </c>
      <c r="L20" s="1391">
        <f t="shared" ref="L20:L32" si="9">SUM(J20:K20)</f>
        <v>5600</v>
      </c>
      <c r="M20" s="1392">
        <f>G20*M125/G125</f>
        <v>378.85499879829899</v>
      </c>
      <c r="N20" s="1393">
        <f>SUM(M20:M21)</f>
        <v>378.85499879829899</v>
      </c>
      <c r="O20" s="1574">
        <f t="shared" ref="O20:O83" si="10">IF(N20=0," ",(K20)/N20)</f>
        <v>8.1825500780852263</v>
      </c>
      <c r="P20" s="1595"/>
      <c r="Q20" s="1399">
        <v>8.9147999999999996</v>
      </c>
      <c r="R20" s="1400"/>
      <c r="S20" s="1401">
        <v>41.2896</v>
      </c>
      <c r="T20" s="1401"/>
      <c r="U20" s="1395">
        <v>102.051</v>
      </c>
      <c r="V20" s="1396">
        <v>1.0674300000000001</v>
      </c>
      <c r="W20" s="1402">
        <v>39.881999999999998</v>
      </c>
      <c r="X20" s="1402">
        <v>29.324999999999999</v>
      </c>
      <c r="Y20" s="1733">
        <v>0.83282999999999996</v>
      </c>
      <c r="Z20" s="1766">
        <v>0.804678</v>
      </c>
      <c r="AA20" s="1403">
        <v>6.1934400000000001E-2</v>
      </c>
      <c r="AB20" s="1789">
        <f t="shared" si="1"/>
        <v>0.91199999999999992</v>
      </c>
      <c r="AC20" s="1404">
        <f t="shared" si="2"/>
        <v>4.2240000000000002</v>
      </c>
      <c r="AD20" s="1404">
        <f t="shared" si="4"/>
        <v>10.44</v>
      </c>
      <c r="AE20" s="1404">
        <f t="shared" si="5"/>
        <v>0.10920000000000001</v>
      </c>
      <c r="AF20" s="1404">
        <f t="shared" si="6"/>
        <v>4.08</v>
      </c>
      <c r="AG20" s="1405">
        <f t="shared" si="8"/>
        <v>3</v>
      </c>
      <c r="AH20" s="1406">
        <f t="shared" si="7"/>
        <v>8.5199999999999998E-2</v>
      </c>
      <c r="AI20" s="1406">
        <f t="shared" ref="AI20:AI38" si="11">($G20*Z20/$G$125)</f>
        <v>8.2320000000000004E-2</v>
      </c>
      <c r="AJ20" s="1407">
        <f t="shared" si="3"/>
        <v>6.3359999999999996E-3</v>
      </c>
      <c r="AK20" s="1472">
        <v>7.7417999999999996</v>
      </c>
      <c r="AL20" s="1473">
        <v>82.11</v>
      </c>
      <c r="AM20" s="1474"/>
      <c r="AN20" s="1353"/>
      <c r="AO20" s="1437" t="s">
        <v>180</v>
      </c>
      <c r="AP20" s="133"/>
      <c r="AQ20" s="133"/>
    </row>
    <row r="21" spans="1:67" s="63" customFormat="1" ht="21" customHeight="1" x14ac:dyDescent="0.2">
      <c r="A21" s="895" t="s">
        <v>178</v>
      </c>
      <c r="B21" s="1316" t="s">
        <v>48</v>
      </c>
      <c r="C21" s="1278">
        <v>11436.38637</v>
      </c>
      <c r="D21" s="2098"/>
      <c r="E21" s="1923"/>
      <c r="F21" s="171" t="s">
        <v>174</v>
      </c>
      <c r="G21" s="2033"/>
      <c r="H21" s="779"/>
      <c r="I21" s="805"/>
      <c r="J21" s="934"/>
      <c r="K21" s="1325"/>
      <c r="L21" s="935">
        <f t="shared" si="9"/>
        <v>0</v>
      </c>
      <c r="M21" s="900">
        <f>$M$125*G21/G125</f>
        <v>0</v>
      </c>
      <c r="N21" s="1602"/>
      <c r="O21" s="1575" t="str">
        <f t="shared" si="10"/>
        <v xml:space="preserve"> </v>
      </c>
      <c r="P21" s="1603"/>
      <c r="Q21" s="936">
        <v>8.5629000000000008</v>
      </c>
      <c r="R21" s="937"/>
      <c r="S21" s="938">
        <v>41.406899999999993</v>
      </c>
      <c r="T21" s="938"/>
      <c r="U21" s="924">
        <v>102.051</v>
      </c>
      <c r="V21" s="925">
        <v>1.0674300000000001</v>
      </c>
      <c r="W21" s="939">
        <v>39.881999999999998</v>
      </c>
      <c r="X21" s="939">
        <v>29.324999999999999</v>
      </c>
      <c r="Y21" s="1734">
        <v>0.83282999999999996</v>
      </c>
      <c r="Z21" s="1767">
        <v>0.804678</v>
      </c>
      <c r="AA21" s="940">
        <v>6.1934400000000001E-2</v>
      </c>
      <c r="AB21" s="1790">
        <f t="shared" si="1"/>
        <v>0</v>
      </c>
      <c r="AC21" s="1286">
        <f t="shared" si="2"/>
        <v>0</v>
      </c>
      <c r="AD21" s="1286">
        <f t="shared" si="4"/>
        <v>0</v>
      </c>
      <c r="AE21" s="1286">
        <f t="shared" si="5"/>
        <v>0</v>
      </c>
      <c r="AF21" s="1286">
        <f t="shared" si="6"/>
        <v>0</v>
      </c>
      <c r="AG21" s="1289">
        <f t="shared" si="8"/>
        <v>0</v>
      </c>
      <c r="AH21" s="1287">
        <f t="shared" si="7"/>
        <v>0</v>
      </c>
      <c r="AI21" s="1759">
        <f t="shared" si="11"/>
        <v>0</v>
      </c>
      <c r="AJ21" s="1288">
        <f t="shared" si="3"/>
        <v>0</v>
      </c>
      <c r="AK21" s="314"/>
      <c r="AL21" s="298"/>
      <c r="AM21" s="298"/>
      <c r="AN21" s="68"/>
      <c r="AO21" s="170" t="s">
        <v>180</v>
      </c>
      <c r="AP21" s="68"/>
      <c r="AQ21" s="68"/>
    </row>
    <row r="22" spans="1:67" s="63" customFormat="1" ht="21.75" hidden="1" customHeight="1" x14ac:dyDescent="0.2">
      <c r="A22" s="926"/>
      <c r="B22" s="2082" t="s">
        <v>181</v>
      </c>
      <c r="C22" s="1470">
        <v>9532.5604500000009</v>
      </c>
      <c r="D22" s="2099"/>
      <c r="E22" s="1924"/>
      <c r="F22" s="331" t="s">
        <v>182</v>
      </c>
      <c r="G22" s="2034"/>
      <c r="H22" s="905">
        <f>G22*(100-P22)/100</f>
        <v>0</v>
      </c>
      <c r="I22" s="941">
        <f>H22/H$125*100</f>
        <v>0</v>
      </c>
      <c r="J22" s="907"/>
      <c r="K22" s="1326">
        <v>0</v>
      </c>
      <c r="L22" s="942">
        <f t="shared" si="9"/>
        <v>0</v>
      </c>
      <c r="M22" s="909">
        <f>$M$125*G22/G125</f>
        <v>0</v>
      </c>
      <c r="N22" s="910">
        <f>SUM(M22:M24)</f>
        <v>0</v>
      </c>
      <c r="O22" s="911" t="str">
        <f t="shared" si="10"/>
        <v xml:space="preserve"> </v>
      </c>
      <c r="P22" s="912">
        <v>11.73</v>
      </c>
      <c r="Q22" s="929">
        <v>10.674300000000001</v>
      </c>
      <c r="R22" s="930"/>
      <c r="S22" s="931">
        <v>37.184100000000001</v>
      </c>
      <c r="T22" s="931"/>
      <c r="U22" s="913">
        <v>104.39700000000001</v>
      </c>
      <c r="V22" s="914">
        <v>0.96186000000000005</v>
      </c>
      <c r="W22" s="932">
        <v>38.709000000000003</v>
      </c>
      <c r="X22" s="932">
        <v>31.670999999999999</v>
      </c>
      <c r="Y22" s="1728">
        <v>0.49265999999999999</v>
      </c>
      <c r="Z22" s="1768"/>
      <c r="AA22" s="933">
        <v>3.2843999999999998E-2</v>
      </c>
      <c r="AB22" s="1790">
        <f t="shared" si="1"/>
        <v>0</v>
      </c>
      <c r="AC22" s="1286">
        <f t="shared" si="2"/>
        <v>0</v>
      </c>
      <c r="AD22" s="1286">
        <f t="shared" si="4"/>
        <v>0</v>
      </c>
      <c r="AE22" s="1286">
        <f t="shared" si="5"/>
        <v>0</v>
      </c>
      <c r="AF22" s="1286">
        <f t="shared" si="6"/>
        <v>0</v>
      </c>
      <c r="AG22" s="1289">
        <f t="shared" si="8"/>
        <v>0</v>
      </c>
      <c r="AH22" s="1287">
        <f t="shared" si="7"/>
        <v>0</v>
      </c>
      <c r="AI22" s="1759">
        <f t="shared" si="11"/>
        <v>0</v>
      </c>
      <c r="AJ22" s="1288">
        <f t="shared" si="3"/>
        <v>0</v>
      </c>
      <c r="AK22" s="799">
        <v>3.1671</v>
      </c>
      <c r="AL22" s="800">
        <v>103.5759</v>
      </c>
      <c r="AM22" s="801"/>
      <c r="AN22" s="802"/>
      <c r="AO22" s="261" t="s">
        <v>183</v>
      </c>
      <c r="AV22" s="63">
        <v>116.127</v>
      </c>
      <c r="AW22" s="63">
        <v>39.060899999999997</v>
      </c>
      <c r="AX22" s="63">
        <v>118.473</v>
      </c>
      <c r="AZ22" s="63">
        <v>9.5013000000000005</v>
      </c>
      <c r="BA22" s="63">
        <v>40.468499999999999</v>
      </c>
      <c r="BB22" s="63">
        <v>105.57</v>
      </c>
    </row>
    <row r="23" spans="1:67" s="165" customFormat="1" ht="19.5" hidden="1" customHeight="1" x14ac:dyDescent="0.2">
      <c r="A23" s="895" t="s">
        <v>96</v>
      </c>
      <c r="B23" s="1111" t="s">
        <v>53</v>
      </c>
      <c r="C23" s="1278">
        <v>9532.5604500000009</v>
      </c>
      <c r="D23" s="2100"/>
      <c r="E23" s="1486"/>
      <c r="F23" s="332" t="s">
        <v>182</v>
      </c>
      <c r="G23" s="1851"/>
      <c r="H23" s="897"/>
      <c r="I23" s="943"/>
      <c r="J23" s="888"/>
      <c r="K23" s="1327"/>
      <c r="L23" s="889">
        <f t="shared" si="9"/>
        <v>0</v>
      </c>
      <c r="M23" s="900">
        <f>G23*M125/G125</f>
        <v>0</v>
      </c>
      <c r="N23" s="901"/>
      <c r="O23" s="902" t="str">
        <f t="shared" si="10"/>
        <v xml:space="preserve"> </v>
      </c>
      <c r="P23" s="903"/>
      <c r="Q23" s="944">
        <v>9.7359000000000009</v>
      </c>
      <c r="R23" s="945"/>
      <c r="S23" s="946">
        <v>38.591700000000003</v>
      </c>
      <c r="T23" s="1597"/>
      <c r="U23" s="893">
        <v>104.39700000000001</v>
      </c>
      <c r="V23" s="894">
        <v>0.96186000000000005</v>
      </c>
      <c r="W23" s="947">
        <v>38.709000000000003</v>
      </c>
      <c r="X23" s="947">
        <v>31.670999999999999</v>
      </c>
      <c r="Y23" s="1735">
        <v>0.52785000000000004</v>
      </c>
      <c r="Z23" s="1769"/>
      <c r="AA23" s="948">
        <v>3.2843999999999998E-2</v>
      </c>
      <c r="AB23" s="1790">
        <f t="shared" si="1"/>
        <v>0</v>
      </c>
      <c r="AC23" s="1286">
        <f t="shared" si="2"/>
        <v>0</v>
      </c>
      <c r="AD23" s="1286">
        <f t="shared" si="4"/>
        <v>0</v>
      </c>
      <c r="AE23" s="1286">
        <f t="shared" si="5"/>
        <v>0</v>
      </c>
      <c r="AF23" s="1286">
        <f t="shared" si="6"/>
        <v>0</v>
      </c>
      <c r="AG23" s="1289">
        <f t="shared" si="8"/>
        <v>0</v>
      </c>
      <c r="AH23" s="1287">
        <f t="shared" si="7"/>
        <v>0</v>
      </c>
      <c r="AI23" s="1759">
        <f t="shared" si="11"/>
        <v>0</v>
      </c>
      <c r="AJ23" s="1288">
        <f t="shared" si="3"/>
        <v>0</v>
      </c>
      <c r="AK23" s="314"/>
      <c r="AL23" s="298"/>
      <c r="AM23" s="298"/>
      <c r="AN23" s="68"/>
      <c r="AO23" s="172" t="s">
        <v>184</v>
      </c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</row>
    <row r="24" spans="1:67" s="165" customFormat="1" ht="19.5" hidden="1" customHeight="1" x14ac:dyDescent="0.2">
      <c r="A24" s="949"/>
      <c r="B24" s="2083" t="s">
        <v>181</v>
      </c>
      <c r="C24" s="873">
        <v>9532.5604500000009</v>
      </c>
      <c r="D24" s="2098"/>
      <c r="E24" s="1923"/>
      <c r="F24" s="171" t="s">
        <v>182</v>
      </c>
      <c r="G24" s="1852"/>
      <c r="H24" s="917"/>
      <c r="I24" s="950"/>
      <c r="J24" s="934"/>
      <c r="K24" s="1325"/>
      <c r="L24" s="935">
        <f t="shared" si="9"/>
        <v>0</v>
      </c>
      <c r="M24" s="920">
        <f>G24*M125/G125</f>
        <v>0</v>
      </c>
      <c r="N24" s="921"/>
      <c r="O24" s="922" t="str">
        <f t="shared" si="10"/>
        <v xml:space="preserve"> </v>
      </c>
      <c r="P24" s="923"/>
      <c r="Q24" s="936"/>
      <c r="R24" s="937"/>
      <c r="S24" s="938"/>
      <c r="T24" s="938"/>
      <c r="U24" s="924">
        <v>102.051</v>
      </c>
      <c r="V24" s="925">
        <v>1.0557000000000001</v>
      </c>
      <c r="W24" s="939"/>
      <c r="X24" s="939"/>
      <c r="Y24" s="1734"/>
      <c r="Z24" s="1767"/>
      <c r="AA24" s="940"/>
      <c r="AB24" s="1790">
        <f t="shared" si="1"/>
        <v>0</v>
      </c>
      <c r="AC24" s="1286">
        <f t="shared" si="2"/>
        <v>0</v>
      </c>
      <c r="AD24" s="1286">
        <f t="shared" si="4"/>
        <v>0</v>
      </c>
      <c r="AE24" s="1286">
        <f t="shared" si="5"/>
        <v>0</v>
      </c>
      <c r="AF24" s="1286">
        <f t="shared" si="6"/>
        <v>0</v>
      </c>
      <c r="AG24" s="1289">
        <f t="shared" si="8"/>
        <v>0</v>
      </c>
      <c r="AH24" s="1287">
        <f t="shared" si="7"/>
        <v>0</v>
      </c>
      <c r="AI24" s="1759">
        <f t="shared" si="11"/>
        <v>0</v>
      </c>
      <c r="AJ24" s="1288">
        <f t="shared" si="3"/>
        <v>0</v>
      </c>
      <c r="AK24" s="314"/>
      <c r="AL24" s="298"/>
      <c r="AM24" s="298"/>
      <c r="AN24" s="68"/>
      <c r="AO24" s="173" t="s">
        <v>184</v>
      </c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</row>
    <row r="25" spans="1:67" s="129" customFormat="1" ht="19.5" customHeight="1" x14ac:dyDescent="0.2">
      <c r="A25" s="951" t="s">
        <v>185</v>
      </c>
      <c r="B25" s="2084" t="s">
        <v>60</v>
      </c>
      <c r="C25" s="1340"/>
      <c r="D25" s="2101"/>
      <c r="E25" s="1925"/>
      <c r="F25" s="337" t="s">
        <v>182</v>
      </c>
      <c r="G25" s="2035"/>
      <c r="H25" s="952"/>
      <c r="I25" s="953"/>
      <c r="J25" s="954"/>
      <c r="K25" s="1328">
        <v>19600</v>
      </c>
      <c r="L25" s="955">
        <f t="shared" si="9"/>
        <v>19600</v>
      </c>
      <c r="M25" s="956">
        <f>G25*M125/G125</f>
        <v>0</v>
      </c>
      <c r="N25" s="957"/>
      <c r="O25" s="958" t="str">
        <f t="shared" si="10"/>
        <v xml:space="preserve"> </v>
      </c>
      <c r="P25" s="959"/>
      <c r="Q25" s="960">
        <v>9.8531999999999993</v>
      </c>
      <c r="R25" s="961"/>
      <c r="S25" s="962">
        <v>36.363</v>
      </c>
      <c r="T25" s="962"/>
      <c r="U25" s="963">
        <v>99.704999999999998</v>
      </c>
      <c r="V25" s="964">
        <v>1.02051</v>
      </c>
      <c r="W25" s="965">
        <v>17.594999999999999</v>
      </c>
      <c r="X25" s="965">
        <v>36.363</v>
      </c>
      <c r="Y25" s="1736">
        <v>0.58650000000000002</v>
      </c>
      <c r="Z25" s="1770"/>
      <c r="AA25" s="966"/>
      <c r="AB25" s="1790">
        <f t="shared" si="1"/>
        <v>0</v>
      </c>
      <c r="AC25" s="1286">
        <f t="shared" si="2"/>
        <v>0</v>
      </c>
      <c r="AD25" s="1286">
        <f t="shared" si="4"/>
        <v>0</v>
      </c>
      <c r="AE25" s="1286">
        <f t="shared" si="5"/>
        <v>0</v>
      </c>
      <c r="AF25" s="1286">
        <f t="shared" si="6"/>
        <v>0</v>
      </c>
      <c r="AG25" s="1289">
        <f t="shared" si="8"/>
        <v>0</v>
      </c>
      <c r="AH25" s="1287">
        <f t="shared" si="7"/>
        <v>0</v>
      </c>
      <c r="AI25" s="1759">
        <f t="shared" si="11"/>
        <v>0</v>
      </c>
      <c r="AJ25" s="1290">
        <f t="shared" si="3"/>
        <v>0</v>
      </c>
      <c r="AK25" s="315"/>
      <c r="AL25" s="299"/>
      <c r="AM25" s="299"/>
      <c r="AN25" s="133"/>
      <c r="AO25" s="250" t="s">
        <v>186</v>
      </c>
    </row>
    <row r="26" spans="1:67" s="129" customFormat="1" ht="21" hidden="1" customHeight="1" x14ac:dyDescent="0.2">
      <c r="A26" s="951"/>
      <c r="B26" s="2082" t="s">
        <v>187</v>
      </c>
      <c r="C26" s="1470"/>
      <c r="D26" s="2099"/>
      <c r="E26" s="1924"/>
      <c r="F26" s="331" t="s">
        <v>182</v>
      </c>
      <c r="G26" s="2036"/>
      <c r="H26" s="967"/>
      <c r="I26" s="968"/>
      <c r="J26" s="928"/>
      <c r="K26" s="1320"/>
      <c r="L26" s="908">
        <f t="shared" si="9"/>
        <v>0</v>
      </c>
      <c r="M26" s="909">
        <f>G26*$M$125/$G$125</f>
        <v>0</v>
      </c>
      <c r="N26" s="910">
        <f>SUM(M26:M27)</f>
        <v>0</v>
      </c>
      <c r="O26" s="969" t="str">
        <f t="shared" si="10"/>
        <v xml:space="preserve"> </v>
      </c>
      <c r="P26" s="912"/>
      <c r="Q26" s="929">
        <v>7.8590999999999998</v>
      </c>
      <c r="R26" s="930"/>
      <c r="S26" s="931">
        <v>40.468499999999999</v>
      </c>
      <c r="T26" s="931"/>
      <c r="U26" s="886">
        <v>103.224</v>
      </c>
      <c r="V26" s="887">
        <v>0.98531999999999997</v>
      </c>
      <c r="W26" s="932">
        <v>51.612000000000002</v>
      </c>
      <c r="X26" s="932">
        <v>28.152000000000001</v>
      </c>
      <c r="Y26" s="1728">
        <v>0.49265999999999999</v>
      </c>
      <c r="Z26" s="1768"/>
      <c r="AA26" s="933">
        <v>3.2843999999999998E-2</v>
      </c>
      <c r="AB26" s="1790">
        <f t="shared" si="1"/>
        <v>0</v>
      </c>
      <c r="AC26" s="1286">
        <f t="shared" si="2"/>
        <v>0</v>
      </c>
      <c r="AD26" s="1286">
        <f t="shared" si="4"/>
        <v>0</v>
      </c>
      <c r="AE26" s="1286">
        <f t="shared" si="5"/>
        <v>0</v>
      </c>
      <c r="AF26" s="1286">
        <f t="shared" si="6"/>
        <v>0</v>
      </c>
      <c r="AG26" s="1289">
        <f t="shared" si="8"/>
        <v>0</v>
      </c>
      <c r="AH26" s="1287">
        <f t="shared" si="7"/>
        <v>0</v>
      </c>
      <c r="AI26" s="1759">
        <f t="shared" si="11"/>
        <v>0</v>
      </c>
      <c r="AJ26" s="1290">
        <f t="shared" si="3"/>
        <v>0</v>
      </c>
      <c r="AK26" s="315"/>
      <c r="AL26" s="334">
        <v>82.11</v>
      </c>
      <c r="AM26" s="299"/>
      <c r="AN26" s="133"/>
      <c r="AO26" s="261" t="s">
        <v>187</v>
      </c>
    </row>
    <row r="27" spans="1:67" s="129" customFormat="1" ht="21" hidden="1" customHeight="1" x14ac:dyDescent="0.2">
      <c r="A27" s="949"/>
      <c r="B27" s="2085"/>
      <c r="C27" s="873"/>
      <c r="D27" s="2098"/>
      <c r="E27" s="1923"/>
      <c r="F27" s="330" t="s">
        <v>182</v>
      </c>
      <c r="G27" s="1852"/>
      <c r="H27" s="917"/>
      <c r="I27" s="918"/>
      <c r="J27" s="934"/>
      <c r="K27" s="1325"/>
      <c r="L27" s="935">
        <f t="shared" si="9"/>
        <v>0</v>
      </c>
      <c r="M27" s="920">
        <f>G27*$M$125/$G$125</f>
        <v>0</v>
      </c>
      <c r="N27" s="921"/>
      <c r="O27" s="970" t="str">
        <f t="shared" si="10"/>
        <v xml:space="preserve"> </v>
      </c>
      <c r="P27" s="923"/>
      <c r="Q27" s="936"/>
      <c r="R27" s="937"/>
      <c r="S27" s="938"/>
      <c r="T27" s="938"/>
      <c r="U27" s="924"/>
      <c r="V27" s="925"/>
      <c r="W27" s="939"/>
      <c r="X27" s="939"/>
      <c r="Y27" s="1734"/>
      <c r="Z27" s="1767"/>
      <c r="AA27" s="940"/>
      <c r="AB27" s="1790">
        <f t="shared" si="1"/>
        <v>0</v>
      </c>
      <c r="AC27" s="1286">
        <f t="shared" si="2"/>
        <v>0</v>
      </c>
      <c r="AD27" s="1286">
        <f t="shared" si="4"/>
        <v>0</v>
      </c>
      <c r="AE27" s="1286">
        <f t="shared" si="5"/>
        <v>0</v>
      </c>
      <c r="AF27" s="1286">
        <f t="shared" si="6"/>
        <v>0</v>
      </c>
      <c r="AG27" s="1289">
        <f t="shared" si="8"/>
        <v>0</v>
      </c>
      <c r="AH27" s="1287">
        <f t="shared" si="7"/>
        <v>0</v>
      </c>
      <c r="AI27" s="1759">
        <f t="shared" si="11"/>
        <v>0</v>
      </c>
      <c r="AJ27" s="1290">
        <f t="shared" si="3"/>
        <v>0</v>
      </c>
      <c r="AK27" s="315"/>
      <c r="AL27" s="334"/>
      <c r="AM27" s="299"/>
      <c r="AN27" s="133"/>
      <c r="AO27" s="175"/>
    </row>
    <row r="28" spans="1:67" s="134" customFormat="1" ht="21" hidden="1" customHeight="1" x14ac:dyDescent="0.2">
      <c r="A28" s="856"/>
      <c r="B28" s="2082" t="s">
        <v>188</v>
      </c>
      <c r="C28" s="1470"/>
      <c r="D28" s="2099"/>
      <c r="E28" s="1924"/>
      <c r="F28" s="168" t="s">
        <v>182</v>
      </c>
      <c r="G28" s="2037"/>
      <c r="H28" s="780"/>
      <c r="I28" s="968"/>
      <c r="J28" s="928"/>
      <c r="K28" s="1320"/>
      <c r="L28" s="908">
        <f t="shared" si="9"/>
        <v>0</v>
      </c>
      <c r="M28" s="883">
        <f>G28*$M$125/$G$125</f>
        <v>0</v>
      </c>
      <c r="N28" s="884">
        <f>SUM(M28:M29)</f>
        <v>0</v>
      </c>
      <c r="O28" s="971" t="str">
        <f t="shared" si="10"/>
        <v xml:space="preserve"> </v>
      </c>
      <c r="P28" s="885"/>
      <c r="Q28" s="929">
        <v>8.3283000000000005</v>
      </c>
      <c r="R28" s="930"/>
      <c r="S28" s="931">
        <v>39.647399999999998</v>
      </c>
      <c r="T28" s="931"/>
      <c r="U28" s="886">
        <v>100.878</v>
      </c>
      <c r="V28" s="887">
        <v>1.00878</v>
      </c>
      <c r="W28" s="932">
        <v>38.709000000000003</v>
      </c>
      <c r="X28" s="932">
        <v>32.844000000000001</v>
      </c>
      <c r="Y28" s="1728">
        <v>0.71553</v>
      </c>
      <c r="Z28" s="1768"/>
      <c r="AA28" s="933">
        <v>3.2843999999999998E-2</v>
      </c>
      <c r="AB28" s="1790">
        <f t="shared" si="1"/>
        <v>0</v>
      </c>
      <c r="AC28" s="1286">
        <f t="shared" si="2"/>
        <v>0</v>
      </c>
      <c r="AD28" s="1286">
        <f t="shared" si="4"/>
        <v>0</v>
      </c>
      <c r="AE28" s="1286">
        <f t="shared" si="5"/>
        <v>0</v>
      </c>
      <c r="AF28" s="1286">
        <f t="shared" si="6"/>
        <v>0</v>
      </c>
      <c r="AG28" s="1289">
        <f t="shared" si="8"/>
        <v>0</v>
      </c>
      <c r="AH28" s="1287">
        <f t="shared" si="7"/>
        <v>0</v>
      </c>
      <c r="AI28" s="1759">
        <f t="shared" si="11"/>
        <v>0</v>
      </c>
      <c r="AJ28" s="1290">
        <f t="shared" si="3"/>
        <v>0</v>
      </c>
      <c r="AK28" s="315"/>
      <c r="AL28" s="334">
        <v>82.11</v>
      </c>
      <c r="AM28" s="299"/>
      <c r="AN28" s="133"/>
      <c r="AO28" s="638" t="s">
        <v>188</v>
      </c>
      <c r="AP28" s="129"/>
      <c r="AQ28" s="129"/>
      <c r="AR28" s="129"/>
      <c r="AS28" s="129"/>
      <c r="AT28" s="129"/>
      <c r="AU28" s="129"/>
      <c r="AV28" s="129"/>
      <c r="AW28" s="129"/>
      <c r="AX28" s="129"/>
      <c r="AY28" s="129"/>
      <c r="AZ28" s="129"/>
      <c r="BA28" s="129"/>
      <c r="BB28" s="129"/>
      <c r="BC28" s="129"/>
      <c r="BD28" s="129"/>
      <c r="BE28" s="129"/>
      <c r="BF28" s="129"/>
      <c r="BG28" s="129"/>
      <c r="BH28" s="129"/>
      <c r="BI28" s="129"/>
      <c r="BJ28" s="129"/>
      <c r="BK28" s="129"/>
      <c r="BL28" s="129"/>
      <c r="BM28" s="129"/>
      <c r="BN28" s="129"/>
      <c r="BO28" s="129"/>
    </row>
    <row r="29" spans="1:67" s="180" customFormat="1" ht="21" hidden="1" customHeight="1" x14ac:dyDescent="0.2">
      <c r="A29" s="972"/>
      <c r="B29" s="2083"/>
      <c r="C29" s="873"/>
      <c r="D29" s="2098"/>
      <c r="E29" s="1923"/>
      <c r="F29" s="330" t="s">
        <v>182</v>
      </c>
      <c r="G29" s="1852"/>
      <c r="H29" s="917"/>
      <c r="I29" s="918"/>
      <c r="J29" s="934"/>
      <c r="K29" s="1325"/>
      <c r="L29" s="935">
        <f t="shared" si="9"/>
        <v>0</v>
      </c>
      <c r="M29" s="920">
        <f>G29*$M$125/$G$125</f>
        <v>0</v>
      </c>
      <c r="N29" s="921"/>
      <c r="O29" s="970" t="str">
        <f t="shared" si="10"/>
        <v xml:space="preserve"> </v>
      </c>
      <c r="P29" s="923"/>
      <c r="Q29" s="936"/>
      <c r="R29" s="937"/>
      <c r="S29" s="938"/>
      <c r="T29" s="938"/>
      <c r="U29" s="924"/>
      <c r="V29" s="925"/>
      <c r="W29" s="939"/>
      <c r="X29" s="939"/>
      <c r="Y29" s="1734"/>
      <c r="Z29" s="1767"/>
      <c r="AA29" s="940"/>
      <c r="AB29" s="1790">
        <f t="shared" si="1"/>
        <v>0</v>
      </c>
      <c r="AC29" s="1286">
        <f t="shared" si="2"/>
        <v>0</v>
      </c>
      <c r="AD29" s="1286">
        <f t="shared" si="4"/>
        <v>0</v>
      </c>
      <c r="AE29" s="1286">
        <f t="shared" si="5"/>
        <v>0</v>
      </c>
      <c r="AF29" s="1286">
        <f t="shared" si="6"/>
        <v>0</v>
      </c>
      <c r="AG29" s="1289">
        <f t="shared" si="8"/>
        <v>0</v>
      </c>
      <c r="AH29" s="1287">
        <f t="shared" si="7"/>
        <v>0</v>
      </c>
      <c r="AI29" s="1759">
        <f t="shared" si="11"/>
        <v>0</v>
      </c>
      <c r="AJ29" s="1290">
        <f t="shared" si="3"/>
        <v>0</v>
      </c>
      <c r="AK29" s="315"/>
      <c r="AL29" s="298"/>
      <c r="AM29" s="298"/>
      <c r="AN29" s="68"/>
      <c r="AO29" s="17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</row>
    <row r="30" spans="1:67" s="165" customFormat="1" ht="21" hidden="1" customHeight="1" x14ac:dyDescent="0.2">
      <c r="A30" s="926"/>
      <c r="B30" s="2086" t="s">
        <v>189</v>
      </c>
      <c r="C30" s="1470"/>
      <c r="D30" s="2099"/>
      <c r="E30" s="1924"/>
      <c r="F30" s="331" t="s">
        <v>190</v>
      </c>
      <c r="G30" s="2034"/>
      <c r="H30" s="905"/>
      <c r="I30" s="927"/>
      <c r="J30" s="928"/>
      <c r="K30" s="1320"/>
      <c r="L30" s="908">
        <f t="shared" si="9"/>
        <v>0</v>
      </c>
      <c r="M30" s="909">
        <f>$M$125*G30/$G$125</f>
        <v>0</v>
      </c>
      <c r="N30" s="910">
        <f>SUM(M30:M31)</f>
        <v>0</v>
      </c>
      <c r="O30" s="969" t="str">
        <f t="shared" si="10"/>
        <v xml:space="preserve"> </v>
      </c>
      <c r="P30" s="912"/>
      <c r="Q30" s="929">
        <v>10.3224</v>
      </c>
      <c r="R30" s="930"/>
      <c r="S30" s="931">
        <v>41.1723</v>
      </c>
      <c r="T30" s="931"/>
      <c r="U30" s="886">
        <v>104.39700000000001</v>
      </c>
      <c r="V30" s="887">
        <v>1.02051</v>
      </c>
      <c r="W30" s="932"/>
      <c r="X30" s="932">
        <v>32.844000000000001</v>
      </c>
      <c r="Y30" s="1728">
        <v>0.82110000000000005</v>
      </c>
      <c r="Z30" s="1768"/>
      <c r="AA30" s="933"/>
      <c r="AB30" s="1790">
        <f t="shared" si="1"/>
        <v>0</v>
      </c>
      <c r="AC30" s="1286">
        <f t="shared" si="2"/>
        <v>0</v>
      </c>
      <c r="AD30" s="1286">
        <f t="shared" si="4"/>
        <v>0</v>
      </c>
      <c r="AE30" s="1286">
        <f t="shared" si="5"/>
        <v>0</v>
      </c>
      <c r="AF30" s="1286">
        <f t="shared" si="6"/>
        <v>0</v>
      </c>
      <c r="AG30" s="1289">
        <f t="shared" si="8"/>
        <v>0</v>
      </c>
      <c r="AH30" s="1287">
        <f t="shared" si="7"/>
        <v>0</v>
      </c>
      <c r="AI30" s="1759">
        <f t="shared" si="11"/>
        <v>0</v>
      </c>
      <c r="AJ30" s="1288">
        <f t="shared" si="3"/>
        <v>0</v>
      </c>
      <c r="AK30" s="314"/>
      <c r="AL30" s="298"/>
      <c r="AM30" s="298"/>
      <c r="AN30" s="68"/>
      <c r="AO30" s="232" t="s">
        <v>189</v>
      </c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</row>
    <row r="31" spans="1:67" s="180" customFormat="1" ht="21" hidden="1" customHeight="1" x14ac:dyDescent="0.2">
      <c r="A31" s="915"/>
      <c r="B31" s="2087" t="s">
        <v>189</v>
      </c>
      <c r="C31" s="2113"/>
      <c r="D31" s="2098"/>
      <c r="E31" s="1923"/>
      <c r="F31" s="171" t="s">
        <v>190</v>
      </c>
      <c r="G31" s="1852"/>
      <c r="H31" s="917"/>
      <c r="I31" s="918"/>
      <c r="J31" s="934"/>
      <c r="K31" s="1325"/>
      <c r="L31" s="935">
        <f t="shared" si="9"/>
        <v>0</v>
      </c>
      <c r="M31" s="920">
        <f>$M$125*G31/$G$125</f>
        <v>0</v>
      </c>
      <c r="N31" s="921"/>
      <c r="O31" s="970" t="str">
        <f t="shared" si="10"/>
        <v xml:space="preserve"> </v>
      </c>
      <c r="P31" s="923"/>
      <c r="Q31" s="936">
        <v>10.3224</v>
      </c>
      <c r="R31" s="937"/>
      <c r="S31" s="938">
        <v>41.1723</v>
      </c>
      <c r="T31" s="938"/>
      <c r="U31" s="924">
        <v>104.39700000000001</v>
      </c>
      <c r="V31" s="925">
        <v>1.02051</v>
      </c>
      <c r="W31" s="939"/>
      <c r="X31" s="939">
        <v>32.844000000000001</v>
      </c>
      <c r="Y31" s="1734">
        <v>0.83282999999999996</v>
      </c>
      <c r="Z31" s="1767"/>
      <c r="AA31" s="940"/>
      <c r="AB31" s="1790">
        <f t="shared" si="1"/>
        <v>0</v>
      </c>
      <c r="AC31" s="1286">
        <f t="shared" si="2"/>
        <v>0</v>
      </c>
      <c r="AD31" s="1286">
        <f t="shared" si="4"/>
        <v>0</v>
      </c>
      <c r="AE31" s="1286">
        <f t="shared" si="5"/>
        <v>0</v>
      </c>
      <c r="AF31" s="1286">
        <f t="shared" si="6"/>
        <v>0</v>
      </c>
      <c r="AG31" s="1289">
        <f t="shared" si="8"/>
        <v>0</v>
      </c>
      <c r="AH31" s="1287">
        <f t="shared" si="7"/>
        <v>0</v>
      </c>
      <c r="AI31" s="1759">
        <f t="shared" si="11"/>
        <v>0</v>
      </c>
      <c r="AJ31" s="1288">
        <f t="shared" si="3"/>
        <v>0</v>
      </c>
      <c r="AK31" s="314"/>
      <c r="AL31" s="298"/>
      <c r="AM31" s="298"/>
      <c r="AN31" s="68"/>
      <c r="AO31" s="176" t="s">
        <v>189</v>
      </c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</row>
    <row r="32" spans="1:67" s="165" customFormat="1" ht="21.75" hidden="1" customHeight="1" x14ac:dyDescent="0.2">
      <c r="A32" s="995"/>
      <c r="B32" s="2082" t="s">
        <v>191</v>
      </c>
      <c r="C32" s="1470">
        <v>15261.199199999999</v>
      </c>
      <c r="D32" s="2099"/>
      <c r="E32" s="1924">
        <v>0</v>
      </c>
      <c r="F32" s="331" t="s">
        <v>4</v>
      </c>
      <c r="G32" s="2034"/>
      <c r="H32" s="905"/>
      <c r="I32" s="927"/>
      <c r="J32" s="928">
        <v>0</v>
      </c>
      <c r="K32" s="1320">
        <v>0</v>
      </c>
      <c r="L32" s="908">
        <f t="shared" si="9"/>
        <v>0</v>
      </c>
      <c r="M32" s="883">
        <f>$M$125*G32/G125</f>
        <v>0</v>
      </c>
      <c r="N32" s="884">
        <f>SUM(M32:M34)</f>
        <v>0</v>
      </c>
      <c r="O32" s="1434" t="str">
        <f t="shared" si="10"/>
        <v xml:space="preserve"> </v>
      </c>
      <c r="P32" s="1435"/>
      <c r="Q32" s="929">
        <v>8.4456000000000007</v>
      </c>
      <c r="R32" s="930"/>
      <c r="S32" s="931">
        <v>37.418700000000001</v>
      </c>
      <c r="T32" s="931"/>
      <c r="U32" s="913">
        <v>110.262</v>
      </c>
      <c r="V32" s="914">
        <v>1.12608</v>
      </c>
      <c r="W32" s="932">
        <v>16.422000000000001</v>
      </c>
      <c r="X32" s="932">
        <v>37.536000000000001</v>
      </c>
      <c r="Y32" s="1728">
        <v>0.62168999999999996</v>
      </c>
      <c r="Z32" s="1768"/>
      <c r="AA32" s="933">
        <v>4.9969800000000002E-2</v>
      </c>
      <c r="AB32" s="1790">
        <f t="shared" si="1"/>
        <v>0</v>
      </c>
      <c r="AC32" s="1286">
        <f t="shared" si="2"/>
        <v>0</v>
      </c>
      <c r="AD32" s="1286">
        <f t="shared" si="4"/>
        <v>0</v>
      </c>
      <c r="AE32" s="1286">
        <f t="shared" si="5"/>
        <v>0</v>
      </c>
      <c r="AF32" s="1286">
        <f t="shared" si="6"/>
        <v>0</v>
      </c>
      <c r="AG32" s="1289">
        <f t="shared" si="8"/>
        <v>0</v>
      </c>
      <c r="AH32" s="1287">
        <f t="shared" si="7"/>
        <v>0</v>
      </c>
      <c r="AI32" s="1759">
        <f t="shared" si="11"/>
        <v>0</v>
      </c>
      <c r="AJ32" s="1288">
        <f t="shared" si="3"/>
        <v>0</v>
      </c>
      <c r="AK32" s="314"/>
      <c r="AL32" s="298">
        <v>60.057600000000001</v>
      </c>
      <c r="AM32" s="298"/>
      <c r="AN32" s="68"/>
      <c r="AO32" s="1436" t="s">
        <v>192</v>
      </c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</row>
    <row r="33" spans="1:67" s="132" customFormat="1" ht="21.75" hidden="1" customHeight="1" x14ac:dyDescent="0.2">
      <c r="A33" s="895"/>
      <c r="B33" s="1111" t="s">
        <v>193</v>
      </c>
      <c r="C33" s="873"/>
      <c r="D33" s="2098"/>
      <c r="E33" s="1923"/>
      <c r="F33" s="171" t="s">
        <v>190</v>
      </c>
      <c r="G33" s="1852"/>
      <c r="H33" s="917"/>
      <c r="I33" s="918"/>
      <c r="J33" s="934"/>
      <c r="K33" s="1325"/>
      <c r="L33" s="935"/>
      <c r="M33" s="920">
        <f>$M$125*G33/G125</f>
        <v>0</v>
      </c>
      <c r="N33" s="921"/>
      <c r="O33" s="970" t="str">
        <f t="shared" si="10"/>
        <v xml:space="preserve"> </v>
      </c>
      <c r="P33" s="923"/>
      <c r="Q33" s="936">
        <v>9.9704999999999995</v>
      </c>
      <c r="R33" s="937"/>
      <c r="S33" s="938">
        <v>35.893799999999999</v>
      </c>
      <c r="T33" s="938"/>
      <c r="U33" s="924">
        <v>97.358999999999995</v>
      </c>
      <c r="V33" s="925">
        <v>1.1026199999999999</v>
      </c>
      <c r="W33" s="939">
        <v>43.401000000000003</v>
      </c>
      <c r="X33" s="939">
        <v>34.017000000000003</v>
      </c>
      <c r="Y33" s="1734">
        <v>0.62168999999999996</v>
      </c>
      <c r="Z33" s="1767"/>
      <c r="AA33" s="940">
        <v>4.9969800000000002E-2</v>
      </c>
      <c r="AB33" s="1790">
        <f t="shared" si="1"/>
        <v>0</v>
      </c>
      <c r="AC33" s="1286">
        <f t="shared" si="2"/>
        <v>0</v>
      </c>
      <c r="AD33" s="1286">
        <f t="shared" si="4"/>
        <v>0</v>
      </c>
      <c r="AE33" s="1286">
        <f t="shared" si="5"/>
        <v>0</v>
      </c>
      <c r="AF33" s="1286">
        <f t="shared" si="6"/>
        <v>0</v>
      </c>
      <c r="AG33" s="1289">
        <f t="shared" si="8"/>
        <v>0</v>
      </c>
      <c r="AH33" s="1287">
        <f t="shared" si="7"/>
        <v>0</v>
      </c>
      <c r="AI33" s="1759">
        <f t="shared" si="11"/>
        <v>0</v>
      </c>
      <c r="AJ33" s="1290">
        <f t="shared" si="3"/>
        <v>0</v>
      </c>
      <c r="AK33" s="315"/>
      <c r="AL33" s="299"/>
      <c r="AM33" s="299"/>
      <c r="AN33" s="133"/>
      <c r="AO33" s="827"/>
      <c r="AP33" s="129"/>
      <c r="AQ33" s="129"/>
      <c r="AR33" s="129"/>
      <c r="AS33" s="129"/>
      <c r="AT33" s="129"/>
      <c r="AU33" s="129"/>
      <c r="AV33" s="129"/>
      <c r="AW33" s="129"/>
      <c r="AX33" s="129"/>
      <c r="AY33" s="129"/>
      <c r="AZ33" s="129"/>
      <c r="BA33" s="129"/>
      <c r="BB33" s="129"/>
      <c r="BC33" s="129"/>
      <c r="BD33" s="129"/>
      <c r="BE33" s="129"/>
      <c r="BF33" s="129"/>
      <c r="BG33" s="129"/>
      <c r="BH33" s="129"/>
      <c r="BI33" s="129"/>
      <c r="BJ33" s="129"/>
      <c r="BK33" s="129"/>
      <c r="BL33" s="129"/>
      <c r="BM33" s="129"/>
      <c r="BN33" s="129"/>
      <c r="BO33" s="129"/>
    </row>
    <row r="34" spans="1:67" s="165" customFormat="1" ht="18.75" hidden="1" x14ac:dyDescent="0.2">
      <c r="A34" s="972" t="s">
        <v>194</v>
      </c>
      <c r="B34" s="1111" t="s">
        <v>86</v>
      </c>
      <c r="C34" s="1470"/>
      <c r="D34" s="2099"/>
      <c r="E34" s="1924"/>
      <c r="F34" s="331" t="s">
        <v>190</v>
      </c>
      <c r="G34" s="2034"/>
      <c r="H34" s="905"/>
      <c r="I34" s="941"/>
      <c r="J34" s="907"/>
      <c r="K34" s="1326"/>
      <c r="L34" s="908"/>
      <c r="M34" s="909">
        <f>$M$125*G34/G125</f>
        <v>0</v>
      </c>
      <c r="N34" s="884"/>
      <c r="O34" s="969" t="str">
        <f t="shared" si="10"/>
        <v xml:space="preserve"> </v>
      </c>
      <c r="P34" s="912"/>
      <c r="Q34" s="929">
        <v>8.2110000000000003</v>
      </c>
      <c r="R34" s="930"/>
      <c r="S34" s="931">
        <v>36.8322</v>
      </c>
      <c r="T34" s="931"/>
      <c r="U34" s="913">
        <v>97.358999999999995</v>
      </c>
      <c r="V34" s="914">
        <v>1.1026199999999999</v>
      </c>
      <c r="W34" s="932">
        <v>15.249000000000001</v>
      </c>
      <c r="X34" s="932">
        <v>36.363</v>
      </c>
      <c r="Y34" s="1728">
        <v>0.60995999999999995</v>
      </c>
      <c r="Z34" s="1768"/>
      <c r="AA34" s="933">
        <v>4.9969800000000002E-2</v>
      </c>
      <c r="AB34" s="1790">
        <f t="shared" si="1"/>
        <v>0</v>
      </c>
      <c r="AC34" s="1286">
        <f t="shared" si="2"/>
        <v>0</v>
      </c>
      <c r="AD34" s="1286">
        <f t="shared" si="4"/>
        <v>0</v>
      </c>
      <c r="AE34" s="1286">
        <f t="shared" si="5"/>
        <v>0</v>
      </c>
      <c r="AF34" s="1286">
        <f t="shared" si="6"/>
        <v>0</v>
      </c>
      <c r="AG34" s="1289">
        <f t="shared" si="8"/>
        <v>0</v>
      </c>
      <c r="AH34" s="1287">
        <f t="shared" si="7"/>
        <v>0</v>
      </c>
      <c r="AI34" s="1759">
        <f t="shared" si="11"/>
        <v>0</v>
      </c>
      <c r="AJ34" s="1288">
        <f t="shared" si="3"/>
        <v>0</v>
      </c>
      <c r="AK34" s="319">
        <v>9.3840000000000003</v>
      </c>
      <c r="AL34" s="320">
        <v>68.151300000000006</v>
      </c>
      <c r="AM34" s="320"/>
      <c r="AN34" s="68"/>
      <c r="AO34" s="250" t="s">
        <v>195</v>
      </c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O34" s="63"/>
    </row>
    <row r="35" spans="1:67" s="63" customFormat="1" ht="22.5" hidden="1" customHeight="1" x14ac:dyDescent="0.2">
      <c r="A35" s="995" t="s">
        <v>196</v>
      </c>
      <c r="B35" s="2082" t="s">
        <v>97</v>
      </c>
      <c r="C35" s="1470">
        <v>16434.199199999999</v>
      </c>
      <c r="D35" s="2099"/>
      <c r="E35" s="1924"/>
      <c r="F35" s="331" t="s">
        <v>190</v>
      </c>
      <c r="G35" s="2034"/>
      <c r="H35" s="905">
        <f>G35*(100-P35)/100</f>
        <v>0</v>
      </c>
      <c r="I35" s="927">
        <f>H35/H$125*100</f>
        <v>0</v>
      </c>
      <c r="J35" s="928"/>
      <c r="K35" s="1320"/>
      <c r="L35" s="908">
        <f>SUM(J35:K35)</f>
        <v>0</v>
      </c>
      <c r="M35" s="883">
        <f>$M$125*G35/G125</f>
        <v>0</v>
      </c>
      <c r="N35" s="884">
        <f>SUM(M35:M38)</f>
        <v>0</v>
      </c>
      <c r="O35" s="969" t="str">
        <f t="shared" si="10"/>
        <v xml:space="preserve"> </v>
      </c>
      <c r="P35" s="912">
        <v>11.73</v>
      </c>
      <c r="Q35" s="929">
        <v>9.5013000000000005</v>
      </c>
      <c r="R35" s="930"/>
      <c r="S35" s="931">
        <v>37.066800000000001</v>
      </c>
      <c r="T35" s="931"/>
      <c r="U35" s="913">
        <v>95.013000000000005</v>
      </c>
      <c r="V35" s="914">
        <v>1.13781</v>
      </c>
      <c r="W35" s="932">
        <v>24.632999999999999</v>
      </c>
      <c r="X35" s="932">
        <v>38.709000000000003</v>
      </c>
      <c r="Y35" s="1728">
        <v>0.63341999999999998</v>
      </c>
      <c r="Z35" s="1768"/>
      <c r="AA35" s="933">
        <v>5.5013699999999999E-2</v>
      </c>
      <c r="AB35" s="1790">
        <f t="shared" si="1"/>
        <v>0</v>
      </c>
      <c r="AC35" s="1286">
        <f t="shared" si="2"/>
        <v>0</v>
      </c>
      <c r="AD35" s="1286">
        <f t="shared" si="4"/>
        <v>0</v>
      </c>
      <c r="AE35" s="1286">
        <f t="shared" si="5"/>
        <v>0</v>
      </c>
      <c r="AF35" s="1286">
        <f t="shared" si="6"/>
        <v>0</v>
      </c>
      <c r="AG35" s="1289">
        <f t="shared" si="8"/>
        <v>0</v>
      </c>
      <c r="AH35" s="1287">
        <f t="shared" si="7"/>
        <v>0</v>
      </c>
      <c r="AI35" s="1759">
        <f t="shared" si="11"/>
        <v>0</v>
      </c>
      <c r="AJ35" s="1288">
        <f t="shared" si="3"/>
        <v>0</v>
      </c>
      <c r="AK35" s="316"/>
      <c r="AL35" s="307"/>
      <c r="AM35" s="307"/>
      <c r="AN35" s="68"/>
      <c r="AO35" s="1596" t="s">
        <v>197</v>
      </c>
    </row>
    <row r="36" spans="1:67" s="63" customFormat="1" ht="21.75" hidden="1" customHeight="1" x14ac:dyDescent="0.2">
      <c r="A36" s="972"/>
      <c r="B36" s="1111" t="s">
        <v>198</v>
      </c>
      <c r="C36" s="1278">
        <v>17607.199199999999</v>
      </c>
      <c r="D36" s="2100"/>
      <c r="E36" s="1486"/>
      <c r="F36" s="332" t="s">
        <v>190</v>
      </c>
      <c r="G36" s="1851"/>
      <c r="H36" s="897"/>
      <c r="I36" s="898"/>
      <c r="J36" s="899"/>
      <c r="K36" s="1323"/>
      <c r="L36" s="991">
        <f>SUM(J36:K36)</f>
        <v>0</v>
      </c>
      <c r="M36" s="900">
        <f>$M$125*G36/G125</f>
        <v>0</v>
      </c>
      <c r="N36" s="901"/>
      <c r="O36" s="902" t="str">
        <f t="shared" si="10"/>
        <v xml:space="preserve"> </v>
      </c>
      <c r="P36" s="903"/>
      <c r="Q36" s="944">
        <v>10.2051</v>
      </c>
      <c r="R36" s="945"/>
      <c r="S36" s="946">
        <v>37.536000000000001</v>
      </c>
      <c r="T36" s="946"/>
      <c r="U36" s="992">
        <v>93.84</v>
      </c>
      <c r="V36" s="993">
        <v>1.12608</v>
      </c>
      <c r="W36" s="947">
        <v>25.806000000000001</v>
      </c>
      <c r="X36" s="947">
        <v>38.709000000000003</v>
      </c>
      <c r="Y36" s="1735">
        <v>0.64515</v>
      </c>
      <c r="Z36" s="1769"/>
      <c r="AA36" s="948">
        <v>5.5013699999999999E-2</v>
      </c>
      <c r="AB36" s="1790">
        <f t="shared" si="1"/>
        <v>0</v>
      </c>
      <c r="AC36" s="1286">
        <f t="shared" si="2"/>
        <v>0</v>
      </c>
      <c r="AD36" s="1286">
        <f t="shared" si="4"/>
        <v>0</v>
      </c>
      <c r="AE36" s="1286">
        <f t="shared" si="5"/>
        <v>0</v>
      </c>
      <c r="AF36" s="1286">
        <f t="shared" si="6"/>
        <v>0</v>
      </c>
      <c r="AG36" s="1289">
        <f t="shared" si="8"/>
        <v>0</v>
      </c>
      <c r="AH36" s="1287">
        <f t="shared" si="7"/>
        <v>0</v>
      </c>
      <c r="AI36" s="1759">
        <f t="shared" si="11"/>
        <v>0</v>
      </c>
      <c r="AJ36" s="1291">
        <f t="shared" si="3"/>
        <v>0</v>
      </c>
      <c r="AK36" s="314"/>
      <c r="AL36" s="298"/>
      <c r="AM36" s="298"/>
      <c r="AN36" s="68"/>
      <c r="AO36" s="1596" t="s">
        <v>199</v>
      </c>
    </row>
    <row r="37" spans="1:67" s="63" customFormat="1" ht="24" hidden="1" customHeight="1" x14ac:dyDescent="0.2">
      <c r="A37" s="972"/>
      <c r="B37" s="1111" t="s">
        <v>198</v>
      </c>
      <c r="C37" s="1591">
        <v>17607.199199999999</v>
      </c>
      <c r="D37" s="2100"/>
      <c r="E37" s="1486"/>
      <c r="F37" s="332" t="s">
        <v>190</v>
      </c>
      <c r="G37" s="1851"/>
      <c r="H37" s="897"/>
      <c r="I37" s="898"/>
      <c r="J37" s="899"/>
      <c r="K37" s="1323"/>
      <c r="L37" s="991">
        <f>SUM(J37:K37)</f>
        <v>0</v>
      </c>
      <c r="M37" s="900">
        <f>$M$125*G37/G125</f>
        <v>0</v>
      </c>
      <c r="N37" s="901"/>
      <c r="O37" s="902" t="str">
        <f t="shared" si="10"/>
        <v xml:space="preserve"> </v>
      </c>
      <c r="P37" s="903"/>
      <c r="Q37" s="944">
        <v>9.9704999999999995</v>
      </c>
      <c r="R37" s="945"/>
      <c r="S37" s="946">
        <v>37.301400000000001</v>
      </c>
      <c r="T37" s="946"/>
      <c r="U37" s="992">
        <v>97.358999999999995</v>
      </c>
      <c r="V37" s="993">
        <v>1.13781</v>
      </c>
      <c r="W37" s="947">
        <v>25.806000000000001</v>
      </c>
      <c r="X37" s="947">
        <v>38.709000000000003</v>
      </c>
      <c r="Y37" s="1735">
        <v>0.64515</v>
      </c>
      <c r="Z37" s="1769"/>
      <c r="AA37" s="948">
        <v>5.5013699999999999E-2</v>
      </c>
      <c r="AB37" s="1790">
        <f t="shared" si="1"/>
        <v>0</v>
      </c>
      <c r="AC37" s="1286">
        <f t="shared" si="2"/>
        <v>0</v>
      </c>
      <c r="AD37" s="1286">
        <f t="shared" si="4"/>
        <v>0</v>
      </c>
      <c r="AE37" s="1286">
        <f t="shared" si="5"/>
        <v>0</v>
      </c>
      <c r="AF37" s="1286">
        <f t="shared" si="6"/>
        <v>0</v>
      </c>
      <c r="AG37" s="1289">
        <f t="shared" si="8"/>
        <v>0</v>
      </c>
      <c r="AH37" s="1287">
        <f t="shared" si="7"/>
        <v>0</v>
      </c>
      <c r="AI37" s="1759">
        <f t="shared" si="11"/>
        <v>0</v>
      </c>
      <c r="AJ37" s="1291">
        <f t="shared" si="3"/>
        <v>0</v>
      </c>
      <c r="AK37" s="314"/>
      <c r="AL37" s="298"/>
      <c r="AM37" s="298"/>
      <c r="AN37" s="68"/>
      <c r="AO37" s="1023"/>
    </row>
    <row r="38" spans="1:67" s="165" customFormat="1" ht="24" hidden="1" customHeight="1" x14ac:dyDescent="0.2">
      <c r="A38" s="949" t="s">
        <v>196</v>
      </c>
      <c r="B38" s="2087" t="s">
        <v>97</v>
      </c>
      <c r="C38" s="2113">
        <v>17607.199199999999</v>
      </c>
      <c r="D38" s="2098"/>
      <c r="E38" s="1923"/>
      <c r="F38" s="171" t="s">
        <v>190</v>
      </c>
      <c r="G38" s="1852"/>
      <c r="H38" s="917"/>
      <c r="I38" s="918"/>
      <c r="J38" s="919"/>
      <c r="K38" s="1324"/>
      <c r="L38" s="978">
        <f>SUM(J38:K38)</f>
        <v>0</v>
      </c>
      <c r="M38" s="920">
        <f t="shared" ref="M38:M43" si="12">$M$125*G38/$G$125</f>
        <v>0</v>
      </c>
      <c r="N38" s="921"/>
      <c r="O38" s="922" t="str">
        <f t="shared" si="10"/>
        <v xml:space="preserve"> </v>
      </c>
      <c r="P38" s="923"/>
      <c r="Q38" s="936">
        <v>9.3840000000000003</v>
      </c>
      <c r="R38" s="937"/>
      <c r="S38" s="938">
        <v>37.066800000000001</v>
      </c>
      <c r="T38" s="1009"/>
      <c r="U38" s="979">
        <v>95.013000000000005</v>
      </c>
      <c r="V38" s="980">
        <v>1.13781</v>
      </c>
      <c r="W38" s="939">
        <v>24.632999999999999</v>
      </c>
      <c r="X38" s="939">
        <v>38.709000000000003</v>
      </c>
      <c r="Y38" s="1734">
        <v>0.63341999999999998</v>
      </c>
      <c r="Z38" s="1767"/>
      <c r="AA38" s="940">
        <v>5.5013699999999999E-2</v>
      </c>
      <c r="AB38" s="1790">
        <f t="shared" si="1"/>
        <v>0</v>
      </c>
      <c r="AC38" s="1286">
        <f t="shared" si="2"/>
        <v>0</v>
      </c>
      <c r="AD38" s="1286">
        <f t="shared" si="4"/>
        <v>0</v>
      </c>
      <c r="AE38" s="1286">
        <f t="shared" si="5"/>
        <v>0</v>
      </c>
      <c r="AF38" s="1286">
        <f t="shared" si="6"/>
        <v>0</v>
      </c>
      <c r="AG38" s="1289">
        <f t="shared" si="8"/>
        <v>0</v>
      </c>
      <c r="AH38" s="1287">
        <f t="shared" si="7"/>
        <v>0</v>
      </c>
      <c r="AI38" s="1759">
        <f t="shared" si="11"/>
        <v>0</v>
      </c>
      <c r="AJ38" s="1292">
        <f t="shared" si="3"/>
        <v>0</v>
      </c>
      <c r="AK38" s="314">
        <v>14.193300000000001</v>
      </c>
      <c r="AL38" s="763">
        <v>87.153899999999993</v>
      </c>
      <c r="AM38" s="298"/>
      <c r="AN38" s="68"/>
      <c r="AO38" s="176" t="s">
        <v>199</v>
      </c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  <c r="BO38" s="63"/>
    </row>
    <row r="39" spans="1:67" s="1336" customFormat="1" ht="20.25" customHeight="1" x14ac:dyDescent="0.2">
      <c r="A39" s="1941" t="s">
        <v>200</v>
      </c>
      <c r="B39" s="2088" t="s">
        <v>99</v>
      </c>
      <c r="C39" s="2054">
        <v>14368.88637</v>
      </c>
      <c r="D39" s="2081">
        <v>22.286999999999999</v>
      </c>
      <c r="E39" s="1922">
        <v>19.530612244897959</v>
      </c>
      <c r="F39" s="1397" t="s">
        <v>4</v>
      </c>
      <c r="G39" s="2032">
        <v>11.73</v>
      </c>
      <c r="H39" s="1388"/>
      <c r="I39" s="1398"/>
      <c r="J39" s="1389"/>
      <c r="K39" s="1390">
        <v>3000</v>
      </c>
      <c r="L39" s="1391">
        <f>SUM(J39:K39)</f>
        <v>3000</v>
      </c>
      <c r="M39" s="1392">
        <f t="shared" si="12"/>
        <v>315.71249899858248</v>
      </c>
      <c r="N39" s="1393">
        <f>SUM(M39:M43)</f>
        <v>599.85374809730672</v>
      </c>
      <c r="O39" s="1574">
        <f t="shared" si="10"/>
        <v>5.0012190630062507</v>
      </c>
      <c r="P39" s="1394"/>
      <c r="Q39" s="1399">
        <v>10.0878</v>
      </c>
      <c r="R39" s="1400"/>
      <c r="S39" s="1401">
        <v>37.418700000000001</v>
      </c>
      <c r="T39" s="1401"/>
      <c r="U39" s="1395">
        <v>97.358999999999995</v>
      </c>
      <c r="V39" s="1396">
        <v>1.13781</v>
      </c>
      <c r="W39" s="1402">
        <v>19.940999999999999</v>
      </c>
      <c r="X39" s="1402">
        <v>37.536000000000001</v>
      </c>
      <c r="Y39" s="1733">
        <v>0.76244999999999996</v>
      </c>
      <c r="Z39" s="1766">
        <v>0.64749600000000007</v>
      </c>
      <c r="AA39" s="1403">
        <v>5.5013699999999999E-2</v>
      </c>
      <c r="AB39" s="1789">
        <f t="shared" si="1"/>
        <v>0.86</v>
      </c>
      <c r="AC39" s="1404">
        <f t="shared" si="2"/>
        <v>3.19</v>
      </c>
      <c r="AD39" s="1404">
        <f t="shared" ref="AD39:AJ39" si="13">($G39*U39/$G$125)</f>
        <v>8.3000000000000007</v>
      </c>
      <c r="AE39" s="1404">
        <f t="shared" si="13"/>
        <v>9.6999999999999989E-2</v>
      </c>
      <c r="AF39" s="1404">
        <f t="shared" si="13"/>
        <v>1.7</v>
      </c>
      <c r="AG39" s="1405">
        <f t="shared" si="13"/>
        <v>3.2</v>
      </c>
      <c r="AH39" s="1406">
        <f t="shared" si="13"/>
        <v>6.5000000000000002E-2</v>
      </c>
      <c r="AI39" s="1758">
        <f t="shared" si="13"/>
        <v>5.5200000000000006E-2</v>
      </c>
      <c r="AJ39" s="1407">
        <f t="shared" si="13"/>
        <v>4.6899999999999997E-3</v>
      </c>
      <c r="AK39" s="1408"/>
      <c r="AL39" s="1409">
        <v>71.904899999999998</v>
      </c>
      <c r="AM39" s="1409"/>
      <c r="AN39" s="1353"/>
      <c r="AO39" s="2055" t="s">
        <v>201</v>
      </c>
    </row>
    <row r="40" spans="1:67" s="1336" customFormat="1" ht="21" customHeight="1" x14ac:dyDescent="0.2">
      <c r="A40" s="1992" t="s">
        <v>135</v>
      </c>
      <c r="B40" s="2089" t="s">
        <v>99</v>
      </c>
      <c r="C40" s="2056">
        <v>14368.88637</v>
      </c>
      <c r="D40" s="2102"/>
      <c r="E40" s="1926"/>
      <c r="F40" s="1240" t="s">
        <v>190</v>
      </c>
      <c r="G40" s="2038">
        <v>10.557</v>
      </c>
      <c r="H40" s="1531"/>
      <c r="I40" s="1993"/>
      <c r="J40" s="1532"/>
      <c r="K40" s="1533"/>
      <c r="L40" s="1534"/>
      <c r="M40" s="1535">
        <f t="shared" si="12"/>
        <v>284.14124909872424</v>
      </c>
      <c r="N40" s="1536"/>
      <c r="O40" s="1570" t="str">
        <f t="shared" si="10"/>
        <v xml:space="preserve"> </v>
      </c>
      <c r="P40" s="1568"/>
      <c r="Q40" s="1537">
        <v>9.8531999999999993</v>
      </c>
      <c r="R40" s="1538"/>
      <c r="S40" s="1539">
        <v>37.887899999999995</v>
      </c>
      <c r="T40" s="1539"/>
      <c r="U40" s="1540">
        <v>97.358999999999995</v>
      </c>
      <c r="V40" s="1541">
        <v>1.13781</v>
      </c>
      <c r="W40" s="1542">
        <v>19.940999999999999</v>
      </c>
      <c r="X40" s="1542">
        <v>37.536000000000001</v>
      </c>
      <c r="Y40" s="1737">
        <v>0.76244999999999996</v>
      </c>
      <c r="Z40" s="1771">
        <v>0.76479600000000003</v>
      </c>
      <c r="AA40" s="1543">
        <v>5.5013699999999999E-2</v>
      </c>
      <c r="AB40" s="1789">
        <f t="shared" si="1"/>
        <v>0.75600000000000012</v>
      </c>
      <c r="AC40" s="1404">
        <f t="shared" si="2"/>
        <v>2.907</v>
      </c>
      <c r="AD40" s="1404">
        <f t="shared" ref="AD40:AJ40" si="14">($G40*U40/$G$125)</f>
        <v>7.47</v>
      </c>
      <c r="AE40" s="1404">
        <f t="shared" si="14"/>
        <v>8.7300000000000003E-2</v>
      </c>
      <c r="AF40" s="1404">
        <f t="shared" si="14"/>
        <v>1.53</v>
      </c>
      <c r="AG40" s="1405">
        <f t="shared" si="14"/>
        <v>2.88</v>
      </c>
      <c r="AH40" s="1406">
        <f t="shared" si="14"/>
        <v>5.8500000000000003E-2</v>
      </c>
      <c r="AI40" s="1758">
        <f t="shared" si="14"/>
        <v>5.8680000000000003E-2</v>
      </c>
      <c r="AJ40" s="1407">
        <f t="shared" si="14"/>
        <v>4.2209999999999999E-3</v>
      </c>
      <c r="AK40" s="1408"/>
      <c r="AL40" s="1409"/>
      <c r="AM40" s="1409"/>
      <c r="AN40" s="1353"/>
      <c r="AO40" s="2057"/>
    </row>
    <row r="41" spans="1:67" s="132" customFormat="1" ht="21" customHeight="1" x14ac:dyDescent="0.2">
      <c r="A41" s="949" t="s">
        <v>202</v>
      </c>
      <c r="B41" s="1615" t="s">
        <v>99</v>
      </c>
      <c r="C41" s="1591">
        <v>14368.88637</v>
      </c>
      <c r="D41" s="2098"/>
      <c r="E41" s="1923"/>
      <c r="F41" s="332" t="s">
        <v>190</v>
      </c>
      <c r="G41" s="1851"/>
      <c r="H41" s="897"/>
      <c r="I41" s="898"/>
      <c r="J41" s="888"/>
      <c r="K41" s="1327"/>
      <c r="L41" s="983">
        <f t="shared" ref="L41:L52" si="15">SUM(J41:K41)</f>
        <v>0</v>
      </c>
      <c r="M41" s="900">
        <f t="shared" si="12"/>
        <v>0</v>
      </c>
      <c r="N41" s="901"/>
      <c r="O41" s="902" t="str">
        <f t="shared" si="10"/>
        <v xml:space="preserve"> </v>
      </c>
      <c r="P41" s="903"/>
      <c r="Q41" s="944">
        <v>10.2051</v>
      </c>
      <c r="R41" s="945"/>
      <c r="S41" s="946">
        <v>38.005200000000002</v>
      </c>
      <c r="T41" s="946"/>
      <c r="U41" s="992">
        <v>97.358999999999995</v>
      </c>
      <c r="V41" s="993">
        <v>1.13781</v>
      </c>
      <c r="W41" s="947">
        <v>19.940999999999999</v>
      </c>
      <c r="X41" s="947">
        <v>37.536000000000001</v>
      </c>
      <c r="Y41" s="1735">
        <v>0.76244999999999996</v>
      </c>
      <c r="Z41" s="1769">
        <v>0.64749600000000007</v>
      </c>
      <c r="AA41" s="948">
        <v>5.5013699999999999E-2</v>
      </c>
      <c r="AB41" s="1790">
        <f t="shared" si="1"/>
        <v>0</v>
      </c>
      <c r="AC41" s="1286">
        <f t="shared" si="2"/>
        <v>0</v>
      </c>
      <c r="AD41" s="1286">
        <f t="shared" ref="AD41:AJ41" si="16">($G41*U41/$G$125)</f>
        <v>0</v>
      </c>
      <c r="AE41" s="1286">
        <f t="shared" si="16"/>
        <v>0</v>
      </c>
      <c r="AF41" s="1286">
        <f t="shared" si="16"/>
        <v>0</v>
      </c>
      <c r="AG41" s="1289">
        <f t="shared" si="16"/>
        <v>0</v>
      </c>
      <c r="AH41" s="1287">
        <f t="shared" si="16"/>
        <v>0</v>
      </c>
      <c r="AI41" s="1759">
        <f t="shared" si="16"/>
        <v>0</v>
      </c>
      <c r="AJ41" s="1290">
        <f t="shared" si="16"/>
        <v>0</v>
      </c>
      <c r="AK41" s="315"/>
      <c r="AL41" s="299"/>
      <c r="AM41" s="299"/>
      <c r="AN41" s="133"/>
      <c r="AO41" s="826"/>
      <c r="AP41" s="129"/>
      <c r="AQ41" s="129"/>
      <c r="AR41" s="129"/>
      <c r="AS41" s="129"/>
      <c r="AT41" s="129"/>
      <c r="AU41" s="129"/>
      <c r="AV41" s="129"/>
      <c r="AW41" s="129"/>
      <c r="AX41" s="129"/>
      <c r="AY41" s="129"/>
      <c r="AZ41" s="129"/>
      <c r="BA41" s="129"/>
      <c r="BB41" s="129"/>
      <c r="BC41" s="129"/>
      <c r="BD41" s="129"/>
      <c r="BE41" s="129"/>
      <c r="BF41" s="129"/>
      <c r="BG41" s="129"/>
      <c r="BH41" s="129"/>
      <c r="BI41" s="129"/>
      <c r="BJ41" s="129"/>
      <c r="BK41" s="129"/>
      <c r="BL41" s="129"/>
      <c r="BM41" s="129"/>
      <c r="BN41" s="129"/>
      <c r="BO41" s="129"/>
    </row>
    <row r="42" spans="1:67" s="63" customFormat="1" ht="21" hidden="1" customHeight="1" x14ac:dyDescent="0.2">
      <c r="A42" s="949" t="s">
        <v>194</v>
      </c>
      <c r="B42" s="2087" t="s">
        <v>99</v>
      </c>
      <c r="C42" s="1591">
        <v>14368.88637</v>
      </c>
      <c r="D42" s="2098"/>
      <c r="E42" s="1923"/>
      <c r="F42" s="171" t="s">
        <v>190</v>
      </c>
      <c r="G42" s="1852"/>
      <c r="H42" s="917"/>
      <c r="I42" s="918"/>
      <c r="J42" s="934"/>
      <c r="K42" s="1325"/>
      <c r="L42" s="985">
        <f t="shared" si="15"/>
        <v>0</v>
      </c>
      <c r="M42" s="920">
        <f t="shared" si="12"/>
        <v>0</v>
      </c>
      <c r="N42" s="921"/>
      <c r="O42" s="922" t="str">
        <f t="shared" si="10"/>
        <v xml:space="preserve"> </v>
      </c>
      <c r="P42" s="923"/>
      <c r="Q42" s="936">
        <v>10.908900000000001</v>
      </c>
      <c r="R42" s="937"/>
      <c r="S42" s="938">
        <v>36.5976</v>
      </c>
      <c r="T42" s="938"/>
      <c r="U42" s="924">
        <v>99.704999999999998</v>
      </c>
      <c r="V42" s="925">
        <v>1.1026199999999999</v>
      </c>
      <c r="W42" s="939">
        <v>17.594999999999999</v>
      </c>
      <c r="X42" s="939">
        <v>39.881999999999998</v>
      </c>
      <c r="Y42" s="1734">
        <v>0.62168999999999996</v>
      </c>
      <c r="Z42" s="1767">
        <v>0.64749600000000007</v>
      </c>
      <c r="AA42" s="940">
        <v>5.5013699999999999E-2</v>
      </c>
      <c r="AB42" s="1790">
        <f t="shared" si="1"/>
        <v>0</v>
      </c>
      <c r="AC42" s="1286">
        <f t="shared" si="2"/>
        <v>0</v>
      </c>
      <c r="AD42" s="1286">
        <f t="shared" ref="AD42:AJ47" si="17">($G42*U42/$G$125)</f>
        <v>0</v>
      </c>
      <c r="AE42" s="1286">
        <f t="shared" si="17"/>
        <v>0</v>
      </c>
      <c r="AF42" s="1286">
        <f t="shared" si="17"/>
        <v>0</v>
      </c>
      <c r="AG42" s="1289">
        <f t="shared" si="17"/>
        <v>0</v>
      </c>
      <c r="AH42" s="1287">
        <f t="shared" si="17"/>
        <v>0</v>
      </c>
      <c r="AI42" s="1759">
        <f t="shared" si="17"/>
        <v>0</v>
      </c>
      <c r="AJ42" s="1290">
        <f t="shared" si="17"/>
        <v>0</v>
      </c>
      <c r="AK42" s="314"/>
      <c r="AL42" s="298"/>
      <c r="AM42" s="298"/>
      <c r="AN42" s="68"/>
      <c r="AO42" s="673"/>
    </row>
    <row r="43" spans="1:67" s="165" customFormat="1" ht="21" hidden="1" customHeight="1" x14ac:dyDescent="0.2">
      <c r="A43" s="137"/>
      <c r="B43" s="2090" t="s">
        <v>201</v>
      </c>
      <c r="C43" s="1340">
        <v>14368.88637</v>
      </c>
      <c r="D43" s="2098"/>
      <c r="E43" s="1923"/>
      <c r="F43" s="337" t="s">
        <v>190</v>
      </c>
      <c r="G43" s="2039"/>
      <c r="H43" s="986"/>
      <c r="I43" s="906"/>
      <c r="J43" s="954"/>
      <c r="K43" s="1328"/>
      <c r="L43" s="955">
        <f t="shared" si="15"/>
        <v>0</v>
      </c>
      <c r="M43" s="956">
        <f t="shared" si="12"/>
        <v>0</v>
      </c>
      <c r="N43" s="987"/>
      <c r="O43" s="1571" t="str">
        <f t="shared" si="10"/>
        <v xml:space="preserve"> </v>
      </c>
      <c r="P43" s="988"/>
      <c r="Q43" s="960">
        <v>10.3224</v>
      </c>
      <c r="R43" s="961"/>
      <c r="S43" s="962">
        <v>36.245699999999999</v>
      </c>
      <c r="T43" s="962"/>
      <c r="U43" s="989">
        <v>99.704999999999998</v>
      </c>
      <c r="V43" s="990">
        <v>1.0791599999999999</v>
      </c>
      <c r="W43" s="965">
        <v>37.536000000000001</v>
      </c>
      <c r="X43" s="965">
        <v>24.632999999999999</v>
      </c>
      <c r="Y43" s="1736">
        <v>0.68033999999999994</v>
      </c>
      <c r="Z43" s="1770">
        <v>0.64749600000000007</v>
      </c>
      <c r="AA43" s="966">
        <v>3.6949500000000003E-2</v>
      </c>
      <c r="AB43" s="1790">
        <f t="shared" si="1"/>
        <v>0</v>
      </c>
      <c r="AC43" s="1286">
        <f t="shared" si="2"/>
        <v>0</v>
      </c>
      <c r="AD43" s="1286">
        <f t="shared" si="17"/>
        <v>0</v>
      </c>
      <c r="AE43" s="1286">
        <f t="shared" si="17"/>
        <v>0</v>
      </c>
      <c r="AF43" s="1286">
        <f t="shared" si="17"/>
        <v>0</v>
      </c>
      <c r="AG43" s="1289">
        <f t="shared" si="17"/>
        <v>0</v>
      </c>
      <c r="AH43" s="1287">
        <f t="shared" si="17"/>
        <v>0</v>
      </c>
      <c r="AI43" s="1759">
        <f t="shared" si="17"/>
        <v>0</v>
      </c>
      <c r="AJ43" s="1290">
        <f t="shared" si="17"/>
        <v>0</v>
      </c>
      <c r="AK43" s="314"/>
      <c r="AL43" s="298"/>
      <c r="AM43" s="298"/>
      <c r="AN43" s="68"/>
      <c r="AO43" s="176" t="s">
        <v>201</v>
      </c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  <c r="BK43" s="63"/>
      <c r="BL43" s="63"/>
      <c r="BM43" s="63"/>
      <c r="BN43" s="63"/>
      <c r="BO43" s="63"/>
    </row>
    <row r="44" spans="1:67" s="63" customFormat="1" ht="21" hidden="1" customHeight="1" x14ac:dyDescent="0.2">
      <c r="A44" s="1998"/>
      <c r="B44" s="1469" t="s">
        <v>203</v>
      </c>
      <c r="C44" s="1470">
        <v>14368.88637</v>
      </c>
      <c r="D44" s="2103"/>
      <c r="E44" s="1924">
        <v>0</v>
      </c>
      <c r="F44" s="331" t="s">
        <v>4</v>
      </c>
      <c r="G44" s="2034"/>
      <c r="H44" s="905"/>
      <c r="I44" s="1834"/>
      <c r="J44" s="928">
        <v>0</v>
      </c>
      <c r="K44" s="1320">
        <v>0</v>
      </c>
      <c r="L44" s="942">
        <f t="shared" si="15"/>
        <v>0</v>
      </c>
      <c r="M44" s="909">
        <f t="shared" ref="M44:M50" si="18">G44*$M$125/$G$125</f>
        <v>0</v>
      </c>
      <c r="N44" s="910">
        <f>SUM(M44:M46)</f>
        <v>0</v>
      </c>
      <c r="O44" s="969" t="str">
        <f t="shared" si="10"/>
        <v xml:space="preserve"> </v>
      </c>
      <c r="P44" s="912"/>
      <c r="Q44" s="929">
        <v>10.0878</v>
      </c>
      <c r="R44" s="930"/>
      <c r="S44" s="931">
        <v>37.653300000000002</v>
      </c>
      <c r="T44" s="931"/>
      <c r="U44" s="913">
        <v>98.531999999999996</v>
      </c>
      <c r="V44" s="914">
        <v>1.0908899999999999</v>
      </c>
      <c r="W44" s="932">
        <v>31.670999999999999</v>
      </c>
      <c r="X44" s="932">
        <v>36.363</v>
      </c>
      <c r="Y44" s="1728">
        <v>0.69206999999999996</v>
      </c>
      <c r="Z44" s="1768">
        <v>0.64749600000000007</v>
      </c>
      <c r="AA44" s="933">
        <v>5.5013699999999999E-2</v>
      </c>
      <c r="AB44" s="1790">
        <f t="shared" si="1"/>
        <v>0</v>
      </c>
      <c r="AC44" s="1286">
        <f t="shared" si="2"/>
        <v>0</v>
      </c>
      <c r="AD44" s="1286">
        <f t="shared" si="17"/>
        <v>0</v>
      </c>
      <c r="AE44" s="1286">
        <f t="shared" si="17"/>
        <v>0</v>
      </c>
      <c r="AF44" s="1286">
        <f t="shared" si="17"/>
        <v>0</v>
      </c>
      <c r="AG44" s="2016">
        <f t="shared" si="17"/>
        <v>0</v>
      </c>
      <c r="AH44" s="1287">
        <f t="shared" si="17"/>
        <v>0</v>
      </c>
      <c r="AI44" s="1759">
        <f t="shared" si="17"/>
        <v>0</v>
      </c>
      <c r="AJ44" s="1288">
        <f t="shared" si="17"/>
        <v>0</v>
      </c>
      <c r="AK44" s="319">
        <v>29.324999999999999</v>
      </c>
      <c r="AL44" s="320"/>
      <c r="AM44" s="320"/>
      <c r="AN44" s="68"/>
      <c r="AO44" s="1600" t="s">
        <v>204</v>
      </c>
    </row>
    <row r="45" spans="1:67" s="63" customFormat="1" ht="21" hidden="1" customHeight="1" x14ac:dyDescent="0.2">
      <c r="A45" s="1999"/>
      <c r="B45" s="1095" t="s">
        <v>203</v>
      </c>
      <c r="C45" s="1278">
        <v>14368.88637</v>
      </c>
      <c r="D45" s="2104"/>
      <c r="E45" s="1962"/>
      <c r="F45" s="332" t="s">
        <v>190</v>
      </c>
      <c r="G45" s="1851"/>
      <c r="H45" s="897"/>
      <c r="I45" s="1715"/>
      <c r="J45" s="888"/>
      <c r="K45" s="1327"/>
      <c r="L45" s="991">
        <f t="shared" si="15"/>
        <v>0</v>
      </c>
      <c r="M45" s="900">
        <f t="shared" si="18"/>
        <v>0</v>
      </c>
      <c r="N45" s="901"/>
      <c r="O45" s="902" t="str">
        <f t="shared" si="10"/>
        <v xml:space="preserve"> </v>
      </c>
      <c r="P45" s="903"/>
      <c r="Q45" s="944">
        <v>10.4397</v>
      </c>
      <c r="R45" s="945"/>
      <c r="S45" s="946">
        <v>37.184100000000001</v>
      </c>
      <c r="T45" s="946"/>
      <c r="U45" s="992">
        <v>98.531999999999996</v>
      </c>
      <c r="V45" s="993">
        <v>1.0908899999999999</v>
      </c>
      <c r="W45" s="947">
        <v>31.670999999999999</v>
      </c>
      <c r="X45" s="947">
        <v>36.363</v>
      </c>
      <c r="Y45" s="1735">
        <v>0.69206999999999996</v>
      </c>
      <c r="Z45" s="1769">
        <v>0.64749600000000007</v>
      </c>
      <c r="AA45" s="948">
        <v>5.5013699999999999E-2</v>
      </c>
      <c r="AB45" s="1790">
        <f t="shared" ref="AB45:AB77" si="19">($G45*Q45/$G$125)</f>
        <v>0</v>
      </c>
      <c r="AC45" s="1286">
        <f t="shared" ref="AC45:AC77" si="20">($G45*S45/$G$125)</f>
        <v>0</v>
      </c>
      <c r="AD45" s="1286">
        <f t="shared" si="17"/>
        <v>0</v>
      </c>
      <c r="AE45" s="1286">
        <f t="shared" si="17"/>
        <v>0</v>
      </c>
      <c r="AF45" s="1286">
        <f t="shared" si="17"/>
        <v>0</v>
      </c>
      <c r="AG45" s="2016">
        <f t="shared" si="17"/>
        <v>0</v>
      </c>
      <c r="AH45" s="1287">
        <f t="shared" si="17"/>
        <v>0</v>
      </c>
      <c r="AI45" s="1759">
        <f t="shared" si="17"/>
        <v>0</v>
      </c>
      <c r="AJ45" s="1288">
        <f t="shared" si="17"/>
        <v>0</v>
      </c>
      <c r="AK45" s="314"/>
      <c r="AL45" s="298"/>
      <c r="AM45" s="298"/>
      <c r="AN45" s="68"/>
      <c r="AO45" s="1012" t="s">
        <v>204</v>
      </c>
    </row>
    <row r="46" spans="1:67" s="63" customFormat="1" ht="21" hidden="1" customHeight="1" x14ac:dyDescent="0.2">
      <c r="A46" s="895"/>
      <c r="B46" s="1095" t="s">
        <v>203</v>
      </c>
      <c r="C46" s="1278">
        <v>14368.88637</v>
      </c>
      <c r="D46" s="2100"/>
      <c r="E46" s="1486"/>
      <c r="F46" s="332" t="s">
        <v>190</v>
      </c>
      <c r="G46" s="1851"/>
      <c r="H46" s="897"/>
      <c r="I46" s="1715"/>
      <c r="J46" s="888"/>
      <c r="K46" s="1327"/>
      <c r="L46" s="991"/>
      <c r="M46" s="900">
        <f t="shared" si="18"/>
        <v>0</v>
      </c>
      <c r="N46" s="901"/>
      <c r="O46" s="902" t="str">
        <f t="shared" si="10"/>
        <v xml:space="preserve"> </v>
      </c>
      <c r="P46" s="903"/>
      <c r="Q46" s="944">
        <v>10.0878</v>
      </c>
      <c r="R46" s="945"/>
      <c r="S46" s="946">
        <v>37.653300000000002</v>
      </c>
      <c r="T46" s="946"/>
      <c r="U46" s="992">
        <v>98.531999999999996</v>
      </c>
      <c r="V46" s="993">
        <v>1.0908899999999999</v>
      </c>
      <c r="W46" s="947">
        <v>31.670999999999999</v>
      </c>
      <c r="X46" s="947">
        <v>36.363</v>
      </c>
      <c r="Y46" s="1735">
        <v>0.69206999999999996</v>
      </c>
      <c r="Z46" s="1769">
        <v>0.64749600000000007</v>
      </c>
      <c r="AA46" s="948">
        <v>5.5013699999999999E-2</v>
      </c>
      <c r="AB46" s="1790">
        <f t="shared" si="19"/>
        <v>0</v>
      </c>
      <c r="AC46" s="1286">
        <f t="shared" si="20"/>
        <v>0</v>
      </c>
      <c r="AD46" s="1286">
        <f t="shared" si="17"/>
        <v>0</v>
      </c>
      <c r="AE46" s="1286">
        <f t="shared" si="17"/>
        <v>0</v>
      </c>
      <c r="AF46" s="1286">
        <f t="shared" si="17"/>
        <v>0</v>
      </c>
      <c r="AG46" s="1289">
        <f t="shared" si="17"/>
        <v>0</v>
      </c>
      <c r="AH46" s="1287">
        <f t="shared" si="17"/>
        <v>0</v>
      </c>
      <c r="AI46" s="1759">
        <f t="shared" si="17"/>
        <v>0</v>
      </c>
      <c r="AJ46" s="1290">
        <f t="shared" si="17"/>
        <v>0</v>
      </c>
      <c r="AK46" s="314"/>
      <c r="AL46" s="298"/>
      <c r="AM46" s="298"/>
      <c r="AN46" s="68"/>
      <c r="AO46" s="1012"/>
    </row>
    <row r="47" spans="1:67" s="63" customFormat="1" ht="20.25" customHeight="1" x14ac:dyDescent="0.2">
      <c r="A47" s="1998"/>
      <c r="B47" s="1469" t="s">
        <v>195</v>
      </c>
      <c r="C47" s="1470">
        <v>14368.88637</v>
      </c>
      <c r="D47" s="2103"/>
      <c r="E47" s="1924">
        <v>0</v>
      </c>
      <c r="F47" s="331" t="s">
        <v>4</v>
      </c>
      <c r="G47" s="2034"/>
      <c r="H47" s="905"/>
      <c r="I47" s="927"/>
      <c r="J47" s="928">
        <v>0</v>
      </c>
      <c r="K47" s="1320">
        <v>0</v>
      </c>
      <c r="L47" s="908">
        <f t="shared" si="15"/>
        <v>0</v>
      </c>
      <c r="M47" s="883">
        <f t="shared" si="18"/>
        <v>0</v>
      </c>
      <c r="N47" s="884">
        <f>SUM(M47:M50)</f>
        <v>0</v>
      </c>
      <c r="O47" s="969" t="str">
        <f t="shared" si="10"/>
        <v xml:space="preserve"> </v>
      </c>
      <c r="P47" s="912"/>
      <c r="Q47" s="929">
        <v>9.9704999999999995</v>
      </c>
      <c r="R47" s="930"/>
      <c r="S47" s="931">
        <v>37.817520000000002</v>
      </c>
      <c r="T47" s="931"/>
      <c r="U47" s="913">
        <v>97.358999999999995</v>
      </c>
      <c r="V47" s="914">
        <v>1.11435</v>
      </c>
      <c r="W47" s="932">
        <v>21.114000000000001</v>
      </c>
      <c r="X47" s="932">
        <v>36.363</v>
      </c>
      <c r="Y47" s="1728">
        <v>0.80937000000000003</v>
      </c>
      <c r="Z47" s="2053">
        <v>0.64749600000000007</v>
      </c>
      <c r="AA47" s="948">
        <v>5.5013699999999999E-2</v>
      </c>
      <c r="AB47" s="1790">
        <f t="shared" si="19"/>
        <v>0</v>
      </c>
      <c r="AC47" s="1286">
        <f t="shared" si="20"/>
        <v>0</v>
      </c>
      <c r="AD47" s="1286">
        <f t="shared" si="17"/>
        <v>0</v>
      </c>
      <c r="AE47" s="1286">
        <f t="shared" si="17"/>
        <v>0</v>
      </c>
      <c r="AF47" s="1286">
        <f t="shared" si="17"/>
        <v>0</v>
      </c>
      <c r="AG47" s="2016">
        <f t="shared" si="17"/>
        <v>0</v>
      </c>
      <c r="AH47" s="1287">
        <f t="shared" si="17"/>
        <v>0</v>
      </c>
      <c r="AI47" s="1759">
        <f t="shared" si="17"/>
        <v>0</v>
      </c>
      <c r="AJ47" s="1291">
        <f t="shared" si="17"/>
        <v>0</v>
      </c>
      <c r="AK47" s="314"/>
      <c r="AL47" s="298"/>
      <c r="AM47" s="298"/>
      <c r="AN47" s="68"/>
      <c r="AO47" s="1297" t="s">
        <v>204</v>
      </c>
    </row>
    <row r="48" spans="1:67" s="63" customFormat="1" ht="20.25" hidden="1" customHeight="1" x14ac:dyDescent="0.2">
      <c r="A48" s="1999"/>
      <c r="B48" s="1095" t="s">
        <v>195</v>
      </c>
      <c r="C48" s="1278">
        <v>14261.8032</v>
      </c>
      <c r="D48" s="2104"/>
      <c r="E48" s="1962"/>
      <c r="F48" s="332" t="s">
        <v>190</v>
      </c>
      <c r="G48" s="1851"/>
      <c r="H48" s="897"/>
      <c r="I48" s="898"/>
      <c r="J48" s="899"/>
      <c r="K48" s="1323"/>
      <c r="L48" s="991"/>
      <c r="M48" s="900">
        <f t="shared" si="18"/>
        <v>0</v>
      </c>
      <c r="N48" s="901"/>
      <c r="O48" s="902" t="str">
        <f t="shared" si="10"/>
        <v xml:space="preserve"> </v>
      </c>
      <c r="P48" s="903"/>
      <c r="Q48" s="944">
        <v>9.1494</v>
      </c>
      <c r="R48" s="945"/>
      <c r="S48" s="946">
        <v>37.582920000000001</v>
      </c>
      <c r="T48" s="946"/>
      <c r="U48" s="992">
        <v>97.358999999999995</v>
      </c>
      <c r="V48" s="993">
        <v>1.11435</v>
      </c>
      <c r="W48" s="947">
        <v>21.114000000000001</v>
      </c>
      <c r="X48" s="947">
        <v>36.363</v>
      </c>
      <c r="Y48" s="1735">
        <v>0.80937000000000003</v>
      </c>
      <c r="Z48" s="1870">
        <v>0.64749600000000007</v>
      </c>
      <c r="AA48" s="940"/>
      <c r="AB48" s="1790">
        <f t="shared" si="19"/>
        <v>0</v>
      </c>
      <c r="AC48" s="1286">
        <f t="shared" si="20"/>
        <v>0</v>
      </c>
      <c r="AD48" s="1286">
        <f t="shared" ref="AD48:AD78" si="21">($G48*U48/$G$125)</f>
        <v>0</v>
      </c>
      <c r="AE48" s="1286">
        <f t="shared" ref="AE48:AE78" si="22">($G48*V48/$G$125)</f>
        <v>0</v>
      </c>
      <c r="AF48" s="1286">
        <f t="shared" ref="AF48:AF78" si="23">($G48*W48/$G$125)</f>
        <v>0</v>
      </c>
      <c r="AG48" s="2016">
        <f t="shared" ref="AG48:AG78" si="24">($G48*X48/$G$125)</f>
        <v>0</v>
      </c>
      <c r="AH48" s="1287">
        <f t="shared" ref="AH48:AH78" si="25">($G48*Y48/$G$125)</f>
        <v>0</v>
      </c>
      <c r="AI48" s="1759">
        <f t="shared" ref="AI48:AI78" si="26">($G48*Z48/$G$125)</f>
        <v>0</v>
      </c>
      <c r="AJ48" s="1292"/>
      <c r="AK48" s="314"/>
      <c r="AL48" s="298"/>
      <c r="AM48" s="298"/>
      <c r="AN48" s="68"/>
      <c r="AO48" s="1297"/>
    </row>
    <row r="49" spans="1:67" s="63" customFormat="1" ht="20.25" hidden="1" customHeight="1" x14ac:dyDescent="0.2">
      <c r="A49" s="895"/>
      <c r="B49" s="1095" t="s">
        <v>195</v>
      </c>
      <c r="C49" s="1278">
        <v>14261.8032</v>
      </c>
      <c r="D49" s="2100"/>
      <c r="E49" s="1486"/>
      <c r="F49" s="332" t="s">
        <v>190</v>
      </c>
      <c r="G49" s="1851"/>
      <c r="H49" s="897"/>
      <c r="I49" s="898"/>
      <c r="J49" s="899"/>
      <c r="K49" s="1323"/>
      <c r="L49" s="991"/>
      <c r="M49" s="900">
        <f t="shared" si="18"/>
        <v>0</v>
      </c>
      <c r="N49" s="901"/>
      <c r="O49" s="902" t="str">
        <f t="shared" si="10"/>
        <v xml:space="preserve"> </v>
      </c>
      <c r="P49" s="903"/>
      <c r="Q49" s="944">
        <v>9.7359000000000009</v>
      </c>
      <c r="R49" s="945"/>
      <c r="S49" s="946">
        <v>39.060899999999997</v>
      </c>
      <c r="T49" s="946"/>
      <c r="U49" s="992">
        <v>97.358999999999995</v>
      </c>
      <c r="V49" s="993">
        <v>1.11435</v>
      </c>
      <c r="W49" s="947">
        <v>21.114000000000001</v>
      </c>
      <c r="X49" s="947">
        <v>36.363</v>
      </c>
      <c r="Y49" s="1735">
        <v>0.80937000000000003</v>
      </c>
      <c r="Z49" s="1870">
        <v>0.64749600000000007</v>
      </c>
      <c r="AA49" s="940"/>
      <c r="AB49" s="1790">
        <f t="shared" si="19"/>
        <v>0</v>
      </c>
      <c r="AC49" s="1286">
        <f t="shared" si="20"/>
        <v>0</v>
      </c>
      <c r="AD49" s="1286">
        <f t="shared" si="21"/>
        <v>0</v>
      </c>
      <c r="AE49" s="1286">
        <f t="shared" si="22"/>
        <v>0</v>
      </c>
      <c r="AF49" s="1286">
        <f t="shared" si="23"/>
        <v>0</v>
      </c>
      <c r="AG49" s="1289">
        <f t="shared" si="24"/>
        <v>0</v>
      </c>
      <c r="AH49" s="1287">
        <f t="shared" si="25"/>
        <v>0</v>
      </c>
      <c r="AI49" s="1759">
        <f t="shared" si="26"/>
        <v>0</v>
      </c>
      <c r="AJ49" s="1288"/>
      <c r="AK49" s="314"/>
      <c r="AL49" s="298"/>
      <c r="AM49" s="298"/>
      <c r="AN49" s="68"/>
      <c r="AO49" s="1297"/>
    </row>
    <row r="50" spans="1:67" s="132" customFormat="1" ht="21" hidden="1" customHeight="1" x14ac:dyDescent="0.2">
      <c r="A50" s="1022" t="s">
        <v>202</v>
      </c>
      <c r="B50" s="1316" t="s">
        <v>81</v>
      </c>
      <c r="C50" s="873">
        <v>14137.9344</v>
      </c>
      <c r="D50" s="2098"/>
      <c r="E50" s="1923"/>
      <c r="F50" s="171" t="s">
        <v>190</v>
      </c>
      <c r="G50" s="2040"/>
      <c r="H50" s="997"/>
      <c r="I50" s="998"/>
      <c r="J50" s="934"/>
      <c r="K50" s="1325"/>
      <c r="L50" s="935">
        <f t="shared" si="15"/>
        <v>0</v>
      </c>
      <c r="M50" s="920">
        <f t="shared" si="18"/>
        <v>0</v>
      </c>
      <c r="N50" s="1000"/>
      <c r="O50" s="1572" t="str">
        <f t="shared" si="10"/>
        <v xml:space="preserve"> </v>
      </c>
      <c r="P50" s="1001"/>
      <c r="Q50" s="936">
        <v>9.7359000000000009</v>
      </c>
      <c r="R50" s="937"/>
      <c r="S50" s="938">
        <v>39.060899999999997</v>
      </c>
      <c r="T50" s="938"/>
      <c r="U50" s="979">
        <v>97.358999999999995</v>
      </c>
      <c r="V50" s="980">
        <v>1.11435</v>
      </c>
      <c r="W50" s="939">
        <v>21.114000000000001</v>
      </c>
      <c r="X50" s="939">
        <v>36.363</v>
      </c>
      <c r="Y50" s="1734">
        <v>0.80937000000000003</v>
      </c>
      <c r="Z50" s="1809">
        <v>0.64749600000000007</v>
      </c>
      <c r="AA50" s="966">
        <v>1.4076E-2</v>
      </c>
      <c r="AB50" s="1790">
        <f t="shared" si="19"/>
        <v>0</v>
      </c>
      <c r="AC50" s="1286">
        <f t="shared" si="20"/>
        <v>0</v>
      </c>
      <c r="AD50" s="1286">
        <f t="shared" si="21"/>
        <v>0</v>
      </c>
      <c r="AE50" s="1286">
        <f t="shared" si="22"/>
        <v>0</v>
      </c>
      <c r="AF50" s="1286">
        <f t="shared" si="23"/>
        <v>0</v>
      </c>
      <c r="AG50" s="1289">
        <f t="shared" si="24"/>
        <v>0</v>
      </c>
      <c r="AH50" s="1287">
        <f t="shared" si="25"/>
        <v>0</v>
      </c>
      <c r="AI50" s="1759">
        <f t="shared" si="26"/>
        <v>0</v>
      </c>
      <c r="AJ50" s="1290">
        <f t="shared" ref="AJ50:AJ73" si="27">($G50*AA50/$G$125)</f>
        <v>0</v>
      </c>
      <c r="AK50" s="317"/>
      <c r="AL50" s="306"/>
      <c r="AM50" s="306"/>
      <c r="AN50" s="133"/>
      <c r="AO50" s="170" t="s">
        <v>204</v>
      </c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</row>
    <row r="51" spans="1:67" s="132" customFormat="1" ht="21" hidden="1" customHeight="1" x14ac:dyDescent="0.2">
      <c r="A51" s="994"/>
      <c r="B51" s="2090" t="s">
        <v>205</v>
      </c>
      <c r="C51" s="1340"/>
      <c r="D51" s="2098"/>
      <c r="E51" s="1923"/>
      <c r="F51" s="337" t="s">
        <v>190</v>
      </c>
      <c r="G51" s="2039"/>
      <c r="H51" s="986"/>
      <c r="I51" s="906"/>
      <c r="J51" s="1604"/>
      <c r="K51" s="1605"/>
      <c r="L51" s="955">
        <f t="shared" si="15"/>
        <v>0</v>
      </c>
      <c r="M51" s="956">
        <f>$M$125*G51/$G$125</f>
        <v>0</v>
      </c>
      <c r="N51" s="987">
        <f>SUM(M51)</f>
        <v>0</v>
      </c>
      <c r="O51" s="1571" t="str">
        <f t="shared" si="10"/>
        <v xml:space="preserve"> </v>
      </c>
      <c r="P51" s="988"/>
      <c r="Q51" s="960">
        <v>9.5013000000000005</v>
      </c>
      <c r="R51" s="961"/>
      <c r="S51" s="962">
        <v>34.720799999999997</v>
      </c>
      <c r="T51" s="962"/>
      <c r="U51" s="963">
        <v>104.39700000000001</v>
      </c>
      <c r="V51" s="964">
        <v>1.12608</v>
      </c>
      <c r="W51" s="965"/>
      <c r="X51" s="965">
        <v>39.881999999999998</v>
      </c>
      <c r="Y51" s="1736">
        <v>0.60995999999999995</v>
      </c>
      <c r="Z51" s="1770"/>
      <c r="AA51" s="966"/>
      <c r="AB51" s="1790">
        <f t="shared" si="19"/>
        <v>0</v>
      </c>
      <c r="AC51" s="1286">
        <f t="shared" si="20"/>
        <v>0</v>
      </c>
      <c r="AD51" s="1286">
        <f t="shared" si="21"/>
        <v>0</v>
      </c>
      <c r="AE51" s="1286">
        <f t="shared" si="22"/>
        <v>0</v>
      </c>
      <c r="AF51" s="1286">
        <f t="shared" si="23"/>
        <v>0</v>
      </c>
      <c r="AG51" s="1289">
        <f t="shared" si="24"/>
        <v>0</v>
      </c>
      <c r="AH51" s="1287">
        <f t="shared" si="25"/>
        <v>0</v>
      </c>
      <c r="AI51" s="1759">
        <f t="shared" si="26"/>
        <v>0</v>
      </c>
      <c r="AJ51" s="1290">
        <f t="shared" si="27"/>
        <v>0</v>
      </c>
      <c r="AK51" s="315"/>
      <c r="AL51" s="299"/>
      <c r="AM51" s="299"/>
      <c r="AN51" s="133"/>
      <c r="AO51" s="259" t="s">
        <v>205</v>
      </c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</row>
    <row r="52" spans="1:67" s="63" customFormat="1" ht="21" hidden="1" customHeight="1" x14ac:dyDescent="0.2">
      <c r="A52" s="926"/>
      <c r="B52" s="1469" t="s">
        <v>206</v>
      </c>
      <c r="C52" s="1470">
        <v>15805.013730000001</v>
      </c>
      <c r="D52" s="2099"/>
      <c r="E52" s="1924"/>
      <c r="F52" s="331" t="s">
        <v>190</v>
      </c>
      <c r="G52" s="2041"/>
      <c r="H52" s="905"/>
      <c r="I52" s="927"/>
      <c r="J52" s="928">
        <v>0</v>
      </c>
      <c r="K52" s="1320">
        <v>0</v>
      </c>
      <c r="L52" s="908">
        <f t="shared" si="15"/>
        <v>0</v>
      </c>
      <c r="M52" s="883">
        <f t="shared" ref="M52:M62" si="28">G52*$M$125/$G$125</f>
        <v>0</v>
      </c>
      <c r="N52" s="884">
        <f>SUM(M52:M53)</f>
        <v>0</v>
      </c>
      <c r="O52" s="1606" t="str">
        <f t="shared" si="10"/>
        <v xml:space="preserve"> </v>
      </c>
      <c r="P52" s="912"/>
      <c r="Q52" s="929">
        <v>9.6185999999999989</v>
      </c>
      <c r="R52" s="930"/>
      <c r="S52" s="931">
        <v>40.116600000000005</v>
      </c>
      <c r="T52" s="931"/>
      <c r="U52" s="913">
        <v>111.435</v>
      </c>
      <c r="V52" s="914">
        <v>1.0439700000000001</v>
      </c>
      <c r="W52" s="932">
        <v>23.46</v>
      </c>
      <c r="X52" s="932">
        <v>49.265999999999998</v>
      </c>
      <c r="Y52" s="1728">
        <v>0.42227999999999999</v>
      </c>
      <c r="Z52" s="1768"/>
      <c r="AA52" s="933">
        <v>4.6920000000000002E-4</v>
      </c>
      <c r="AB52" s="1790">
        <f t="shared" si="19"/>
        <v>0</v>
      </c>
      <c r="AC52" s="1286">
        <f t="shared" si="20"/>
        <v>0</v>
      </c>
      <c r="AD52" s="1286">
        <f t="shared" si="21"/>
        <v>0</v>
      </c>
      <c r="AE52" s="1286">
        <f t="shared" si="22"/>
        <v>0</v>
      </c>
      <c r="AF52" s="1286">
        <f t="shared" si="23"/>
        <v>0</v>
      </c>
      <c r="AG52" s="1289">
        <f t="shared" si="24"/>
        <v>0</v>
      </c>
      <c r="AH52" s="1287">
        <f t="shared" si="25"/>
        <v>0</v>
      </c>
      <c r="AI52" s="1759">
        <f t="shared" si="26"/>
        <v>0</v>
      </c>
      <c r="AJ52" s="1288">
        <f t="shared" si="27"/>
        <v>0</v>
      </c>
      <c r="AK52" s="316">
        <v>20.8794</v>
      </c>
      <c r="AL52" s="307">
        <v>82.11</v>
      </c>
      <c r="AM52" s="307"/>
      <c r="AN52" s="68"/>
      <c r="AO52" s="1601" t="s">
        <v>207</v>
      </c>
    </row>
    <row r="53" spans="1:67" s="165" customFormat="1" ht="21" hidden="1" customHeight="1" x14ac:dyDescent="0.2">
      <c r="A53" s="915"/>
      <c r="B53" s="2087" t="s">
        <v>206</v>
      </c>
      <c r="C53" s="2113">
        <v>15805.013730000001</v>
      </c>
      <c r="D53" s="2098"/>
      <c r="E53" s="1923"/>
      <c r="F53" s="330" t="s">
        <v>190</v>
      </c>
      <c r="G53" s="2040"/>
      <c r="H53" s="997"/>
      <c r="I53" s="998"/>
      <c r="J53" s="934"/>
      <c r="K53" s="1325"/>
      <c r="L53" s="935"/>
      <c r="M53" s="999">
        <f t="shared" si="28"/>
        <v>0</v>
      </c>
      <c r="N53" s="1000"/>
      <c r="O53" s="1572" t="str">
        <f t="shared" si="10"/>
        <v xml:space="preserve"> </v>
      </c>
      <c r="P53" s="1001"/>
      <c r="Q53" s="936">
        <v>4.3400999999999996</v>
      </c>
      <c r="R53" s="937"/>
      <c r="S53" s="938">
        <v>43.166399999999996</v>
      </c>
      <c r="T53" s="1009"/>
      <c r="U53" s="979">
        <v>111.435</v>
      </c>
      <c r="V53" s="980">
        <v>1.0439700000000001</v>
      </c>
      <c r="W53" s="939">
        <v>23.46</v>
      </c>
      <c r="X53" s="939">
        <v>49.265999999999998</v>
      </c>
      <c r="Y53" s="1734">
        <v>0.42227999999999999</v>
      </c>
      <c r="Z53" s="1767"/>
      <c r="AA53" s="940">
        <v>4.6920000000000002E-4</v>
      </c>
      <c r="AB53" s="1790">
        <f t="shared" si="19"/>
        <v>0</v>
      </c>
      <c r="AC53" s="1286">
        <f t="shared" si="20"/>
        <v>0</v>
      </c>
      <c r="AD53" s="1286">
        <f t="shared" si="21"/>
        <v>0</v>
      </c>
      <c r="AE53" s="1286">
        <f t="shared" si="22"/>
        <v>0</v>
      </c>
      <c r="AF53" s="1286">
        <f t="shared" si="23"/>
        <v>0</v>
      </c>
      <c r="AG53" s="1289">
        <f t="shared" si="24"/>
        <v>0</v>
      </c>
      <c r="AH53" s="1287">
        <f t="shared" si="25"/>
        <v>0</v>
      </c>
      <c r="AI53" s="1759">
        <f t="shared" si="26"/>
        <v>0</v>
      </c>
      <c r="AJ53" s="1288">
        <f t="shared" si="27"/>
        <v>0</v>
      </c>
      <c r="AK53" s="314"/>
      <c r="AL53" s="298"/>
      <c r="AM53" s="298"/>
      <c r="AN53" s="68"/>
      <c r="AO53" s="170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BH53" s="63"/>
      <c r="BI53" s="63"/>
      <c r="BJ53" s="63"/>
      <c r="BK53" s="63"/>
      <c r="BL53" s="63"/>
      <c r="BM53" s="63"/>
      <c r="BN53" s="63"/>
      <c r="BO53" s="63"/>
    </row>
    <row r="54" spans="1:67" s="126" customFormat="1" ht="21" hidden="1" customHeight="1" x14ac:dyDescent="0.2">
      <c r="A54" s="926" t="s">
        <v>208</v>
      </c>
      <c r="B54" s="2091" t="s">
        <v>55</v>
      </c>
      <c r="C54" s="2114">
        <v>13088.8032</v>
      </c>
      <c r="D54" s="2099"/>
      <c r="E54" s="1924">
        <v>0</v>
      </c>
      <c r="F54" s="331" t="s">
        <v>4</v>
      </c>
      <c r="G54" s="2034"/>
      <c r="H54" s="905"/>
      <c r="I54" s="1834"/>
      <c r="J54" s="928">
        <v>0</v>
      </c>
      <c r="K54" s="1320">
        <v>0</v>
      </c>
      <c r="L54" s="942">
        <f>SUM(J54:K54)</f>
        <v>0</v>
      </c>
      <c r="M54" s="909">
        <f t="shared" si="28"/>
        <v>0</v>
      </c>
      <c r="N54" s="910">
        <f>SUM(M54:M57)</f>
        <v>0</v>
      </c>
      <c r="O54" s="969" t="str">
        <f t="shared" si="10"/>
        <v xml:space="preserve"> </v>
      </c>
      <c r="P54" s="912"/>
      <c r="Q54" s="929">
        <v>9.9704999999999995</v>
      </c>
      <c r="R54" s="930"/>
      <c r="S54" s="931">
        <v>36.128399999999999</v>
      </c>
      <c r="T54" s="931"/>
      <c r="U54" s="913">
        <v>96.186000000000007</v>
      </c>
      <c r="V54" s="914">
        <v>1.13781</v>
      </c>
      <c r="W54" s="932">
        <v>21.114000000000001</v>
      </c>
      <c r="X54" s="932">
        <v>36.363</v>
      </c>
      <c r="Y54" s="1728">
        <v>0.68033999999999994</v>
      </c>
      <c r="Z54" s="1768">
        <v>0.56421299999999996</v>
      </c>
      <c r="AA54" s="933">
        <v>3.6949500000000003E-2</v>
      </c>
      <c r="AB54" s="1790">
        <f t="shared" si="19"/>
        <v>0</v>
      </c>
      <c r="AC54" s="1286">
        <f t="shared" si="20"/>
        <v>0</v>
      </c>
      <c r="AD54" s="1286">
        <f t="shared" si="21"/>
        <v>0</v>
      </c>
      <c r="AE54" s="1286">
        <f t="shared" si="22"/>
        <v>0</v>
      </c>
      <c r="AF54" s="1286">
        <f t="shared" si="23"/>
        <v>0</v>
      </c>
      <c r="AG54" s="1289">
        <f t="shared" si="24"/>
        <v>0</v>
      </c>
      <c r="AH54" s="1287">
        <f t="shared" si="25"/>
        <v>0</v>
      </c>
      <c r="AI54" s="1759">
        <f t="shared" si="26"/>
        <v>0</v>
      </c>
      <c r="AJ54" s="1293">
        <f t="shared" si="27"/>
        <v>0</v>
      </c>
      <c r="AK54" s="1849"/>
      <c r="AL54" s="1850"/>
      <c r="AM54" s="1850"/>
      <c r="AN54" s="125"/>
      <c r="AO54" s="1299" t="s">
        <v>209</v>
      </c>
    </row>
    <row r="55" spans="1:67" s="132" customFormat="1" ht="21" hidden="1" customHeight="1" x14ac:dyDescent="0.2">
      <c r="A55" s="1010" t="s">
        <v>107</v>
      </c>
      <c r="B55" s="2092" t="s">
        <v>55</v>
      </c>
      <c r="C55" s="1278"/>
      <c r="D55" s="2100"/>
      <c r="E55" s="1486"/>
      <c r="F55" s="260" t="s">
        <v>190</v>
      </c>
      <c r="G55" s="1851"/>
      <c r="H55" s="897"/>
      <c r="I55" s="898"/>
      <c r="J55" s="888"/>
      <c r="K55" s="1327"/>
      <c r="L55" s="889"/>
      <c r="M55" s="900">
        <f t="shared" si="28"/>
        <v>0</v>
      </c>
      <c r="N55" s="901"/>
      <c r="O55" s="902" t="str">
        <f t="shared" si="10"/>
        <v xml:space="preserve"> </v>
      </c>
      <c r="P55" s="903"/>
      <c r="Q55" s="944">
        <v>8.5629000000000008</v>
      </c>
      <c r="R55" s="945"/>
      <c r="S55" s="946">
        <v>35.893799999999999</v>
      </c>
      <c r="T55" s="946"/>
      <c r="U55" s="893">
        <v>99.704999999999998</v>
      </c>
      <c r="V55" s="894">
        <v>1.1847300000000001</v>
      </c>
      <c r="W55" s="947">
        <v>17.594999999999999</v>
      </c>
      <c r="X55" s="947">
        <v>35.19</v>
      </c>
      <c r="Y55" s="1735">
        <v>0.63341999999999998</v>
      </c>
      <c r="Z55" s="1769"/>
      <c r="AA55" s="948">
        <v>3.6949500000000003E-2</v>
      </c>
      <c r="AB55" s="1790">
        <f t="shared" si="19"/>
        <v>0</v>
      </c>
      <c r="AC55" s="1286">
        <f t="shared" si="20"/>
        <v>0</v>
      </c>
      <c r="AD55" s="1286">
        <f t="shared" si="21"/>
        <v>0</v>
      </c>
      <c r="AE55" s="1286">
        <f t="shared" si="22"/>
        <v>0</v>
      </c>
      <c r="AF55" s="1286">
        <f t="shared" si="23"/>
        <v>0</v>
      </c>
      <c r="AG55" s="1289">
        <f t="shared" si="24"/>
        <v>0</v>
      </c>
      <c r="AH55" s="1287">
        <f t="shared" si="25"/>
        <v>0</v>
      </c>
      <c r="AI55" s="1759">
        <f t="shared" si="26"/>
        <v>0</v>
      </c>
      <c r="AJ55" s="1290">
        <f t="shared" si="27"/>
        <v>0</v>
      </c>
      <c r="AK55" s="315"/>
      <c r="AL55" s="299"/>
      <c r="AM55" s="299"/>
      <c r="AN55" s="133"/>
      <c r="AO55" s="24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</row>
    <row r="56" spans="1:67" s="165" customFormat="1" ht="21" hidden="1" customHeight="1" x14ac:dyDescent="0.2">
      <c r="A56" s="895"/>
      <c r="B56" s="1095" t="s">
        <v>201</v>
      </c>
      <c r="C56" s="1278"/>
      <c r="D56" s="2100"/>
      <c r="E56" s="1486"/>
      <c r="F56" s="332" t="s">
        <v>190</v>
      </c>
      <c r="G56" s="1851"/>
      <c r="H56" s="897"/>
      <c r="I56" s="898"/>
      <c r="J56" s="888"/>
      <c r="K56" s="1327"/>
      <c r="L56" s="889"/>
      <c r="M56" s="900">
        <f t="shared" si="28"/>
        <v>0</v>
      </c>
      <c r="N56" s="901"/>
      <c r="O56" s="902" t="str">
        <f t="shared" si="10"/>
        <v xml:space="preserve"> </v>
      </c>
      <c r="P56" s="903"/>
      <c r="Q56" s="944">
        <v>8.6801999999999992</v>
      </c>
      <c r="R56" s="945"/>
      <c r="S56" s="946">
        <v>35.541899999999998</v>
      </c>
      <c r="T56" s="946"/>
      <c r="U56" s="893">
        <v>99.704999999999998</v>
      </c>
      <c r="V56" s="894">
        <v>1.1847300000000001</v>
      </c>
      <c r="W56" s="947">
        <v>17.594999999999999</v>
      </c>
      <c r="X56" s="947">
        <v>35.19</v>
      </c>
      <c r="Y56" s="1735">
        <v>0.63341999999999998</v>
      </c>
      <c r="Z56" s="1769"/>
      <c r="AA56" s="948">
        <v>3.6949500000000003E-2</v>
      </c>
      <c r="AB56" s="1790">
        <f t="shared" si="19"/>
        <v>0</v>
      </c>
      <c r="AC56" s="1286">
        <f t="shared" si="20"/>
        <v>0</v>
      </c>
      <c r="AD56" s="1286">
        <f t="shared" si="21"/>
        <v>0</v>
      </c>
      <c r="AE56" s="1286">
        <f t="shared" si="22"/>
        <v>0</v>
      </c>
      <c r="AF56" s="1286">
        <f t="shared" si="23"/>
        <v>0</v>
      </c>
      <c r="AG56" s="1289">
        <f t="shared" si="24"/>
        <v>0</v>
      </c>
      <c r="AH56" s="1287">
        <f t="shared" si="25"/>
        <v>0</v>
      </c>
      <c r="AI56" s="1759">
        <f t="shared" si="26"/>
        <v>0</v>
      </c>
      <c r="AJ56" s="1288">
        <f t="shared" si="27"/>
        <v>0</v>
      </c>
      <c r="AK56" s="314"/>
      <c r="AL56" s="298"/>
      <c r="AM56" s="298"/>
      <c r="AN56" s="68"/>
      <c r="AO56" s="177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63"/>
      <c r="BI56" s="63"/>
      <c r="BJ56" s="63"/>
      <c r="BK56" s="63"/>
      <c r="BL56" s="63"/>
      <c r="BM56" s="63"/>
      <c r="BN56" s="63"/>
      <c r="BO56" s="63"/>
    </row>
    <row r="57" spans="1:67" s="834" customFormat="1" ht="21" hidden="1" customHeight="1" x14ac:dyDescent="0.2">
      <c r="A57" s="915" t="s">
        <v>194</v>
      </c>
      <c r="B57" s="1316" t="s">
        <v>55</v>
      </c>
      <c r="C57" s="873"/>
      <c r="D57" s="2098"/>
      <c r="E57" s="1923"/>
      <c r="F57" s="171" t="s">
        <v>190</v>
      </c>
      <c r="G57" s="1852"/>
      <c r="H57" s="917"/>
      <c r="I57" s="918"/>
      <c r="J57" s="919"/>
      <c r="K57" s="1324"/>
      <c r="L57" s="978">
        <f>SUM(J57:K57)</f>
        <v>0</v>
      </c>
      <c r="M57" s="920">
        <f t="shared" si="28"/>
        <v>0</v>
      </c>
      <c r="N57" s="921"/>
      <c r="O57" s="922" t="str">
        <f t="shared" si="10"/>
        <v xml:space="preserve"> </v>
      </c>
      <c r="P57" s="923"/>
      <c r="Q57" s="936">
        <v>8.6801999999999992</v>
      </c>
      <c r="R57" s="937"/>
      <c r="S57" s="938">
        <v>35.541899999999998</v>
      </c>
      <c r="T57" s="938"/>
      <c r="U57" s="979">
        <v>96.186000000000007</v>
      </c>
      <c r="V57" s="980">
        <v>1.13781</v>
      </c>
      <c r="W57" s="939">
        <v>17.594999999999999</v>
      </c>
      <c r="X57" s="939">
        <v>35.19</v>
      </c>
      <c r="Y57" s="1734">
        <v>0.63341999999999998</v>
      </c>
      <c r="Z57" s="1767"/>
      <c r="AA57" s="940">
        <v>3.6949500000000003E-2</v>
      </c>
      <c r="AB57" s="1790">
        <f t="shared" si="19"/>
        <v>0</v>
      </c>
      <c r="AC57" s="1286">
        <f t="shared" si="20"/>
        <v>0</v>
      </c>
      <c r="AD57" s="1286">
        <f t="shared" si="21"/>
        <v>0</v>
      </c>
      <c r="AE57" s="1286">
        <f t="shared" si="22"/>
        <v>0</v>
      </c>
      <c r="AF57" s="1286">
        <f t="shared" si="23"/>
        <v>0</v>
      </c>
      <c r="AG57" s="1289">
        <f t="shared" si="24"/>
        <v>0</v>
      </c>
      <c r="AH57" s="1287">
        <f t="shared" si="25"/>
        <v>0</v>
      </c>
      <c r="AI57" s="1759">
        <f t="shared" si="26"/>
        <v>0</v>
      </c>
      <c r="AJ57" s="1293">
        <f t="shared" si="27"/>
        <v>0</v>
      </c>
      <c r="AK57" s="1011"/>
      <c r="AL57" s="1012"/>
      <c r="AM57" s="1012"/>
      <c r="AN57" s="125"/>
      <c r="AO57" s="1012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  <c r="BC57" s="126"/>
      <c r="BD57" s="126"/>
      <c r="BE57" s="126"/>
      <c r="BF57" s="126"/>
      <c r="BG57" s="126"/>
      <c r="BH57" s="126"/>
      <c r="BI57" s="126"/>
      <c r="BJ57" s="126"/>
      <c r="BK57" s="126"/>
      <c r="BL57" s="126"/>
      <c r="BM57" s="126"/>
      <c r="BN57" s="126"/>
      <c r="BO57" s="126"/>
    </row>
    <row r="58" spans="1:67" s="63" customFormat="1" ht="21" hidden="1" customHeight="1" x14ac:dyDescent="0.2">
      <c r="A58" s="926"/>
      <c r="B58" s="1469" t="s">
        <v>210</v>
      </c>
      <c r="C58" s="1470">
        <v>13632.066419999999</v>
      </c>
      <c r="D58" s="2099"/>
      <c r="E58" s="1924">
        <v>0</v>
      </c>
      <c r="F58" s="331" t="s">
        <v>4</v>
      </c>
      <c r="G58" s="2034"/>
      <c r="H58" s="905"/>
      <c r="I58" s="1921"/>
      <c r="J58" s="928">
        <v>0</v>
      </c>
      <c r="K58" s="1320">
        <v>0</v>
      </c>
      <c r="L58" s="942">
        <f>SUM(J58:K58)</f>
        <v>0</v>
      </c>
      <c r="M58" s="909">
        <f t="shared" si="28"/>
        <v>0</v>
      </c>
      <c r="N58" s="910">
        <f>SUM(M58:M59)</f>
        <v>0</v>
      </c>
      <c r="O58" s="969" t="str">
        <f t="shared" si="10"/>
        <v xml:space="preserve"> </v>
      </c>
      <c r="P58" s="912"/>
      <c r="Q58" s="929">
        <v>8.9147999999999996</v>
      </c>
      <c r="R58" s="930"/>
      <c r="S58" s="931">
        <v>35.776499999999999</v>
      </c>
      <c r="T58" s="931"/>
      <c r="U58" s="913">
        <v>92.667000000000002</v>
      </c>
      <c r="V58" s="914">
        <v>1.1765189999999999</v>
      </c>
      <c r="W58" s="932">
        <v>34.017000000000003</v>
      </c>
      <c r="X58" s="932">
        <v>25.806000000000001</v>
      </c>
      <c r="Y58" s="1728">
        <v>0.72726000000000002</v>
      </c>
      <c r="Z58" s="1768">
        <v>0.23694600000000002</v>
      </c>
      <c r="AA58" s="948"/>
      <c r="AB58" s="1790">
        <f t="shared" si="19"/>
        <v>0</v>
      </c>
      <c r="AC58" s="1286">
        <f t="shared" si="20"/>
        <v>0</v>
      </c>
      <c r="AD58" s="1286">
        <f t="shared" si="21"/>
        <v>0</v>
      </c>
      <c r="AE58" s="1286">
        <f t="shared" si="22"/>
        <v>0</v>
      </c>
      <c r="AF58" s="1286">
        <f t="shared" si="23"/>
        <v>0</v>
      </c>
      <c r="AG58" s="1289">
        <f t="shared" si="24"/>
        <v>0</v>
      </c>
      <c r="AH58" s="1287">
        <f t="shared" si="25"/>
        <v>0</v>
      </c>
      <c r="AI58" s="1759">
        <f t="shared" si="26"/>
        <v>0</v>
      </c>
      <c r="AJ58" s="1288">
        <f t="shared" si="27"/>
        <v>0</v>
      </c>
      <c r="AK58" s="314"/>
      <c r="AL58" s="298"/>
      <c r="AM58" s="298"/>
      <c r="AN58" s="68"/>
      <c r="AO58" s="1299" t="s">
        <v>211</v>
      </c>
    </row>
    <row r="59" spans="1:67" s="165" customFormat="1" ht="21" hidden="1" customHeight="1" x14ac:dyDescent="0.2">
      <c r="A59" s="895" t="s">
        <v>127</v>
      </c>
      <c r="B59" s="1095" t="s">
        <v>125</v>
      </c>
      <c r="C59" s="1278">
        <v>13142.890230000001</v>
      </c>
      <c r="D59" s="2100"/>
      <c r="E59" s="1486"/>
      <c r="F59" s="260" t="s">
        <v>190</v>
      </c>
      <c r="G59" s="2042"/>
      <c r="H59" s="881"/>
      <c r="I59" s="882"/>
      <c r="J59" s="888"/>
      <c r="K59" s="1327"/>
      <c r="L59" s="889">
        <f>SUM(J59:K59)</f>
        <v>0</v>
      </c>
      <c r="M59" s="900">
        <f t="shared" si="28"/>
        <v>0</v>
      </c>
      <c r="N59" s="891"/>
      <c r="O59" s="1573" t="str">
        <f t="shared" si="10"/>
        <v xml:space="preserve"> </v>
      </c>
      <c r="P59" s="892"/>
      <c r="Q59" s="944">
        <v>9.0320999999999998</v>
      </c>
      <c r="R59" s="945"/>
      <c r="S59" s="946">
        <v>35.893799999999999</v>
      </c>
      <c r="T59" s="946"/>
      <c r="U59" s="992">
        <v>92.667000000000002</v>
      </c>
      <c r="V59" s="993">
        <v>1.1765189999999999</v>
      </c>
      <c r="W59" s="947">
        <v>34.017000000000003</v>
      </c>
      <c r="X59" s="947">
        <v>25.806000000000001</v>
      </c>
      <c r="Y59" s="1735">
        <v>0.72726000000000002</v>
      </c>
      <c r="Z59" s="1769">
        <v>0.24632999999999999</v>
      </c>
      <c r="AA59" s="977"/>
      <c r="AB59" s="1790">
        <f t="shared" si="19"/>
        <v>0</v>
      </c>
      <c r="AC59" s="1286">
        <f t="shared" si="20"/>
        <v>0</v>
      </c>
      <c r="AD59" s="1286">
        <f t="shared" si="21"/>
        <v>0</v>
      </c>
      <c r="AE59" s="1286">
        <f t="shared" si="22"/>
        <v>0</v>
      </c>
      <c r="AF59" s="1286">
        <f t="shared" si="23"/>
        <v>0</v>
      </c>
      <c r="AG59" s="1289">
        <f t="shared" si="24"/>
        <v>0</v>
      </c>
      <c r="AH59" s="1287">
        <f t="shared" si="25"/>
        <v>0</v>
      </c>
      <c r="AI59" s="1759">
        <f t="shared" si="26"/>
        <v>0</v>
      </c>
      <c r="AJ59" s="1288">
        <f t="shared" si="27"/>
        <v>0</v>
      </c>
      <c r="AK59" s="314"/>
      <c r="AL59" s="298"/>
      <c r="AM59" s="298"/>
      <c r="AN59" s="68"/>
      <c r="AO59" s="177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</row>
    <row r="60" spans="1:67" s="132" customFormat="1" ht="21" hidden="1" customHeight="1" x14ac:dyDescent="0.2">
      <c r="A60" s="1010" t="s">
        <v>212</v>
      </c>
      <c r="B60" s="1463" t="s">
        <v>66</v>
      </c>
      <c r="C60" s="1278"/>
      <c r="D60" s="2100"/>
      <c r="E60" s="1486"/>
      <c r="F60" s="260" t="s">
        <v>190</v>
      </c>
      <c r="G60" s="2042"/>
      <c r="H60" s="881"/>
      <c r="I60" s="882"/>
      <c r="J60" s="888"/>
      <c r="K60" s="1327"/>
      <c r="L60" s="889">
        <f>SUM(J60:K60)</f>
        <v>0</v>
      </c>
      <c r="M60" s="890">
        <f t="shared" si="28"/>
        <v>0</v>
      </c>
      <c r="N60" s="891">
        <f>SUM(M60)</f>
        <v>0</v>
      </c>
      <c r="O60" s="1573" t="str">
        <f t="shared" si="10"/>
        <v xml:space="preserve"> </v>
      </c>
      <c r="P60" s="892"/>
      <c r="Q60" s="973">
        <v>9.8531999999999993</v>
      </c>
      <c r="R60" s="974"/>
      <c r="S60" s="975">
        <v>34.486199999999997</v>
      </c>
      <c r="T60" s="975"/>
      <c r="U60" s="893">
        <v>73.899000000000001</v>
      </c>
      <c r="V60" s="894">
        <v>1.11435</v>
      </c>
      <c r="W60" s="976">
        <v>50.439</v>
      </c>
      <c r="X60" s="976">
        <v>19.940999999999999</v>
      </c>
      <c r="Y60" s="1738">
        <v>0.50439000000000001</v>
      </c>
      <c r="Z60" s="1772"/>
      <c r="AA60" s="977"/>
      <c r="AB60" s="1790">
        <f t="shared" si="19"/>
        <v>0</v>
      </c>
      <c r="AC60" s="1286">
        <f t="shared" si="20"/>
        <v>0</v>
      </c>
      <c r="AD60" s="1286">
        <f t="shared" si="21"/>
        <v>0</v>
      </c>
      <c r="AE60" s="1286">
        <f t="shared" si="22"/>
        <v>0</v>
      </c>
      <c r="AF60" s="1286">
        <f t="shared" si="23"/>
        <v>0</v>
      </c>
      <c r="AG60" s="1289">
        <f t="shared" si="24"/>
        <v>0</v>
      </c>
      <c r="AH60" s="1287">
        <f t="shared" si="25"/>
        <v>0</v>
      </c>
      <c r="AI60" s="1759">
        <f t="shared" si="26"/>
        <v>0</v>
      </c>
      <c r="AJ60" s="1290">
        <f t="shared" si="27"/>
        <v>0</v>
      </c>
      <c r="AK60" s="317">
        <v>21.348600000000001</v>
      </c>
      <c r="AL60" s="306">
        <v>80.350499999999997</v>
      </c>
      <c r="AM60" s="306"/>
      <c r="AN60" s="133"/>
      <c r="AO60" s="256" t="s">
        <v>213</v>
      </c>
      <c r="AP60" s="129"/>
      <c r="AQ60" s="129"/>
      <c r="AR60" s="129"/>
      <c r="AS60" s="129"/>
      <c r="AT60" s="129"/>
      <c r="AU60" s="129"/>
      <c r="AV60" s="129"/>
      <c r="AW60" s="129"/>
      <c r="AX60" s="129"/>
      <c r="AY60" s="129"/>
      <c r="AZ60" s="129"/>
      <c r="BA60" s="129"/>
      <c r="BB60" s="129"/>
      <c r="BC60" s="129"/>
      <c r="BD60" s="129"/>
      <c r="BE60" s="129"/>
      <c r="BF60" s="129"/>
      <c r="BG60" s="129"/>
      <c r="BH60" s="129"/>
      <c r="BI60" s="129"/>
      <c r="BJ60" s="129"/>
      <c r="BK60" s="129"/>
      <c r="BL60" s="129"/>
      <c r="BM60" s="129"/>
      <c r="BN60" s="129"/>
      <c r="BO60" s="129"/>
    </row>
    <row r="61" spans="1:67" s="1336" customFormat="1" ht="21" customHeight="1" x14ac:dyDescent="0.2">
      <c r="A61" s="1941" t="s">
        <v>214</v>
      </c>
      <c r="B61" s="2080" t="s">
        <v>58</v>
      </c>
      <c r="C61" s="2115">
        <v>12389.15562</v>
      </c>
      <c r="D61" s="2081">
        <v>35.19</v>
      </c>
      <c r="E61" s="1922">
        <v>25.142857142857142</v>
      </c>
      <c r="F61" s="1397" t="s">
        <v>56</v>
      </c>
      <c r="G61" s="2032">
        <v>5.8650000000000002</v>
      </c>
      <c r="H61" s="1388">
        <f>G61*(100-P61)/100</f>
        <v>4.37</v>
      </c>
      <c r="I61" s="1594">
        <f>H61/H$125*100</f>
        <v>11.463197104034416</v>
      </c>
      <c r="J61" s="1389"/>
      <c r="K61" s="1390">
        <v>5000</v>
      </c>
      <c r="L61" s="1391">
        <f>SUM(J61:K61)</f>
        <v>5000</v>
      </c>
      <c r="M61" s="1392">
        <f t="shared" si="28"/>
        <v>157.85624949929124</v>
      </c>
      <c r="N61" s="1393">
        <f>SUM(M61:M66)</f>
        <v>726.13874769673976</v>
      </c>
      <c r="O61" s="1574">
        <f t="shared" si="10"/>
        <v>6.8857363910955627</v>
      </c>
      <c r="P61" s="1595">
        <v>14.7798</v>
      </c>
      <c r="Q61" s="1399">
        <v>7.7417999999999996</v>
      </c>
      <c r="R61" s="1400"/>
      <c r="S61" s="1401">
        <v>33.665100000000002</v>
      </c>
      <c r="T61" s="1401">
        <v>32.0229</v>
      </c>
      <c r="U61" s="1395">
        <v>69.206999999999994</v>
      </c>
      <c r="V61" s="1396">
        <v>1.1847300000000001</v>
      </c>
      <c r="W61" s="1402">
        <v>45.747</v>
      </c>
      <c r="X61" s="1402">
        <v>19.940999999999999</v>
      </c>
      <c r="Y61" s="1733">
        <v>0.49265999999999999</v>
      </c>
      <c r="Z61" s="1766">
        <v>0.76948800000000006</v>
      </c>
      <c r="AA61" s="1403">
        <v>9.3840000000000007E-2</v>
      </c>
      <c r="AB61" s="1789">
        <f t="shared" si="19"/>
        <v>0.33</v>
      </c>
      <c r="AC61" s="1404">
        <f>($G61*S61/$G$125)</f>
        <v>1.4350000000000001</v>
      </c>
      <c r="AD61" s="1404">
        <f t="shared" si="21"/>
        <v>2.95</v>
      </c>
      <c r="AE61" s="1404">
        <f t="shared" si="22"/>
        <v>5.0499999999999996E-2</v>
      </c>
      <c r="AF61" s="1404">
        <f t="shared" si="23"/>
        <v>1.95</v>
      </c>
      <c r="AG61" s="1405">
        <f t="shared" si="24"/>
        <v>0.85</v>
      </c>
      <c r="AH61" s="1406">
        <f t="shared" si="25"/>
        <v>2.1000000000000001E-2</v>
      </c>
      <c r="AI61" s="1758">
        <f t="shared" si="26"/>
        <v>3.2800000000000003E-2</v>
      </c>
      <c r="AJ61" s="1407">
        <f t="shared" si="27"/>
        <v>4.0000000000000001E-3</v>
      </c>
      <c r="AK61" s="1408"/>
      <c r="AL61" s="1409">
        <v>35.424599999999998</v>
      </c>
      <c r="AM61" s="1409"/>
      <c r="AN61" s="1353"/>
      <c r="AO61" s="1593" t="s">
        <v>215</v>
      </c>
      <c r="AP61" s="129"/>
      <c r="AQ61" s="129"/>
    </row>
    <row r="62" spans="1:67" s="1336" customFormat="1" ht="21" customHeight="1" x14ac:dyDescent="0.2">
      <c r="A62" s="1613" t="s">
        <v>216</v>
      </c>
      <c r="B62" s="2078" t="s">
        <v>58</v>
      </c>
      <c r="C62" s="1839">
        <v>12389.15562</v>
      </c>
      <c r="D62" s="2102"/>
      <c r="E62" s="1926"/>
      <c r="F62" s="1240" t="s">
        <v>217</v>
      </c>
      <c r="G62" s="2038">
        <v>5.8650000000000002</v>
      </c>
      <c r="H62" s="1531">
        <f>G62*(100-P62)/100</f>
        <v>4.37</v>
      </c>
      <c r="I62" s="1993">
        <f>H62/H$125*100</f>
        <v>11.463197104034416</v>
      </c>
      <c r="J62" s="1532"/>
      <c r="K62" s="1533"/>
      <c r="L62" s="1534"/>
      <c r="M62" s="1535">
        <f t="shared" si="28"/>
        <v>157.85624949929124</v>
      </c>
      <c r="N62" s="1536"/>
      <c r="O62" s="1994" t="str">
        <f t="shared" si="10"/>
        <v xml:space="preserve"> </v>
      </c>
      <c r="P62" s="1995">
        <v>14.7798</v>
      </c>
      <c r="Q62" s="1537">
        <v>7.9763999999999999</v>
      </c>
      <c r="R62" s="1538"/>
      <c r="S62" s="1539">
        <v>32.492100000000001</v>
      </c>
      <c r="T62" s="1539">
        <v>31.670999999999999</v>
      </c>
      <c r="U62" s="1540">
        <v>69.206999999999994</v>
      </c>
      <c r="V62" s="1541">
        <v>1.1847300000000001</v>
      </c>
      <c r="W62" s="1542">
        <v>45.747</v>
      </c>
      <c r="X62" s="1542">
        <v>19.940999999999999</v>
      </c>
      <c r="Y62" s="1737">
        <v>0.49265999999999999</v>
      </c>
      <c r="Z62" s="1771">
        <v>0.76948800000000006</v>
      </c>
      <c r="AA62" s="1543">
        <v>9.3840000000000007E-2</v>
      </c>
      <c r="AB62" s="1789">
        <f t="shared" si="19"/>
        <v>0.34</v>
      </c>
      <c r="AC62" s="1404">
        <f>($G62*S62/$G$125)</f>
        <v>1.385</v>
      </c>
      <c r="AD62" s="1404">
        <f t="shared" si="21"/>
        <v>2.95</v>
      </c>
      <c r="AE62" s="1404">
        <f t="shared" si="22"/>
        <v>5.0499999999999996E-2</v>
      </c>
      <c r="AF62" s="1404">
        <f t="shared" si="23"/>
        <v>1.95</v>
      </c>
      <c r="AG62" s="1405">
        <f t="shared" si="24"/>
        <v>0.85</v>
      </c>
      <c r="AH62" s="1406">
        <f t="shared" si="25"/>
        <v>2.1000000000000001E-2</v>
      </c>
      <c r="AI62" s="1758">
        <f t="shared" si="26"/>
        <v>3.2800000000000003E-2</v>
      </c>
      <c r="AJ62" s="1407">
        <f t="shared" si="27"/>
        <v>4.0000000000000001E-3</v>
      </c>
      <c r="AK62" s="1408"/>
      <c r="AL62" s="1409"/>
      <c r="AM62" s="1409"/>
      <c r="AN62" s="1353"/>
      <c r="AO62" s="1593" t="s">
        <v>215</v>
      </c>
      <c r="AP62" s="129"/>
      <c r="AQ62" s="129"/>
    </row>
    <row r="63" spans="1:67" s="1336" customFormat="1" ht="21" customHeight="1" x14ac:dyDescent="0.2">
      <c r="A63" s="1613" t="s">
        <v>218</v>
      </c>
      <c r="B63" s="2078" t="s">
        <v>58</v>
      </c>
      <c r="C63" s="1839">
        <v>12389.15562</v>
      </c>
      <c r="D63" s="2102"/>
      <c r="E63" s="1926"/>
      <c r="F63" s="1240" t="s">
        <v>217</v>
      </c>
      <c r="G63" s="2038">
        <v>15.249000000000001</v>
      </c>
      <c r="H63" s="1531">
        <f>G63*(100-P63)/100</f>
        <v>11.362</v>
      </c>
      <c r="I63" s="2065">
        <f>H63/H$125*100</f>
        <v>29.804312470489482</v>
      </c>
      <c r="J63" s="1532"/>
      <c r="K63" s="1533"/>
      <c r="L63" s="1534">
        <f>SUM(J63:K63)</f>
        <v>0</v>
      </c>
      <c r="M63" s="1535">
        <f>$M$125*G63/$G$125</f>
        <v>410.42624869815722</v>
      </c>
      <c r="N63" s="1536"/>
      <c r="O63" s="1570" t="str">
        <f t="shared" si="10"/>
        <v xml:space="preserve"> </v>
      </c>
      <c r="P63" s="1568">
        <v>14.7798</v>
      </c>
      <c r="Q63" s="1537">
        <v>7.5072000000000001</v>
      </c>
      <c r="R63" s="2131"/>
      <c r="S63" s="1539">
        <v>33.665100000000002</v>
      </c>
      <c r="T63" s="1539">
        <v>31.670999999999999</v>
      </c>
      <c r="U63" s="1540">
        <v>69.206999999999994</v>
      </c>
      <c r="V63" s="1541">
        <v>1.1847300000000001</v>
      </c>
      <c r="W63" s="1542">
        <v>45.747</v>
      </c>
      <c r="X63" s="1542">
        <v>19.940999999999999</v>
      </c>
      <c r="Y63" s="1737">
        <v>0.49265999999999999</v>
      </c>
      <c r="Z63" s="1771">
        <v>0.76948800000000006</v>
      </c>
      <c r="AA63" s="1543">
        <v>9.3840000000000007E-2</v>
      </c>
      <c r="AB63" s="1789">
        <f t="shared" si="19"/>
        <v>0.83200000000000007</v>
      </c>
      <c r="AC63" s="1404">
        <f>($G63*S63/$G$125)</f>
        <v>3.7309999999999999</v>
      </c>
      <c r="AD63" s="1404">
        <f t="shared" si="21"/>
        <v>7.67</v>
      </c>
      <c r="AE63" s="1404">
        <f t="shared" si="22"/>
        <v>0.1313</v>
      </c>
      <c r="AF63" s="1404">
        <f t="shared" si="23"/>
        <v>5.07</v>
      </c>
      <c r="AG63" s="1405">
        <f t="shared" si="24"/>
        <v>2.21</v>
      </c>
      <c r="AH63" s="1406">
        <f t="shared" si="25"/>
        <v>5.4600000000000003E-2</v>
      </c>
      <c r="AI63" s="1758">
        <f t="shared" si="26"/>
        <v>8.5280000000000009E-2</v>
      </c>
      <c r="AJ63" s="1407">
        <f t="shared" si="27"/>
        <v>1.04E-2</v>
      </c>
      <c r="AK63" s="2132">
        <v>21.348600000000001</v>
      </c>
      <c r="AL63" s="2133">
        <v>35.424599999999998</v>
      </c>
      <c r="AM63" s="2133"/>
      <c r="AN63" s="1353"/>
      <c r="AO63" s="1593" t="s">
        <v>215</v>
      </c>
    </row>
    <row r="64" spans="1:67" s="165" customFormat="1" ht="21" customHeight="1" x14ac:dyDescent="0.2">
      <c r="A64" s="895" t="s">
        <v>141</v>
      </c>
      <c r="B64" s="1095" t="s">
        <v>58</v>
      </c>
      <c r="C64" s="1278">
        <v>12389.15562</v>
      </c>
      <c r="D64" s="2100"/>
      <c r="E64" s="1486"/>
      <c r="F64" s="332" t="s">
        <v>217</v>
      </c>
      <c r="G64" s="1851"/>
      <c r="H64" s="897"/>
      <c r="I64" s="1338"/>
      <c r="J64" s="888"/>
      <c r="K64" s="1327"/>
      <c r="L64" s="991"/>
      <c r="M64" s="900">
        <f>G64*$M$125/$G$125</f>
        <v>0</v>
      </c>
      <c r="N64" s="901"/>
      <c r="O64" s="902" t="str">
        <f t="shared" si="10"/>
        <v xml:space="preserve"> </v>
      </c>
      <c r="P64" s="903"/>
      <c r="Q64" s="944">
        <v>7.8590999999999998</v>
      </c>
      <c r="R64" s="945"/>
      <c r="S64" s="946">
        <v>33.313200000000002</v>
      </c>
      <c r="T64" s="946"/>
      <c r="U64" s="992">
        <v>69.206999999999994</v>
      </c>
      <c r="V64" s="993">
        <v>1.1847300000000001</v>
      </c>
      <c r="W64" s="947">
        <v>45.747</v>
      </c>
      <c r="X64" s="947">
        <v>19.940999999999999</v>
      </c>
      <c r="Y64" s="1735">
        <v>0.49265999999999999</v>
      </c>
      <c r="Z64" s="1769">
        <v>0.76948800000000006</v>
      </c>
      <c r="AA64" s="948">
        <v>9.3840000000000007E-2</v>
      </c>
      <c r="AB64" s="1790">
        <f t="shared" si="19"/>
        <v>0</v>
      </c>
      <c r="AC64" s="1286">
        <f t="shared" si="20"/>
        <v>0</v>
      </c>
      <c r="AD64" s="1286">
        <f t="shared" si="21"/>
        <v>0</v>
      </c>
      <c r="AE64" s="1286">
        <f t="shared" si="22"/>
        <v>0</v>
      </c>
      <c r="AF64" s="1286">
        <f t="shared" si="23"/>
        <v>0</v>
      </c>
      <c r="AG64" s="1289">
        <f t="shared" si="24"/>
        <v>0</v>
      </c>
      <c r="AH64" s="1287">
        <f t="shared" si="25"/>
        <v>0</v>
      </c>
      <c r="AI64" s="1759">
        <f t="shared" si="26"/>
        <v>0</v>
      </c>
      <c r="AJ64" s="1288">
        <f t="shared" si="27"/>
        <v>0</v>
      </c>
      <c r="AK64" s="314"/>
      <c r="AL64" s="298"/>
      <c r="AM64" s="298"/>
      <c r="AN64" s="68"/>
      <c r="AO64" s="1012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</row>
    <row r="65" spans="1:67" s="165" customFormat="1" ht="21" hidden="1" customHeight="1" x14ac:dyDescent="0.2">
      <c r="A65" s="895" t="s">
        <v>219</v>
      </c>
      <c r="B65" s="1095" t="s">
        <v>58</v>
      </c>
      <c r="C65" s="1278">
        <v>12279.034379999999</v>
      </c>
      <c r="D65" s="2100"/>
      <c r="E65" s="1486"/>
      <c r="F65" s="332" t="s">
        <v>217</v>
      </c>
      <c r="G65" s="1851"/>
      <c r="H65" s="897"/>
      <c r="I65" s="898"/>
      <c r="J65" s="888"/>
      <c r="K65" s="1327"/>
      <c r="L65" s="991"/>
      <c r="M65" s="900">
        <f>G65*$M$125/$G$125</f>
        <v>0</v>
      </c>
      <c r="N65" s="901"/>
      <c r="O65" s="902" t="str">
        <f t="shared" si="10"/>
        <v xml:space="preserve"> </v>
      </c>
      <c r="P65" s="903"/>
      <c r="Q65" s="944">
        <v>9.9704999999999995</v>
      </c>
      <c r="R65" s="945"/>
      <c r="S65" s="946">
        <v>32.609400000000001</v>
      </c>
      <c r="T65" s="828"/>
      <c r="U65" s="992">
        <v>62.168999999999997</v>
      </c>
      <c r="V65" s="993">
        <v>1.1964600000000001</v>
      </c>
      <c r="W65" s="947">
        <v>53.957999999999998</v>
      </c>
      <c r="X65" s="947">
        <v>21.114000000000001</v>
      </c>
      <c r="Y65" s="1735">
        <v>0.43401000000000001</v>
      </c>
      <c r="Z65" s="1769">
        <v>0.76948800000000006</v>
      </c>
      <c r="AA65" s="948">
        <v>9.3840000000000007E-2</v>
      </c>
      <c r="AB65" s="1790">
        <f t="shared" si="19"/>
        <v>0</v>
      </c>
      <c r="AC65" s="1286">
        <f t="shared" si="20"/>
        <v>0</v>
      </c>
      <c r="AD65" s="1286">
        <f t="shared" si="21"/>
        <v>0</v>
      </c>
      <c r="AE65" s="1286">
        <f t="shared" si="22"/>
        <v>0</v>
      </c>
      <c r="AF65" s="1286">
        <f t="shared" si="23"/>
        <v>0</v>
      </c>
      <c r="AG65" s="1289">
        <f t="shared" si="24"/>
        <v>0</v>
      </c>
      <c r="AH65" s="1287">
        <f t="shared" si="25"/>
        <v>0</v>
      </c>
      <c r="AI65" s="1759">
        <f t="shared" si="26"/>
        <v>0</v>
      </c>
      <c r="AJ65" s="1288">
        <f t="shared" si="27"/>
        <v>0</v>
      </c>
      <c r="AK65" s="314"/>
      <c r="AL65" s="298"/>
      <c r="AM65" s="298"/>
      <c r="AN65" s="68"/>
      <c r="AO65" s="177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BH65" s="63"/>
      <c r="BI65" s="63"/>
      <c r="BJ65" s="63"/>
      <c r="BK65" s="63"/>
      <c r="BL65" s="63"/>
      <c r="BM65" s="63"/>
      <c r="BN65" s="63"/>
      <c r="BO65" s="63"/>
    </row>
    <row r="66" spans="1:67" s="165" customFormat="1" ht="21" hidden="1" customHeight="1" x14ac:dyDescent="0.2">
      <c r="A66" s="895"/>
      <c r="B66" s="1316" t="s">
        <v>215</v>
      </c>
      <c r="C66" s="1278">
        <v>12306.00165</v>
      </c>
      <c r="D66" s="2098"/>
      <c r="E66" s="1923"/>
      <c r="F66" s="171" t="s">
        <v>217</v>
      </c>
      <c r="G66" s="1852"/>
      <c r="H66" s="917"/>
      <c r="I66" s="918"/>
      <c r="J66" s="934"/>
      <c r="K66" s="1325"/>
      <c r="L66" s="978"/>
      <c r="M66" s="920">
        <f>$M$125*G66/$G$125</f>
        <v>0</v>
      </c>
      <c r="N66" s="921"/>
      <c r="O66" s="922" t="str">
        <f t="shared" si="10"/>
        <v xml:space="preserve"> </v>
      </c>
      <c r="P66" s="923"/>
      <c r="Q66" s="936">
        <v>9.9704999999999995</v>
      </c>
      <c r="R66" s="937"/>
      <c r="S66" s="938">
        <v>31.9056</v>
      </c>
      <c r="T66" s="672"/>
      <c r="U66" s="893">
        <v>72.725999999999999</v>
      </c>
      <c r="V66" s="894">
        <v>1.1964600000000001</v>
      </c>
      <c r="W66" s="939">
        <v>56.304000000000002</v>
      </c>
      <c r="X66" s="939">
        <v>18.768000000000001</v>
      </c>
      <c r="Y66" s="1734">
        <v>0.43401000000000001</v>
      </c>
      <c r="Z66" s="1767"/>
      <c r="AA66" s="940">
        <v>9.3840000000000007E-2</v>
      </c>
      <c r="AB66" s="1790">
        <f t="shared" si="19"/>
        <v>0</v>
      </c>
      <c r="AC66" s="1286">
        <f t="shared" si="20"/>
        <v>0</v>
      </c>
      <c r="AD66" s="1286">
        <f t="shared" si="21"/>
        <v>0</v>
      </c>
      <c r="AE66" s="1286">
        <f t="shared" si="22"/>
        <v>0</v>
      </c>
      <c r="AF66" s="1286">
        <f t="shared" si="23"/>
        <v>0</v>
      </c>
      <c r="AG66" s="1289">
        <f t="shared" si="24"/>
        <v>0</v>
      </c>
      <c r="AH66" s="1287">
        <f t="shared" si="25"/>
        <v>0</v>
      </c>
      <c r="AI66" s="1759">
        <f t="shared" si="26"/>
        <v>0</v>
      </c>
      <c r="AJ66" s="1288">
        <f t="shared" si="27"/>
        <v>0</v>
      </c>
      <c r="AK66" s="314"/>
      <c r="AL66" s="298"/>
      <c r="AM66" s="298"/>
      <c r="AN66" s="68"/>
      <c r="AO66" s="177" t="s">
        <v>215</v>
      </c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</row>
    <row r="67" spans="1:67" s="63" customFormat="1" ht="23.25" customHeight="1" x14ac:dyDescent="0.2">
      <c r="A67" s="2142"/>
      <c r="B67" s="2082" t="s">
        <v>220</v>
      </c>
      <c r="C67" s="1470">
        <v>14266.17849</v>
      </c>
      <c r="D67" s="2099"/>
      <c r="E67" s="1924">
        <v>0</v>
      </c>
      <c r="F67" s="331" t="s">
        <v>15</v>
      </c>
      <c r="G67" s="2034"/>
      <c r="H67" s="905">
        <f>G67*(100-P67)/100</f>
        <v>0</v>
      </c>
      <c r="I67" s="941">
        <f>H67/H$125*100</f>
        <v>0</v>
      </c>
      <c r="J67" s="907">
        <v>0</v>
      </c>
      <c r="K67" s="1326">
        <v>0</v>
      </c>
      <c r="L67" s="942">
        <f>SUM(J67:K67)</f>
        <v>0</v>
      </c>
      <c r="M67" s="909">
        <f>$M$125*G67/$G$125</f>
        <v>0</v>
      </c>
      <c r="N67" s="910">
        <f>SUM(M67:M71)</f>
        <v>0</v>
      </c>
      <c r="O67" s="969" t="str">
        <f>IF(N67=0," ",(K67)/N67)</f>
        <v xml:space="preserve"> </v>
      </c>
      <c r="P67" s="912">
        <v>12.903</v>
      </c>
      <c r="Q67" s="929">
        <v>13.4895</v>
      </c>
      <c r="R67" s="930"/>
      <c r="S67" s="931">
        <v>20.175599999999999</v>
      </c>
      <c r="T67" s="931"/>
      <c r="U67" s="913">
        <v>68.034000000000006</v>
      </c>
      <c r="V67" s="914">
        <v>1.7712300000000001</v>
      </c>
      <c r="W67" s="932">
        <v>35.19</v>
      </c>
      <c r="X67" s="932">
        <v>14.076000000000001</v>
      </c>
      <c r="Y67" s="1728">
        <v>0.2346</v>
      </c>
      <c r="Z67" s="1768">
        <v>0.25806000000000001</v>
      </c>
      <c r="AA67" s="933">
        <v>4.692E-3</v>
      </c>
      <c r="AB67" s="1790">
        <f t="shared" si="19"/>
        <v>0</v>
      </c>
      <c r="AC67" s="1286">
        <f t="shared" si="20"/>
        <v>0</v>
      </c>
      <c r="AD67" s="1286">
        <f t="shared" si="21"/>
        <v>0</v>
      </c>
      <c r="AE67" s="1286">
        <f t="shared" si="22"/>
        <v>0</v>
      </c>
      <c r="AF67" s="1286">
        <f t="shared" si="23"/>
        <v>0</v>
      </c>
      <c r="AG67" s="2016">
        <f t="shared" si="24"/>
        <v>0</v>
      </c>
      <c r="AH67" s="1287">
        <f t="shared" si="25"/>
        <v>0</v>
      </c>
      <c r="AI67" s="1759">
        <f t="shared" si="26"/>
        <v>0</v>
      </c>
      <c r="AJ67" s="1288">
        <f t="shared" si="27"/>
        <v>0</v>
      </c>
      <c r="AK67" s="314">
        <v>14.8971</v>
      </c>
      <c r="AL67" s="298">
        <v>74.368200000000002</v>
      </c>
      <c r="AM67" s="298"/>
      <c r="AN67" s="2143"/>
      <c r="AO67" s="1299" t="s">
        <v>221</v>
      </c>
      <c r="AP67" s="2144"/>
    </row>
    <row r="68" spans="1:67" s="63" customFormat="1" ht="21" hidden="1" customHeight="1" x14ac:dyDescent="0.2">
      <c r="A68" s="895" t="s">
        <v>222</v>
      </c>
      <c r="B68" s="1111" t="s">
        <v>130</v>
      </c>
      <c r="C68" s="1278">
        <v>13809.728999999999</v>
      </c>
      <c r="D68" s="2100"/>
      <c r="E68" s="1486"/>
      <c r="F68" s="332" t="s">
        <v>223</v>
      </c>
      <c r="G68" s="1851"/>
      <c r="H68" s="897">
        <f>G68*(100-P68)/100</f>
        <v>0</v>
      </c>
      <c r="I68" s="941">
        <f>H68/H$125*100</f>
        <v>0</v>
      </c>
      <c r="J68" s="888"/>
      <c r="K68" s="1327"/>
      <c r="L68" s="991">
        <f>SUM(J68:K68)</f>
        <v>0</v>
      </c>
      <c r="M68" s="900">
        <f>$M$125*G68/$G$125</f>
        <v>0</v>
      </c>
      <c r="N68" s="901"/>
      <c r="O68" s="902" t="str">
        <f t="shared" si="10"/>
        <v xml:space="preserve"> </v>
      </c>
      <c r="P68" s="903">
        <v>12.903</v>
      </c>
      <c r="Q68" s="944">
        <v>13.8414</v>
      </c>
      <c r="R68" s="945"/>
      <c r="S68" s="946">
        <v>22.052399999999999</v>
      </c>
      <c r="T68" s="946"/>
      <c r="U68" s="992">
        <v>68.034000000000006</v>
      </c>
      <c r="V68" s="993">
        <v>1.7712300000000001</v>
      </c>
      <c r="W68" s="947">
        <v>37.536000000000001</v>
      </c>
      <c r="X68" s="947">
        <v>12.903</v>
      </c>
      <c r="Y68" s="1735">
        <v>0.26978999999999997</v>
      </c>
      <c r="Z68" s="1769">
        <v>0.25806000000000001</v>
      </c>
      <c r="AA68" s="948">
        <v>4.692E-3</v>
      </c>
      <c r="AB68" s="1790">
        <f t="shared" si="19"/>
        <v>0</v>
      </c>
      <c r="AC68" s="1286">
        <f t="shared" si="20"/>
        <v>0</v>
      </c>
      <c r="AD68" s="1286">
        <f t="shared" si="21"/>
        <v>0</v>
      </c>
      <c r="AE68" s="1286">
        <f t="shared" si="22"/>
        <v>0</v>
      </c>
      <c r="AF68" s="1286">
        <f t="shared" si="23"/>
        <v>0</v>
      </c>
      <c r="AG68" s="1289">
        <f t="shared" si="24"/>
        <v>0</v>
      </c>
      <c r="AH68" s="1287">
        <f t="shared" si="25"/>
        <v>0</v>
      </c>
      <c r="AI68" s="1759">
        <f t="shared" si="26"/>
        <v>0</v>
      </c>
      <c r="AJ68" s="1288">
        <f t="shared" si="27"/>
        <v>0</v>
      </c>
      <c r="AK68" s="314">
        <v>14.8971</v>
      </c>
      <c r="AL68" s="298">
        <v>89.382599999999996</v>
      </c>
      <c r="AM68" s="298"/>
      <c r="AN68" s="68"/>
      <c r="AO68" s="1297" t="s">
        <v>221</v>
      </c>
    </row>
    <row r="69" spans="1:67" s="63" customFormat="1" ht="21" hidden="1" customHeight="1" x14ac:dyDescent="0.2">
      <c r="A69" s="895"/>
      <c r="B69" s="1111" t="s">
        <v>220</v>
      </c>
      <c r="C69" s="1278">
        <v>13809.728999999999</v>
      </c>
      <c r="D69" s="2100"/>
      <c r="E69" s="1486"/>
      <c r="F69" s="332" t="s">
        <v>223</v>
      </c>
      <c r="G69" s="1851"/>
      <c r="H69" s="897"/>
      <c r="I69" s="941"/>
      <c r="J69" s="888"/>
      <c r="K69" s="1327"/>
      <c r="L69" s="991"/>
      <c r="M69" s="900">
        <f>$M$125*G69/$G$125</f>
        <v>0</v>
      </c>
      <c r="N69" s="901"/>
      <c r="O69" s="902" t="str">
        <f t="shared" si="10"/>
        <v xml:space="preserve"> </v>
      </c>
      <c r="P69" s="903"/>
      <c r="Q69" s="944">
        <v>12.7857</v>
      </c>
      <c r="R69" s="945"/>
      <c r="S69" s="946">
        <v>20.6448</v>
      </c>
      <c r="T69" s="946"/>
      <c r="U69" s="992">
        <v>68.034000000000006</v>
      </c>
      <c r="V69" s="993">
        <v>1.7712300000000001</v>
      </c>
      <c r="W69" s="947">
        <v>35.19</v>
      </c>
      <c r="X69" s="947">
        <v>14.076000000000001</v>
      </c>
      <c r="Y69" s="1735">
        <v>0.2346</v>
      </c>
      <c r="Z69" s="1769">
        <v>0.25806000000000001</v>
      </c>
      <c r="AA69" s="948">
        <v>4.692E-3</v>
      </c>
      <c r="AB69" s="1790">
        <f t="shared" si="19"/>
        <v>0</v>
      </c>
      <c r="AC69" s="1286">
        <f t="shared" si="20"/>
        <v>0</v>
      </c>
      <c r="AD69" s="1286">
        <f t="shared" si="21"/>
        <v>0</v>
      </c>
      <c r="AE69" s="1286">
        <f t="shared" si="22"/>
        <v>0</v>
      </c>
      <c r="AF69" s="1286">
        <f t="shared" si="23"/>
        <v>0</v>
      </c>
      <c r="AG69" s="1289">
        <f t="shared" si="24"/>
        <v>0</v>
      </c>
      <c r="AH69" s="1287">
        <f t="shared" si="25"/>
        <v>0</v>
      </c>
      <c r="AI69" s="1759">
        <f t="shared" si="26"/>
        <v>0</v>
      </c>
      <c r="AJ69" s="1288">
        <f t="shared" si="27"/>
        <v>0</v>
      </c>
      <c r="AK69" s="314"/>
      <c r="AL69" s="298"/>
      <c r="AM69" s="298"/>
      <c r="AN69" s="68"/>
      <c r="AO69" s="1297"/>
    </row>
    <row r="70" spans="1:67" s="165" customFormat="1" ht="21" hidden="1" customHeight="1" x14ac:dyDescent="0.2">
      <c r="A70" s="895" t="s">
        <v>224</v>
      </c>
      <c r="B70" s="1111" t="s">
        <v>130</v>
      </c>
      <c r="C70" s="1278">
        <v>13809.728999999999</v>
      </c>
      <c r="D70" s="2100"/>
      <c r="E70" s="1486"/>
      <c r="F70" s="332" t="s">
        <v>223</v>
      </c>
      <c r="G70" s="1851"/>
      <c r="H70" s="897"/>
      <c r="I70" s="898"/>
      <c r="J70" s="888"/>
      <c r="K70" s="1327"/>
      <c r="L70" s="1013">
        <f>SUM(J70:K70)</f>
        <v>0</v>
      </c>
      <c r="M70" s="900">
        <f>$M$125*G71/$G$125</f>
        <v>0</v>
      </c>
      <c r="N70" s="901"/>
      <c r="O70" s="902" t="str">
        <f t="shared" si="10"/>
        <v xml:space="preserve"> </v>
      </c>
      <c r="P70" s="903"/>
      <c r="Q70" s="944">
        <v>10.3224</v>
      </c>
      <c r="R70" s="945"/>
      <c r="S70" s="946">
        <v>23.929199999999998</v>
      </c>
      <c r="T70" s="671"/>
      <c r="U70" s="992">
        <v>45.747</v>
      </c>
      <c r="V70" s="993">
        <v>1.3958699999999999</v>
      </c>
      <c r="W70" s="947">
        <v>48.093000000000004</v>
      </c>
      <c r="X70" s="947">
        <v>17.594999999999999</v>
      </c>
      <c r="Y70" s="1735">
        <v>0.85629</v>
      </c>
      <c r="Z70" s="1769">
        <v>6.0995999999999995E-2</v>
      </c>
      <c r="AA70" s="948">
        <v>4.692E-3</v>
      </c>
      <c r="AB70" s="1790">
        <f t="shared" si="19"/>
        <v>0</v>
      </c>
      <c r="AC70" s="1286">
        <f t="shared" si="20"/>
        <v>0</v>
      </c>
      <c r="AD70" s="1286">
        <f t="shared" si="21"/>
        <v>0</v>
      </c>
      <c r="AE70" s="1286">
        <f t="shared" si="22"/>
        <v>0</v>
      </c>
      <c r="AF70" s="1286">
        <f t="shared" si="23"/>
        <v>0</v>
      </c>
      <c r="AG70" s="1289">
        <f t="shared" si="24"/>
        <v>0</v>
      </c>
      <c r="AH70" s="1287">
        <f t="shared" si="25"/>
        <v>0</v>
      </c>
      <c r="AI70" s="1759">
        <f t="shared" si="26"/>
        <v>0</v>
      </c>
      <c r="AJ70" s="1290">
        <f t="shared" si="27"/>
        <v>0</v>
      </c>
      <c r="AK70" s="314">
        <v>14.8971</v>
      </c>
      <c r="AL70" s="298">
        <v>89.382599999999996</v>
      </c>
      <c r="AM70" s="298"/>
      <c r="AN70" s="68"/>
      <c r="AO70" s="177" t="s">
        <v>221</v>
      </c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BH70" s="63"/>
      <c r="BI70" s="63"/>
      <c r="BJ70" s="63"/>
      <c r="BK70" s="63"/>
      <c r="BL70" s="63"/>
      <c r="BM70" s="63"/>
      <c r="BN70" s="63"/>
      <c r="BO70" s="63"/>
    </row>
    <row r="71" spans="1:67" s="165" customFormat="1" ht="21" hidden="1" customHeight="1" x14ac:dyDescent="0.2">
      <c r="A71" s="972"/>
      <c r="B71" s="1095" t="s">
        <v>220</v>
      </c>
      <c r="C71" s="1278">
        <v>13809.728999999999</v>
      </c>
      <c r="D71" s="2100"/>
      <c r="E71" s="1486"/>
      <c r="F71" s="332" t="s">
        <v>223</v>
      </c>
      <c r="G71" s="1851"/>
      <c r="H71" s="897"/>
      <c r="I71" s="898"/>
      <c r="J71" s="888"/>
      <c r="K71" s="1327"/>
      <c r="L71" s="991">
        <f>SUM(K71:K71)</f>
        <v>0</v>
      </c>
      <c r="M71" s="900">
        <f>$M$125*G71/$G$125</f>
        <v>0</v>
      </c>
      <c r="N71" s="901"/>
      <c r="O71" s="902" t="str">
        <f t="shared" si="10"/>
        <v xml:space="preserve"> </v>
      </c>
      <c r="P71" s="903"/>
      <c r="Q71" s="1014">
        <v>11.4954</v>
      </c>
      <c r="R71" s="1015"/>
      <c r="S71" s="1016">
        <v>21.231300000000001</v>
      </c>
      <c r="T71" s="1017"/>
      <c r="U71" s="1019">
        <v>49.265999999999998</v>
      </c>
      <c r="V71" s="1020">
        <v>1.4779800000000001</v>
      </c>
      <c r="W71" s="1018">
        <v>49.265999999999998</v>
      </c>
      <c r="X71" s="947">
        <v>17.594999999999999</v>
      </c>
      <c r="Y71" s="1735">
        <v>0.75072000000000005</v>
      </c>
      <c r="Z71" s="1769"/>
      <c r="AA71" s="948">
        <v>4.692E-3</v>
      </c>
      <c r="AB71" s="1790">
        <f t="shared" si="19"/>
        <v>0</v>
      </c>
      <c r="AC71" s="1286">
        <f t="shared" si="20"/>
        <v>0</v>
      </c>
      <c r="AD71" s="1286">
        <f t="shared" si="21"/>
        <v>0</v>
      </c>
      <c r="AE71" s="1286">
        <f t="shared" si="22"/>
        <v>0</v>
      </c>
      <c r="AF71" s="1286">
        <f t="shared" si="23"/>
        <v>0</v>
      </c>
      <c r="AG71" s="1289">
        <f t="shared" si="24"/>
        <v>0</v>
      </c>
      <c r="AH71" s="1287">
        <f t="shared" si="25"/>
        <v>0</v>
      </c>
      <c r="AI71" s="1759">
        <f t="shared" si="26"/>
        <v>0</v>
      </c>
      <c r="AJ71" s="1288">
        <f t="shared" si="27"/>
        <v>0</v>
      </c>
      <c r="AK71" s="316"/>
      <c r="AL71" s="307"/>
      <c r="AM71" s="307"/>
      <c r="AN71" s="68"/>
      <c r="AO71" s="1021" t="s">
        <v>225</v>
      </c>
      <c r="AP71" s="68"/>
      <c r="AQ71" s="68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  <c r="BO71" s="63"/>
    </row>
    <row r="72" spans="1:67" s="1336" customFormat="1" ht="21" customHeight="1" x14ac:dyDescent="0.2">
      <c r="A72" s="2194" t="s">
        <v>226</v>
      </c>
      <c r="B72" s="2080" t="s">
        <v>120</v>
      </c>
      <c r="C72" s="2115">
        <v>14266.17849</v>
      </c>
      <c r="D72" s="2081">
        <v>10.557</v>
      </c>
      <c r="E72" s="2195">
        <v>8.2244897959183678</v>
      </c>
      <c r="F72" s="1397" t="s">
        <v>118</v>
      </c>
      <c r="G72" s="2032">
        <v>9.3840000000000003</v>
      </c>
      <c r="H72" s="1388">
        <f>G72*(100-P72)/100</f>
        <v>7.4720000000000004</v>
      </c>
      <c r="I72" s="1594">
        <f>H72/H$125*100</f>
        <v>19.600230837836421</v>
      </c>
      <c r="J72" s="1389">
        <v>0</v>
      </c>
      <c r="K72" s="1390">
        <v>8200</v>
      </c>
      <c r="L72" s="2196">
        <f>SUM(J72:K72)</f>
        <v>8200</v>
      </c>
      <c r="M72" s="1392">
        <f>G72*$M$125/$G$125</f>
        <v>252.56999919886599</v>
      </c>
      <c r="N72" s="1393">
        <f>SUM(M72:M75)</f>
        <v>252.56999919886599</v>
      </c>
      <c r="O72" s="1574">
        <f t="shared" si="10"/>
        <v>32.466247084015578</v>
      </c>
      <c r="P72" s="1394">
        <v>7.7417999999999996</v>
      </c>
      <c r="Q72" s="2197">
        <v>11.847300000000001</v>
      </c>
      <c r="R72" s="2198"/>
      <c r="S72" s="2199">
        <v>19.823699999999999</v>
      </c>
      <c r="T72" s="1401"/>
      <c r="U72" s="2200">
        <v>78.590999999999994</v>
      </c>
      <c r="V72" s="2201">
        <v>1.7712300000000001</v>
      </c>
      <c r="W72" s="2202">
        <v>23.46</v>
      </c>
      <c r="X72" s="1402">
        <v>14.076000000000001</v>
      </c>
      <c r="Y72" s="1733">
        <v>0.29325000000000001</v>
      </c>
      <c r="Z72" s="1766">
        <v>0.25806000000000001</v>
      </c>
      <c r="AA72" s="1403">
        <v>3.5776499999999996E-2</v>
      </c>
      <c r="AB72" s="1789">
        <f t="shared" si="19"/>
        <v>0.80799999999999994</v>
      </c>
      <c r="AC72" s="1404">
        <f t="shared" si="20"/>
        <v>1.3519999999999999</v>
      </c>
      <c r="AD72" s="1404">
        <f t="shared" si="21"/>
        <v>5.36</v>
      </c>
      <c r="AE72" s="1404">
        <f t="shared" si="22"/>
        <v>0.1208</v>
      </c>
      <c r="AF72" s="1404">
        <f t="shared" si="23"/>
        <v>1.6</v>
      </c>
      <c r="AG72" s="1405">
        <f t="shared" si="24"/>
        <v>0.96</v>
      </c>
      <c r="AH72" s="1406">
        <f t="shared" si="25"/>
        <v>0.02</v>
      </c>
      <c r="AI72" s="1758">
        <f t="shared" si="26"/>
        <v>1.7600000000000001E-2</v>
      </c>
      <c r="AJ72" s="1407">
        <f t="shared" si="27"/>
        <v>2.4399999999999999E-3</v>
      </c>
      <c r="AK72" s="1408"/>
      <c r="AL72" s="1409"/>
      <c r="AM72" s="1409"/>
      <c r="AN72" s="1353"/>
      <c r="AO72" s="2203" t="s">
        <v>227</v>
      </c>
      <c r="AP72" s="1353"/>
      <c r="AQ72" s="1353"/>
    </row>
    <row r="73" spans="1:67" s="63" customFormat="1" ht="21" hidden="1" customHeight="1" x14ac:dyDescent="0.2">
      <c r="A73" s="1337" t="s">
        <v>226</v>
      </c>
      <c r="B73" s="1095" t="s">
        <v>120</v>
      </c>
      <c r="C73" s="1278">
        <v>14266.17849</v>
      </c>
      <c r="D73" s="2104"/>
      <c r="E73" s="1944"/>
      <c r="F73" s="332" t="s">
        <v>228</v>
      </c>
      <c r="G73" s="1851"/>
      <c r="H73" s="897"/>
      <c r="I73" s="1715"/>
      <c r="J73" s="899"/>
      <c r="K73" s="1323"/>
      <c r="L73" s="991"/>
      <c r="M73" s="900">
        <f>G73*$M$125/$G$125</f>
        <v>0</v>
      </c>
      <c r="N73" s="901"/>
      <c r="O73" s="902" t="str">
        <f t="shared" si="10"/>
        <v xml:space="preserve"> </v>
      </c>
      <c r="P73" s="903"/>
      <c r="Q73" s="944">
        <v>11.964599999999999</v>
      </c>
      <c r="R73" s="945"/>
      <c r="S73" s="946">
        <v>20.7621</v>
      </c>
      <c r="T73" s="1597"/>
      <c r="U73" s="992">
        <v>78.590999999999994</v>
      </c>
      <c r="V73" s="993">
        <v>1.7712300000000001</v>
      </c>
      <c r="W73" s="947">
        <v>23.46</v>
      </c>
      <c r="X73" s="947">
        <v>14.076000000000001</v>
      </c>
      <c r="Y73" s="1735">
        <v>0.29325000000000001</v>
      </c>
      <c r="Z73" s="1769">
        <v>0.25806000000000001</v>
      </c>
      <c r="AA73" s="948">
        <v>3.5776499999999996E-2</v>
      </c>
      <c r="AB73" s="1790">
        <f t="shared" si="19"/>
        <v>0</v>
      </c>
      <c r="AC73" s="1286">
        <f t="shared" si="20"/>
        <v>0</v>
      </c>
      <c r="AD73" s="1286">
        <f t="shared" si="21"/>
        <v>0</v>
      </c>
      <c r="AE73" s="1286">
        <f t="shared" si="22"/>
        <v>0</v>
      </c>
      <c r="AF73" s="1286">
        <f t="shared" si="23"/>
        <v>0</v>
      </c>
      <c r="AG73" s="2016">
        <f t="shared" si="24"/>
        <v>0</v>
      </c>
      <c r="AH73" s="1287">
        <f t="shared" si="25"/>
        <v>0</v>
      </c>
      <c r="AI73" s="1759">
        <f t="shared" si="26"/>
        <v>0</v>
      </c>
      <c r="AJ73" s="1288">
        <f t="shared" si="27"/>
        <v>0</v>
      </c>
      <c r="AK73" s="314"/>
      <c r="AL73" s="298"/>
      <c r="AM73" s="298"/>
      <c r="AN73" s="68"/>
      <c r="AO73" s="1596"/>
      <c r="AP73" s="68"/>
      <c r="AQ73" s="68"/>
    </row>
    <row r="74" spans="1:67" s="63" customFormat="1" ht="21" customHeight="1" x14ac:dyDescent="0.2">
      <c r="A74" s="1337" t="s">
        <v>229</v>
      </c>
      <c r="B74" s="1095" t="s">
        <v>120</v>
      </c>
      <c r="C74" s="1278">
        <v>14266.17849</v>
      </c>
      <c r="D74" s="2104"/>
      <c r="E74" s="1884"/>
      <c r="F74" s="332" t="s">
        <v>228</v>
      </c>
      <c r="G74" s="2220"/>
      <c r="H74" s="897"/>
      <c r="I74" s="1715"/>
      <c r="J74" s="899"/>
      <c r="K74" s="1323"/>
      <c r="L74" s="991"/>
      <c r="M74" s="900">
        <f>G74*$M$125/$G$125</f>
        <v>0</v>
      </c>
      <c r="N74" s="901"/>
      <c r="O74" s="902"/>
      <c r="P74" s="903"/>
      <c r="Q74" s="944">
        <v>11.73</v>
      </c>
      <c r="R74" s="945"/>
      <c r="S74" s="946">
        <v>21.231300000000001</v>
      </c>
      <c r="T74" s="1597"/>
      <c r="U74" s="992">
        <v>78.590999999999994</v>
      </c>
      <c r="V74" s="993">
        <v>1.7712300000000001</v>
      </c>
      <c r="W74" s="947">
        <v>23.46</v>
      </c>
      <c r="X74" s="947">
        <v>14.076000000000001</v>
      </c>
      <c r="Y74" s="1735">
        <v>0.29325000000000001</v>
      </c>
      <c r="Z74" s="1769">
        <v>0.25806000000000001</v>
      </c>
      <c r="AA74" s="948"/>
      <c r="AB74" s="1790">
        <f t="shared" si="19"/>
        <v>0</v>
      </c>
      <c r="AC74" s="1286">
        <f t="shared" si="20"/>
        <v>0</v>
      </c>
      <c r="AD74" s="1286">
        <f t="shared" si="21"/>
        <v>0</v>
      </c>
      <c r="AE74" s="1286">
        <f t="shared" si="22"/>
        <v>0</v>
      </c>
      <c r="AF74" s="1286">
        <f t="shared" si="23"/>
        <v>0</v>
      </c>
      <c r="AG74" s="1289">
        <f t="shared" si="24"/>
        <v>0</v>
      </c>
      <c r="AH74" s="1287">
        <f t="shared" si="25"/>
        <v>0</v>
      </c>
      <c r="AI74" s="1759">
        <f t="shared" si="26"/>
        <v>0</v>
      </c>
      <c r="AJ74" s="1288"/>
      <c r="AK74" s="314"/>
      <c r="AL74" s="298"/>
      <c r="AM74" s="298"/>
      <c r="AN74" s="68"/>
      <c r="AO74" s="1596"/>
      <c r="AP74" s="68"/>
      <c r="AQ74" s="68"/>
    </row>
    <row r="75" spans="1:67" s="165" customFormat="1" ht="21" hidden="1" customHeight="1" x14ac:dyDescent="0.2">
      <c r="A75" s="1022" t="s">
        <v>230</v>
      </c>
      <c r="B75" s="2087" t="s">
        <v>120</v>
      </c>
      <c r="C75" s="2113">
        <v>13809.728999999999</v>
      </c>
      <c r="D75" s="2105"/>
      <c r="E75" s="1928"/>
      <c r="F75" s="332" t="s">
        <v>228</v>
      </c>
      <c r="G75" s="2221"/>
      <c r="H75" s="917"/>
      <c r="I75" s="1024"/>
      <c r="J75" s="919"/>
      <c r="K75" s="1324"/>
      <c r="L75" s="978"/>
      <c r="M75" s="920">
        <f>G75*$M$125/$G$125</f>
        <v>0</v>
      </c>
      <c r="N75" s="921"/>
      <c r="O75" s="922" t="str">
        <f t="shared" si="10"/>
        <v xml:space="preserve"> </v>
      </c>
      <c r="P75" s="923"/>
      <c r="Q75" s="936">
        <v>12.6684</v>
      </c>
      <c r="R75" s="937"/>
      <c r="S75" s="938">
        <v>20.5275</v>
      </c>
      <c r="T75" s="1009"/>
      <c r="U75" s="979">
        <v>78.590999999999994</v>
      </c>
      <c r="V75" s="980">
        <v>1.7712300000000001</v>
      </c>
      <c r="W75" s="939">
        <v>35.19</v>
      </c>
      <c r="X75" s="939">
        <v>14.076000000000001</v>
      </c>
      <c r="Y75" s="1734">
        <v>0.2346</v>
      </c>
      <c r="Z75" s="1767">
        <v>0.25806000000000001</v>
      </c>
      <c r="AA75" s="940">
        <v>3.5776499999999996E-2</v>
      </c>
      <c r="AB75" s="1790">
        <f t="shared" si="19"/>
        <v>0</v>
      </c>
      <c r="AC75" s="1286">
        <f t="shared" si="20"/>
        <v>0</v>
      </c>
      <c r="AD75" s="1286">
        <f t="shared" si="21"/>
        <v>0</v>
      </c>
      <c r="AE75" s="1286">
        <f t="shared" si="22"/>
        <v>0</v>
      </c>
      <c r="AF75" s="1286">
        <f t="shared" si="23"/>
        <v>0</v>
      </c>
      <c r="AG75" s="1289">
        <f t="shared" si="24"/>
        <v>0</v>
      </c>
      <c r="AH75" s="1287">
        <f t="shared" si="25"/>
        <v>0</v>
      </c>
      <c r="AI75" s="1759">
        <f t="shared" si="26"/>
        <v>0</v>
      </c>
      <c r="AJ75" s="1288" t="e">
        <f>($F75*AA75/$G$125)</f>
        <v>#VALUE!</v>
      </c>
      <c r="AK75" s="314"/>
      <c r="AL75" s="298"/>
      <c r="AM75" s="298"/>
      <c r="AN75" s="68"/>
      <c r="AO75" s="1023" t="s">
        <v>227</v>
      </c>
      <c r="AP75" s="68"/>
      <c r="AQ75" s="68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</row>
    <row r="76" spans="1:67" s="63" customFormat="1" ht="21" hidden="1" customHeight="1" x14ac:dyDescent="0.2">
      <c r="A76" s="926"/>
      <c r="B76" s="1469" t="s">
        <v>231</v>
      </c>
      <c r="C76" s="1470">
        <v>14825.101259999999</v>
      </c>
      <c r="D76" s="2099"/>
      <c r="E76" s="1924"/>
      <c r="F76" s="331" t="s">
        <v>223</v>
      </c>
      <c r="G76" s="2041"/>
      <c r="H76" s="905"/>
      <c r="I76" s="1834"/>
      <c r="J76" s="928">
        <v>0</v>
      </c>
      <c r="K76" s="1320">
        <v>0</v>
      </c>
      <c r="L76" s="908">
        <f t="shared" ref="L76:L113" si="29">SUM(J76:K76)</f>
        <v>0</v>
      </c>
      <c r="M76" s="883">
        <f t="shared" ref="M76:M107" si="30">G76*$M$125/$G$125</f>
        <v>0</v>
      </c>
      <c r="N76" s="884">
        <f>SUM(M76:M78)</f>
        <v>0</v>
      </c>
      <c r="O76" s="969" t="str">
        <f t="shared" si="10"/>
        <v xml:space="preserve"> </v>
      </c>
      <c r="P76" s="912"/>
      <c r="Q76" s="929">
        <v>9.1494</v>
      </c>
      <c r="R76" s="930"/>
      <c r="S76" s="931">
        <v>22.286999999999999</v>
      </c>
      <c r="T76" s="1708"/>
      <c r="U76" s="913">
        <v>63.341999999999999</v>
      </c>
      <c r="V76" s="914">
        <v>1.6304700000000001</v>
      </c>
      <c r="W76" s="932">
        <v>43.401000000000003</v>
      </c>
      <c r="X76" s="932">
        <v>15.249000000000001</v>
      </c>
      <c r="Y76" s="1728">
        <v>0.38708999999999999</v>
      </c>
      <c r="Z76" s="1768"/>
      <c r="AA76" s="933">
        <v>7.9764000000000002E-2</v>
      </c>
      <c r="AB76" s="1790">
        <f t="shared" si="19"/>
        <v>0</v>
      </c>
      <c r="AC76" s="1286">
        <f t="shared" si="20"/>
        <v>0</v>
      </c>
      <c r="AD76" s="1286">
        <f t="shared" si="21"/>
        <v>0</v>
      </c>
      <c r="AE76" s="1286">
        <f t="shared" si="22"/>
        <v>0</v>
      </c>
      <c r="AF76" s="1286">
        <f t="shared" si="23"/>
        <v>0</v>
      </c>
      <c r="AG76" s="1289">
        <f t="shared" si="24"/>
        <v>0</v>
      </c>
      <c r="AH76" s="1287">
        <f t="shared" si="25"/>
        <v>0</v>
      </c>
      <c r="AI76" s="1759">
        <f t="shared" si="26"/>
        <v>0</v>
      </c>
      <c r="AJ76" s="1291">
        <f t="shared" ref="AJ76:AJ87" si="31">($G76*AA76/$G$125)</f>
        <v>0</v>
      </c>
      <c r="AK76" s="314"/>
      <c r="AL76" s="298">
        <v>91.494</v>
      </c>
      <c r="AM76" s="298"/>
      <c r="AN76" s="68"/>
      <c r="AO76" s="1600" t="s">
        <v>232</v>
      </c>
      <c r="AP76" s="68"/>
      <c r="AQ76" s="68"/>
      <c r="AV76" s="63">
        <f>AVERAGE(AV22:AV75)</f>
        <v>99</v>
      </c>
      <c r="AW76" s="63">
        <f>AVERAGE(AW22:AW75)</f>
        <v>33.299999999999997</v>
      </c>
      <c r="AX76" s="63">
        <f>AVERAGE(AX22:AX75)</f>
        <v>101</v>
      </c>
    </row>
    <row r="77" spans="1:67" s="63" customFormat="1" ht="21" hidden="1" customHeight="1" x14ac:dyDescent="0.2">
      <c r="A77" s="895"/>
      <c r="B77" s="2080" t="s">
        <v>233</v>
      </c>
      <c r="C77" s="1278">
        <v>14825.101259999999</v>
      </c>
      <c r="D77" s="2100"/>
      <c r="E77" s="1486"/>
      <c r="F77" s="332"/>
      <c r="G77" s="2222"/>
      <c r="H77" s="897"/>
      <c r="I77" s="1715"/>
      <c r="J77" s="899"/>
      <c r="K77" s="1323"/>
      <c r="L77" s="991"/>
      <c r="M77" s="900">
        <f t="shared" si="30"/>
        <v>0</v>
      </c>
      <c r="N77" s="901"/>
      <c r="O77" s="984" t="str">
        <f t="shared" si="10"/>
        <v xml:space="preserve"> </v>
      </c>
      <c r="P77" s="903"/>
      <c r="Q77" s="944">
        <v>8.9147999999999996</v>
      </c>
      <c r="R77" s="945"/>
      <c r="S77" s="946">
        <v>22.169699999999999</v>
      </c>
      <c r="T77" s="1597"/>
      <c r="U77" s="992">
        <v>63.341999999999999</v>
      </c>
      <c r="V77" s="993">
        <v>1.6304700000000001</v>
      </c>
      <c r="W77" s="947">
        <v>43.401000000000003</v>
      </c>
      <c r="X77" s="947">
        <v>15.249000000000001</v>
      </c>
      <c r="Y77" s="1735">
        <v>0.38708999999999999</v>
      </c>
      <c r="Z77" s="1769"/>
      <c r="AA77" s="948">
        <v>7.9764000000000002E-2</v>
      </c>
      <c r="AB77" s="1790">
        <f t="shared" si="19"/>
        <v>0</v>
      </c>
      <c r="AC77" s="1286">
        <f t="shared" si="20"/>
        <v>0</v>
      </c>
      <c r="AD77" s="1286">
        <f t="shared" si="21"/>
        <v>0</v>
      </c>
      <c r="AE77" s="1286">
        <f t="shared" si="22"/>
        <v>0</v>
      </c>
      <c r="AF77" s="1286">
        <f t="shared" si="23"/>
        <v>0</v>
      </c>
      <c r="AG77" s="1289">
        <f t="shared" si="24"/>
        <v>0</v>
      </c>
      <c r="AH77" s="1287">
        <f t="shared" si="25"/>
        <v>0</v>
      </c>
      <c r="AI77" s="1759">
        <f t="shared" si="26"/>
        <v>0</v>
      </c>
      <c r="AJ77" s="1291">
        <f t="shared" si="31"/>
        <v>0</v>
      </c>
      <c r="AK77" s="314"/>
      <c r="AL77" s="298"/>
      <c r="AM77" s="298"/>
      <c r="AN77" s="68"/>
      <c r="AO77" s="1012"/>
      <c r="AP77" s="68"/>
      <c r="AQ77" s="68"/>
    </row>
    <row r="78" spans="1:67" s="63" customFormat="1" ht="21" hidden="1" customHeight="1" x14ac:dyDescent="0.2">
      <c r="A78" s="915"/>
      <c r="B78" s="2080" t="s">
        <v>233</v>
      </c>
      <c r="C78" s="1278">
        <v>14825.101259999999</v>
      </c>
      <c r="D78" s="2098"/>
      <c r="E78" s="1923"/>
      <c r="F78" s="171" t="s">
        <v>223</v>
      </c>
      <c r="G78" s="2223"/>
      <c r="H78" s="917"/>
      <c r="I78" s="1024"/>
      <c r="J78" s="919"/>
      <c r="K78" s="1324"/>
      <c r="L78" s="978">
        <f t="shared" si="29"/>
        <v>0</v>
      </c>
      <c r="M78" s="920">
        <f t="shared" si="30"/>
        <v>0</v>
      </c>
      <c r="N78" s="921"/>
      <c r="O78" s="922" t="str">
        <f t="shared" si="10"/>
        <v xml:space="preserve"> </v>
      </c>
      <c r="P78" s="923"/>
      <c r="Q78" s="936">
        <v>9.1494</v>
      </c>
      <c r="R78" s="937"/>
      <c r="S78" s="938">
        <v>23.1081</v>
      </c>
      <c r="T78" s="1009"/>
      <c r="U78" s="979">
        <v>63.341999999999999</v>
      </c>
      <c r="V78" s="980">
        <v>1.6304700000000001</v>
      </c>
      <c r="W78" s="939">
        <v>43.401000000000003</v>
      </c>
      <c r="X78" s="939">
        <v>15.249000000000001</v>
      </c>
      <c r="Y78" s="1734">
        <v>0.38708999999999999</v>
      </c>
      <c r="Z78" s="1767"/>
      <c r="AA78" s="940">
        <v>7.9764000000000002E-2</v>
      </c>
      <c r="AB78" s="1790">
        <f t="shared" ref="AB78:AB110" si="32">($G78*Q78/$G$125)</f>
        <v>0</v>
      </c>
      <c r="AC78" s="1286">
        <f t="shared" ref="AC78:AC110" si="33">($G78*S78/$G$125)</f>
        <v>0</v>
      </c>
      <c r="AD78" s="1286">
        <f t="shared" si="21"/>
        <v>0</v>
      </c>
      <c r="AE78" s="1286">
        <f t="shared" si="22"/>
        <v>0</v>
      </c>
      <c r="AF78" s="1286">
        <f t="shared" si="23"/>
        <v>0</v>
      </c>
      <c r="AG78" s="1289">
        <f t="shared" si="24"/>
        <v>0</v>
      </c>
      <c r="AH78" s="1287">
        <f t="shared" si="25"/>
        <v>0</v>
      </c>
      <c r="AI78" s="1759">
        <f t="shared" si="26"/>
        <v>0</v>
      </c>
      <c r="AJ78" s="1292">
        <f t="shared" si="31"/>
        <v>0</v>
      </c>
      <c r="AK78" s="314"/>
      <c r="AL78" s="298"/>
      <c r="AM78" s="298"/>
      <c r="AN78" s="68"/>
      <c r="AO78" s="1412" t="s">
        <v>232</v>
      </c>
      <c r="AP78" s="68"/>
      <c r="AQ78" s="68"/>
    </row>
    <row r="79" spans="1:67" s="63" customFormat="1" ht="20.25" hidden="1" customHeight="1" x14ac:dyDescent="0.2">
      <c r="A79" s="995"/>
      <c r="B79" s="2080" t="s">
        <v>233</v>
      </c>
      <c r="C79" s="1470">
        <v>13071.184740000001</v>
      </c>
      <c r="D79" s="2099"/>
      <c r="E79" s="1924"/>
      <c r="F79" s="331" t="s">
        <v>223</v>
      </c>
      <c r="G79" s="2041"/>
      <c r="H79" s="905"/>
      <c r="I79" s="1338"/>
      <c r="J79" s="928">
        <v>0</v>
      </c>
      <c r="K79" s="1320">
        <v>0</v>
      </c>
      <c r="L79" s="908">
        <f t="shared" si="29"/>
        <v>0</v>
      </c>
      <c r="M79" s="883">
        <f t="shared" si="30"/>
        <v>0</v>
      </c>
      <c r="N79" s="884">
        <f>SUM(M79:M81)</f>
        <v>0</v>
      </c>
      <c r="O79" s="969" t="str">
        <f t="shared" si="10"/>
        <v xml:space="preserve"> </v>
      </c>
      <c r="P79" s="912"/>
      <c r="Q79" s="929">
        <v>9.3840000000000003</v>
      </c>
      <c r="R79" s="930"/>
      <c r="S79" s="931">
        <v>23.811900000000001</v>
      </c>
      <c r="T79" s="931"/>
      <c r="U79" s="913">
        <v>65.688000000000002</v>
      </c>
      <c r="V79" s="914">
        <v>1.5248999999999999</v>
      </c>
      <c r="W79" s="932">
        <v>39.881999999999998</v>
      </c>
      <c r="X79" s="932">
        <v>16.422000000000001</v>
      </c>
      <c r="Y79" s="1728">
        <v>0.55130999999999997</v>
      </c>
      <c r="Z79" s="1768"/>
      <c r="AA79" s="933">
        <v>1.16127E-2</v>
      </c>
      <c r="AB79" s="1790">
        <f t="shared" si="32"/>
        <v>0</v>
      </c>
      <c r="AC79" s="1286">
        <f t="shared" si="33"/>
        <v>0</v>
      </c>
      <c r="AD79" s="1286">
        <f t="shared" ref="AD79:AD111" si="34">($G79*U79/$G$125)</f>
        <v>0</v>
      </c>
      <c r="AE79" s="1286">
        <f t="shared" ref="AE79:AE111" si="35">($G79*V79/$G$125)</f>
        <v>0</v>
      </c>
      <c r="AF79" s="1286">
        <f t="shared" ref="AF79:AF111" si="36">($G79*W79/$G$125)</f>
        <v>0</v>
      </c>
      <c r="AG79" s="1289">
        <f>($G79*X79/$G$125)</f>
        <v>0</v>
      </c>
      <c r="AH79" s="1287">
        <f t="shared" ref="AH79:AH111" si="37">($G79*Y79/$G$125)</f>
        <v>0</v>
      </c>
      <c r="AI79" s="1759">
        <f t="shared" ref="AI79:AI84" si="38">($G79*Z79/$G$125)</f>
        <v>0</v>
      </c>
      <c r="AJ79" s="1288">
        <f t="shared" si="31"/>
        <v>0</v>
      </c>
      <c r="AK79" s="314"/>
      <c r="AL79" s="298"/>
      <c r="AM79" s="298"/>
      <c r="AN79" s="68"/>
      <c r="AO79" s="1412" t="s">
        <v>234</v>
      </c>
      <c r="AP79" s="68"/>
      <c r="AQ79" s="68"/>
    </row>
    <row r="80" spans="1:67" s="1336" customFormat="1" ht="21" hidden="1" customHeight="1" x14ac:dyDescent="0.2">
      <c r="A80" s="1614" t="s">
        <v>235</v>
      </c>
      <c r="B80" s="2080" t="s">
        <v>120</v>
      </c>
      <c r="C80" s="2112">
        <v>13071.184740000001</v>
      </c>
      <c r="D80" s="2102"/>
      <c r="E80" s="1926"/>
      <c r="F80" s="1240"/>
      <c r="G80" s="2224"/>
      <c r="H80" s="1531"/>
      <c r="I80" s="1598"/>
      <c r="J80" s="1532"/>
      <c r="K80" s="1533"/>
      <c r="L80" s="1534"/>
      <c r="M80" s="1535">
        <f t="shared" si="30"/>
        <v>0</v>
      </c>
      <c r="N80" s="1536"/>
      <c r="O80" s="1570" t="str">
        <f t="shared" si="10"/>
        <v xml:space="preserve"> </v>
      </c>
      <c r="P80" s="1568"/>
      <c r="Q80" s="1537">
        <v>9.7359000000000009</v>
      </c>
      <c r="R80" s="1538"/>
      <c r="S80" s="1539">
        <v>24.750299999999999</v>
      </c>
      <c r="T80" s="1539"/>
      <c r="U80" s="1540">
        <v>65.688000000000002</v>
      </c>
      <c r="V80" s="1541">
        <v>1.5248999999999999</v>
      </c>
      <c r="W80" s="1542">
        <v>42.228000000000002</v>
      </c>
      <c r="X80" s="1542">
        <v>16.422000000000001</v>
      </c>
      <c r="Y80" s="1737">
        <v>0.55130999999999997</v>
      </c>
      <c r="Z80" s="1771"/>
      <c r="AA80" s="1543"/>
      <c r="AB80" s="1790">
        <f t="shared" si="32"/>
        <v>0</v>
      </c>
      <c r="AC80" s="1286">
        <f t="shared" si="33"/>
        <v>0</v>
      </c>
      <c r="AD80" s="1286">
        <f t="shared" si="34"/>
        <v>0</v>
      </c>
      <c r="AE80" s="1286">
        <f t="shared" si="35"/>
        <v>0</v>
      </c>
      <c r="AF80" s="1286">
        <f t="shared" si="36"/>
        <v>0</v>
      </c>
      <c r="AG80" s="1289">
        <f t="shared" ref="AG80:AG112" si="39">($G80*X80/$G$125)</f>
        <v>0</v>
      </c>
      <c r="AH80" s="1287">
        <f t="shared" si="37"/>
        <v>0</v>
      </c>
      <c r="AI80" s="1759">
        <f t="shared" si="38"/>
        <v>0</v>
      </c>
      <c r="AJ80" s="1407">
        <f t="shared" si="31"/>
        <v>0</v>
      </c>
      <c r="AK80" s="1408"/>
      <c r="AL80" s="1409"/>
      <c r="AM80" s="1409"/>
      <c r="AN80" s="1353"/>
      <c r="AO80" s="1599"/>
      <c r="AP80" s="133"/>
      <c r="AQ80" s="133"/>
    </row>
    <row r="81" spans="1:67" s="180" customFormat="1" ht="21" hidden="1" customHeight="1" x14ac:dyDescent="0.2">
      <c r="A81" s="949" t="s">
        <v>236</v>
      </c>
      <c r="B81" s="2080" t="s">
        <v>120</v>
      </c>
      <c r="C81" s="2113">
        <v>13071.184740000001</v>
      </c>
      <c r="D81" s="2098"/>
      <c r="E81" s="1923"/>
      <c r="F81" s="171" t="s">
        <v>223</v>
      </c>
      <c r="G81" s="2223"/>
      <c r="H81" s="1007"/>
      <c r="I81" s="1024"/>
      <c r="J81" s="934"/>
      <c r="K81" s="1325"/>
      <c r="L81" s="935">
        <f t="shared" si="29"/>
        <v>0</v>
      </c>
      <c r="M81" s="920">
        <f t="shared" si="30"/>
        <v>0</v>
      </c>
      <c r="N81" s="921"/>
      <c r="O81" s="970" t="str">
        <f t="shared" si="10"/>
        <v xml:space="preserve"> </v>
      </c>
      <c r="P81" s="923"/>
      <c r="Q81" s="936">
        <v>10.3224</v>
      </c>
      <c r="R81" s="1025"/>
      <c r="S81" s="938">
        <v>24.046500000000002</v>
      </c>
      <c r="T81" s="938"/>
      <c r="U81" s="979">
        <v>65.688000000000002</v>
      </c>
      <c r="V81" s="980">
        <v>1.5248999999999999</v>
      </c>
      <c r="W81" s="939">
        <v>39.881999999999998</v>
      </c>
      <c r="X81" s="939">
        <v>16.422000000000001</v>
      </c>
      <c r="Y81" s="1734">
        <v>0.55130999999999997</v>
      </c>
      <c r="Z81" s="1767"/>
      <c r="AA81" s="940">
        <v>1.16127E-2</v>
      </c>
      <c r="AB81" s="1790">
        <f t="shared" si="32"/>
        <v>0</v>
      </c>
      <c r="AC81" s="1286">
        <f t="shared" si="33"/>
        <v>0</v>
      </c>
      <c r="AD81" s="1286">
        <f t="shared" si="34"/>
        <v>0</v>
      </c>
      <c r="AE81" s="1286">
        <f t="shared" si="35"/>
        <v>0</v>
      </c>
      <c r="AF81" s="1286">
        <f t="shared" si="36"/>
        <v>0</v>
      </c>
      <c r="AG81" s="1289">
        <f t="shared" si="39"/>
        <v>0</v>
      </c>
      <c r="AH81" s="1287">
        <f t="shared" si="37"/>
        <v>0</v>
      </c>
      <c r="AI81" s="1759">
        <f t="shared" si="38"/>
        <v>0</v>
      </c>
      <c r="AJ81" s="1292">
        <f t="shared" si="31"/>
        <v>0</v>
      </c>
      <c r="AK81" s="316"/>
      <c r="AL81" s="357"/>
      <c r="AM81" s="307"/>
      <c r="AN81" s="1026"/>
      <c r="AO81" s="1027" t="s">
        <v>237</v>
      </c>
      <c r="AP81" s="1026"/>
      <c r="AQ81" s="1026"/>
      <c r="AR81" s="1028"/>
      <c r="AS81" s="1028"/>
      <c r="AT81" s="1028"/>
      <c r="AU81" s="1028"/>
      <c r="AV81" s="1028"/>
      <c r="AW81" s="1028"/>
      <c r="AX81" s="1028"/>
      <c r="AY81" s="1028"/>
      <c r="AZ81" s="1028"/>
      <c r="BA81" s="1028"/>
      <c r="BB81" s="1028"/>
      <c r="BC81" s="1028"/>
      <c r="BD81" s="1028"/>
      <c r="BE81" s="1028"/>
      <c r="BF81" s="1028"/>
      <c r="BG81" s="1028"/>
      <c r="BH81" s="1028"/>
      <c r="BI81" s="1028"/>
      <c r="BJ81" s="1028"/>
      <c r="BK81" s="1028"/>
      <c r="BL81" s="1028"/>
      <c r="BM81" s="1028"/>
      <c r="BN81" s="1028"/>
      <c r="BO81" s="1028"/>
    </row>
    <row r="82" spans="1:67" s="2007" customFormat="1" ht="21" hidden="1" customHeight="1" x14ac:dyDescent="0.2">
      <c r="A82" s="995"/>
      <c r="B82" s="1469" t="s">
        <v>238</v>
      </c>
      <c r="C82" s="1470">
        <v>15241.457609999999</v>
      </c>
      <c r="D82" s="2099"/>
      <c r="E82" s="1924">
        <v>0</v>
      </c>
      <c r="F82" s="331" t="s">
        <v>15</v>
      </c>
      <c r="G82" s="2041"/>
      <c r="H82" s="2002"/>
      <c r="I82" s="2003"/>
      <c r="J82" s="928">
        <v>0</v>
      </c>
      <c r="K82" s="1320">
        <v>0</v>
      </c>
      <c r="L82" s="942">
        <f t="shared" si="29"/>
        <v>0</v>
      </c>
      <c r="M82" s="909">
        <f t="shared" si="30"/>
        <v>0</v>
      </c>
      <c r="N82" s="910">
        <f>SUM(M82:M83)</f>
        <v>0</v>
      </c>
      <c r="O82" s="969" t="str">
        <f t="shared" si="10"/>
        <v xml:space="preserve"> </v>
      </c>
      <c r="P82" s="912"/>
      <c r="Q82" s="929">
        <v>10.2051</v>
      </c>
      <c r="R82" s="930"/>
      <c r="S82" s="931">
        <v>26.509799999999998</v>
      </c>
      <c r="T82" s="931"/>
      <c r="U82" s="913">
        <v>84.456000000000003</v>
      </c>
      <c r="V82" s="914">
        <v>1.44279</v>
      </c>
      <c r="W82" s="932">
        <v>21.114000000000001</v>
      </c>
      <c r="X82" s="932">
        <v>23.46</v>
      </c>
      <c r="Y82" s="1728">
        <v>1.2785700000000002</v>
      </c>
      <c r="Z82" s="1768">
        <v>0.19354500000000002</v>
      </c>
      <c r="AA82" s="933">
        <v>1.16127E-2</v>
      </c>
      <c r="AB82" s="1790">
        <f t="shared" si="32"/>
        <v>0</v>
      </c>
      <c r="AC82" s="1286">
        <f t="shared" si="33"/>
        <v>0</v>
      </c>
      <c r="AD82" s="1286">
        <f t="shared" si="34"/>
        <v>0</v>
      </c>
      <c r="AE82" s="1286">
        <f t="shared" si="35"/>
        <v>0</v>
      </c>
      <c r="AF82" s="1286">
        <f t="shared" si="36"/>
        <v>0</v>
      </c>
      <c r="AG82" s="1289">
        <f t="shared" si="39"/>
        <v>0</v>
      </c>
      <c r="AH82" s="1287">
        <f t="shared" si="37"/>
        <v>0</v>
      </c>
      <c r="AI82" s="1759">
        <f t="shared" si="38"/>
        <v>0</v>
      </c>
      <c r="AJ82" s="1292">
        <f t="shared" si="31"/>
        <v>0</v>
      </c>
      <c r="AK82" s="2004"/>
      <c r="AL82" s="2005"/>
      <c r="AM82" s="2005"/>
      <c r="AN82" s="81"/>
      <c r="AO82" s="2006" t="s">
        <v>239</v>
      </c>
      <c r="AP82" s="81"/>
      <c r="AQ82" s="81"/>
    </row>
    <row r="83" spans="1:67" s="165" customFormat="1" ht="21" hidden="1" customHeight="1" x14ac:dyDescent="0.2">
      <c r="A83" s="972" t="s">
        <v>229</v>
      </c>
      <c r="B83" s="1095" t="s">
        <v>103</v>
      </c>
      <c r="C83" s="1278">
        <v>15241.457609999999</v>
      </c>
      <c r="D83" s="2100"/>
      <c r="E83" s="1486"/>
      <c r="F83" s="332" t="s">
        <v>223</v>
      </c>
      <c r="G83" s="2225"/>
      <c r="H83" s="70"/>
      <c r="I83" s="1910"/>
      <c r="J83" s="899"/>
      <c r="K83" s="1323"/>
      <c r="L83" s="991">
        <f t="shared" si="29"/>
        <v>0</v>
      </c>
      <c r="M83" s="900">
        <f t="shared" si="30"/>
        <v>0</v>
      </c>
      <c r="N83" s="901"/>
      <c r="O83" s="984" t="str">
        <f t="shared" si="10"/>
        <v xml:space="preserve"> </v>
      </c>
      <c r="P83" s="903"/>
      <c r="Q83" s="944">
        <v>10.2051</v>
      </c>
      <c r="R83" s="945"/>
      <c r="S83" s="946">
        <v>26.392499999999998</v>
      </c>
      <c r="T83" s="946"/>
      <c r="U83" s="992">
        <v>84.456000000000003</v>
      </c>
      <c r="V83" s="993">
        <v>1.44279</v>
      </c>
      <c r="W83" s="947">
        <v>22.286999999999999</v>
      </c>
      <c r="X83" s="947">
        <v>23.46</v>
      </c>
      <c r="Y83" s="1735">
        <v>1.2785700000000002</v>
      </c>
      <c r="Z83" s="1769">
        <v>0.19354500000000002</v>
      </c>
      <c r="AA83" s="948">
        <v>1.16127E-2</v>
      </c>
      <c r="AB83" s="1790">
        <f t="shared" si="32"/>
        <v>0</v>
      </c>
      <c r="AC83" s="1286">
        <f t="shared" si="33"/>
        <v>0</v>
      </c>
      <c r="AD83" s="1286">
        <f t="shared" si="34"/>
        <v>0</v>
      </c>
      <c r="AE83" s="1286">
        <f t="shared" si="35"/>
        <v>0</v>
      </c>
      <c r="AF83" s="1286">
        <f t="shared" si="36"/>
        <v>0</v>
      </c>
      <c r="AG83" s="1289">
        <f t="shared" si="39"/>
        <v>0</v>
      </c>
      <c r="AH83" s="1287">
        <f t="shared" si="37"/>
        <v>0</v>
      </c>
      <c r="AI83" s="1759">
        <f t="shared" si="38"/>
        <v>0</v>
      </c>
      <c r="AJ83" s="1290">
        <f t="shared" si="31"/>
        <v>0</v>
      </c>
      <c r="AK83" s="315"/>
      <c r="AL83" s="356"/>
      <c r="AM83" s="298"/>
      <c r="AN83" s="68"/>
      <c r="AO83" s="249"/>
      <c r="AP83" s="68"/>
      <c r="AQ83" s="68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</row>
    <row r="84" spans="1:67" s="1411" customFormat="1" ht="21" customHeight="1" x14ac:dyDescent="0.2">
      <c r="A84" s="1845" t="s">
        <v>240</v>
      </c>
      <c r="B84" s="2093" t="s">
        <v>46</v>
      </c>
      <c r="C84" s="2115">
        <v>11869.059149999999</v>
      </c>
      <c r="D84" s="2081">
        <v>17.594999999999999</v>
      </c>
      <c r="E84" s="1922">
        <v>15.918367346938776</v>
      </c>
      <c r="F84" s="1397" t="s">
        <v>14</v>
      </c>
      <c r="G84" s="2032">
        <v>14.076000000000001</v>
      </c>
      <c r="H84" s="1846">
        <f>G84*(100-P84)/100</f>
        <v>10.548000000000002</v>
      </c>
      <c r="I84" s="1847">
        <f>H84/H$125*100</f>
        <v>27.669062483605273</v>
      </c>
      <c r="J84" s="1389">
        <v>0</v>
      </c>
      <c r="K84" s="1390">
        <v>12100</v>
      </c>
      <c r="L84" s="1391">
        <f t="shared" si="29"/>
        <v>12100</v>
      </c>
      <c r="M84" s="1392">
        <f t="shared" si="30"/>
        <v>378.85499879829899</v>
      </c>
      <c r="N84" s="1393">
        <f>SUM(M84:M89)</f>
        <v>726.13874769673976</v>
      </c>
      <c r="O84" s="1574">
        <f>IF(N84=0," ",(K84)/N84)</f>
        <v>16.663482066451262</v>
      </c>
      <c r="P84" s="1394">
        <v>14.193300000000001</v>
      </c>
      <c r="Q84" s="1399">
        <v>8.7974999999999994</v>
      </c>
      <c r="R84" s="1400"/>
      <c r="S84" s="1401">
        <v>22.7562</v>
      </c>
      <c r="T84" s="1401"/>
      <c r="U84" s="1395">
        <v>56.304000000000002</v>
      </c>
      <c r="V84" s="1396">
        <v>1.56009</v>
      </c>
      <c r="W84" s="1402">
        <v>42.228000000000002</v>
      </c>
      <c r="X84" s="1402">
        <v>14.076000000000001</v>
      </c>
      <c r="Y84" s="1733">
        <v>0.62168999999999996</v>
      </c>
      <c r="Z84" s="1766">
        <v>0.137241</v>
      </c>
      <c r="AA84" s="1403">
        <v>1.16127E-2</v>
      </c>
      <c r="AB84" s="1789">
        <f t="shared" si="32"/>
        <v>0.9</v>
      </c>
      <c r="AC84" s="1404">
        <f t="shared" si="33"/>
        <v>2.3279999999999998</v>
      </c>
      <c r="AD84" s="1404">
        <f t="shared" si="34"/>
        <v>5.76</v>
      </c>
      <c r="AE84" s="1404">
        <f t="shared" si="35"/>
        <v>0.15960000000000002</v>
      </c>
      <c r="AF84" s="1404">
        <f t="shared" si="36"/>
        <v>4.32</v>
      </c>
      <c r="AG84" s="1405">
        <f t="shared" si="39"/>
        <v>1.44</v>
      </c>
      <c r="AH84" s="1406">
        <f t="shared" si="37"/>
        <v>6.3600000000000004E-2</v>
      </c>
      <c r="AI84" s="1758">
        <f t="shared" si="38"/>
        <v>1.4040000000000002E-2</v>
      </c>
      <c r="AJ84" s="1407">
        <f t="shared" si="31"/>
        <v>1.1880000000000003E-3</v>
      </c>
      <c r="AK84" s="1408">
        <v>9.1494</v>
      </c>
      <c r="AL84" s="1409">
        <v>91.494</v>
      </c>
      <c r="AM84" s="1409"/>
      <c r="AN84" s="1353"/>
      <c r="AO84" s="1410" t="s">
        <v>241</v>
      </c>
      <c r="AP84" s="2013"/>
      <c r="AQ84" s="2013"/>
      <c r="AR84" s="1579"/>
      <c r="AS84" s="1336"/>
      <c r="AT84" s="1336"/>
      <c r="AU84" s="1336"/>
      <c r="AV84" s="1336"/>
      <c r="AW84" s="1336"/>
      <c r="AX84" s="1336"/>
      <c r="AY84" s="1336"/>
      <c r="AZ84" s="1336"/>
      <c r="BA84" s="1336"/>
      <c r="BB84" s="1336"/>
      <c r="BC84" s="1336"/>
      <c r="BD84" s="1336"/>
      <c r="BE84" s="1336"/>
      <c r="BF84" s="1336"/>
      <c r="BG84" s="1336"/>
      <c r="BH84" s="1336"/>
      <c r="BI84" s="1336"/>
      <c r="BJ84" s="1336"/>
      <c r="BK84" s="1336"/>
      <c r="BL84" s="1336"/>
      <c r="BM84" s="1336"/>
      <c r="BN84" s="1336"/>
      <c r="BO84" s="1336"/>
    </row>
    <row r="85" spans="1:67" s="1336" customFormat="1" ht="21" customHeight="1" x14ac:dyDescent="0.2">
      <c r="A85" s="1840" t="s">
        <v>242</v>
      </c>
      <c r="B85" s="2078" t="s">
        <v>46</v>
      </c>
      <c r="C85" s="1839">
        <v>11869.059149999999</v>
      </c>
      <c r="D85" s="2102"/>
      <c r="E85" s="1926"/>
      <c r="F85" s="1240" t="s">
        <v>243</v>
      </c>
      <c r="G85" s="2038">
        <v>12.903</v>
      </c>
      <c r="H85" s="1245"/>
      <c r="I85" s="1694"/>
      <c r="J85" s="1532"/>
      <c r="K85" s="1533"/>
      <c r="L85" s="1695">
        <f t="shared" si="29"/>
        <v>0</v>
      </c>
      <c r="M85" s="1535">
        <f t="shared" si="30"/>
        <v>347.28374889844076</v>
      </c>
      <c r="N85" s="1536"/>
      <c r="O85" s="1696" t="str">
        <f t="shared" ref="O85:O113" si="40">IF(N85=0," ",(K85)/N85)</f>
        <v xml:space="preserve"> </v>
      </c>
      <c r="P85" s="1568"/>
      <c r="Q85" s="1537">
        <v>7.7417999999999996</v>
      </c>
      <c r="R85" s="1538"/>
      <c r="S85" s="1539">
        <v>22.7562</v>
      </c>
      <c r="T85" s="1539"/>
      <c r="U85" s="1540">
        <v>56.304000000000002</v>
      </c>
      <c r="V85" s="1541">
        <v>1.56009</v>
      </c>
      <c r="W85" s="1542">
        <v>42.228000000000002</v>
      </c>
      <c r="X85" s="1542">
        <v>14.076000000000001</v>
      </c>
      <c r="Y85" s="1737">
        <v>0.62168999999999996</v>
      </c>
      <c r="Z85" s="1771">
        <v>0.137241</v>
      </c>
      <c r="AA85" s="1543">
        <v>1.16127E-2</v>
      </c>
      <c r="AB85" s="1790">
        <f t="shared" si="32"/>
        <v>0.72599999999999998</v>
      </c>
      <c r="AC85" s="1286">
        <f t="shared" si="33"/>
        <v>2.1339999999999999</v>
      </c>
      <c r="AD85" s="1286">
        <f t="shared" si="34"/>
        <v>5.28</v>
      </c>
      <c r="AE85" s="1286">
        <f t="shared" si="35"/>
        <v>0.14630000000000001</v>
      </c>
      <c r="AF85" s="1286">
        <f t="shared" si="36"/>
        <v>3.96</v>
      </c>
      <c r="AG85" s="1289">
        <f t="shared" si="39"/>
        <v>1.32</v>
      </c>
      <c r="AH85" s="1287">
        <f t="shared" si="37"/>
        <v>5.8299999999999998E-2</v>
      </c>
      <c r="AI85" s="1759">
        <f t="shared" ref="AI85:AI117" si="41">($G85*Z85/$G$125)</f>
        <v>1.2870000000000001E-2</v>
      </c>
      <c r="AJ85" s="1407">
        <f t="shared" si="31"/>
        <v>1.0890000000000001E-3</v>
      </c>
      <c r="AK85" s="1408">
        <v>15.8355</v>
      </c>
      <c r="AL85" s="1409">
        <v>82.6965</v>
      </c>
      <c r="AM85" s="1409">
        <v>43.752899999999997</v>
      </c>
      <c r="AN85" s="1353"/>
      <c r="AO85" s="1593" t="s">
        <v>241</v>
      </c>
      <c r="AP85" s="2013"/>
      <c r="AQ85" s="2013"/>
      <c r="AR85" s="1579"/>
    </row>
    <row r="86" spans="1:67" s="63" customFormat="1" ht="21" hidden="1" customHeight="1" x14ac:dyDescent="0.2">
      <c r="A86" s="1337"/>
      <c r="B86" s="1095" t="s">
        <v>241</v>
      </c>
      <c r="C86" s="1278">
        <v>12049.43136</v>
      </c>
      <c r="D86" s="2100"/>
      <c r="E86" s="1486"/>
      <c r="F86" s="332" t="s">
        <v>243</v>
      </c>
      <c r="G86" s="1851"/>
      <c r="H86" s="70"/>
      <c r="I86" s="1910"/>
      <c r="J86" s="899"/>
      <c r="K86" s="1323"/>
      <c r="L86" s="991">
        <f t="shared" si="29"/>
        <v>0</v>
      </c>
      <c r="M86" s="900">
        <f t="shared" si="30"/>
        <v>0</v>
      </c>
      <c r="N86" s="901"/>
      <c r="O86" s="984" t="str">
        <f t="shared" si="40"/>
        <v xml:space="preserve"> </v>
      </c>
      <c r="P86" s="903"/>
      <c r="Q86" s="944">
        <v>8.6801999999999992</v>
      </c>
      <c r="R86" s="945"/>
      <c r="S86" s="946">
        <v>22.6389</v>
      </c>
      <c r="T86" s="946"/>
      <c r="U86" s="992">
        <v>56.304000000000002</v>
      </c>
      <c r="V86" s="993">
        <v>1.56009</v>
      </c>
      <c r="W86" s="947">
        <v>45.747</v>
      </c>
      <c r="X86" s="947">
        <v>15.249000000000001</v>
      </c>
      <c r="Y86" s="1735">
        <v>0.55130999999999997</v>
      </c>
      <c r="Z86" s="1769">
        <v>0.137241</v>
      </c>
      <c r="AA86" s="948">
        <v>1.16127E-2</v>
      </c>
      <c r="AB86" s="1790">
        <f t="shared" si="32"/>
        <v>0</v>
      </c>
      <c r="AC86" s="1286">
        <f t="shared" si="33"/>
        <v>0</v>
      </c>
      <c r="AD86" s="1286">
        <f t="shared" si="34"/>
        <v>0</v>
      </c>
      <c r="AE86" s="1286">
        <f t="shared" si="35"/>
        <v>0</v>
      </c>
      <c r="AF86" s="1286">
        <f t="shared" si="36"/>
        <v>0</v>
      </c>
      <c r="AG86" s="1289">
        <f t="shared" si="39"/>
        <v>0</v>
      </c>
      <c r="AH86" s="1287">
        <f t="shared" si="37"/>
        <v>0</v>
      </c>
      <c r="AI86" s="1759">
        <f t="shared" si="41"/>
        <v>0</v>
      </c>
      <c r="AJ86" s="1288">
        <f t="shared" si="31"/>
        <v>0</v>
      </c>
      <c r="AK86" s="314"/>
      <c r="AL86" s="298"/>
      <c r="AM86" s="298"/>
      <c r="AN86" s="68"/>
      <c r="AO86" s="1297"/>
      <c r="AP86" s="1889"/>
      <c r="AQ86" s="1889"/>
      <c r="AR86" s="1890"/>
    </row>
    <row r="87" spans="1:67" s="63" customFormat="1" ht="21.75" customHeight="1" x14ac:dyDescent="0.2">
      <c r="A87" s="1337" t="s">
        <v>244</v>
      </c>
      <c r="B87" s="1095" t="s">
        <v>46</v>
      </c>
      <c r="C87" s="1278">
        <v>11869.059149999999</v>
      </c>
      <c r="D87" s="2100"/>
      <c r="E87" s="1486"/>
      <c r="F87" s="332" t="s">
        <v>243</v>
      </c>
      <c r="G87" s="1851"/>
      <c r="H87" s="70"/>
      <c r="I87" s="1910"/>
      <c r="J87" s="1871"/>
      <c r="K87" s="1872"/>
      <c r="L87" s="991">
        <f t="shared" si="29"/>
        <v>0</v>
      </c>
      <c r="M87" s="900">
        <f t="shared" si="30"/>
        <v>0</v>
      </c>
      <c r="N87" s="901"/>
      <c r="O87" s="984" t="str">
        <f t="shared" si="40"/>
        <v xml:space="preserve"> </v>
      </c>
      <c r="P87" s="903"/>
      <c r="Q87" s="944">
        <v>8.5629000000000008</v>
      </c>
      <c r="R87" s="945"/>
      <c r="S87" s="946">
        <v>23.46</v>
      </c>
      <c r="T87" s="946"/>
      <c r="U87" s="992">
        <v>56.304000000000002</v>
      </c>
      <c r="V87" s="993">
        <v>1.56009</v>
      </c>
      <c r="W87" s="947">
        <v>42.228000000000002</v>
      </c>
      <c r="X87" s="947">
        <v>14.076000000000001</v>
      </c>
      <c r="Y87" s="1735">
        <v>0.62168999999999996</v>
      </c>
      <c r="Z87" s="1769">
        <v>0.137241</v>
      </c>
      <c r="AA87" s="948">
        <v>1.16127E-2</v>
      </c>
      <c r="AB87" s="1790">
        <f t="shared" si="32"/>
        <v>0</v>
      </c>
      <c r="AC87" s="1286">
        <f t="shared" si="33"/>
        <v>0</v>
      </c>
      <c r="AD87" s="1286">
        <f t="shared" si="34"/>
        <v>0</v>
      </c>
      <c r="AE87" s="1286">
        <f t="shared" si="35"/>
        <v>0</v>
      </c>
      <c r="AF87" s="1286">
        <f t="shared" si="36"/>
        <v>0</v>
      </c>
      <c r="AG87" s="1289">
        <f t="shared" si="39"/>
        <v>0</v>
      </c>
      <c r="AH87" s="1287">
        <f t="shared" si="37"/>
        <v>0</v>
      </c>
      <c r="AI87" s="1759">
        <f t="shared" si="41"/>
        <v>0</v>
      </c>
      <c r="AJ87" s="1288">
        <f t="shared" si="31"/>
        <v>0</v>
      </c>
      <c r="AK87" s="314">
        <v>15.8355</v>
      </c>
      <c r="AL87" s="298">
        <v>82.6965</v>
      </c>
      <c r="AM87" s="298">
        <v>43.752899999999997</v>
      </c>
      <c r="AN87" s="68"/>
      <c r="AO87" s="1021" t="s">
        <v>241</v>
      </c>
      <c r="AP87" s="68"/>
      <c r="AQ87" s="68"/>
    </row>
    <row r="88" spans="1:67" s="63" customFormat="1" ht="21.75" customHeight="1" x14ac:dyDescent="0.2">
      <c r="A88" s="1337" t="s">
        <v>219</v>
      </c>
      <c r="B88" s="1095" t="s">
        <v>46</v>
      </c>
      <c r="C88" s="1278">
        <v>11869.059149999999</v>
      </c>
      <c r="D88" s="2100"/>
      <c r="E88" s="1486"/>
      <c r="F88" s="332" t="s">
        <v>243</v>
      </c>
      <c r="G88" s="2043"/>
      <c r="H88" s="70"/>
      <c r="I88" s="1910"/>
      <c r="J88" s="1608"/>
      <c r="K88" s="1609"/>
      <c r="L88" s="889"/>
      <c r="M88" s="900">
        <f t="shared" si="30"/>
        <v>0</v>
      </c>
      <c r="N88" s="901"/>
      <c r="O88" s="984" t="str">
        <f t="shared" si="40"/>
        <v xml:space="preserve"> </v>
      </c>
      <c r="P88" s="903"/>
      <c r="Q88" s="944">
        <v>8.0937000000000001</v>
      </c>
      <c r="R88" s="945"/>
      <c r="S88" s="946">
        <v>22.7562</v>
      </c>
      <c r="T88" s="946"/>
      <c r="U88" s="992">
        <v>56.304000000000002</v>
      </c>
      <c r="V88" s="993">
        <v>1.56009</v>
      </c>
      <c r="W88" s="947">
        <v>48.093000000000004</v>
      </c>
      <c r="X88" s="947">
        <v>15.249000000000001</v>
      </c>
      <c r="Y88" s="1735">
        <v>0.58650000000000002</v>
      </c>
      <c r="Z88" s="1769">
        <v>0.15131700000000001</v>
      </c>
      <c r="AA88" s="948"/>
      <c r="AB88" s="1790">
        <f t="shared" si="32"/>
        <v>0</v>
      </c>
      <c r="AC88" s="1286">
        <f t="shared" si="33"/>
        <v>0</v>
      </c>
      <c r="AD88" s="1286">
        <f t="shared" si="34"/>
        <v>0</v>
      </c>
      <c r="AE88" s="1286">
        <f t="shared" si="35"/>
        <v>0</v>
      </c>
      <c r="AF88" s="1286">
        <f t="shared" si="36"/>
        <v>0</v>
      </c>
      <c r="AG88" s="1289">
        <f t="shared" si="39"/>
        <v>0</v>
      </c>
      <c r="AH88" s="1287">
        <f t="shared" si="37"/>
        <v>0</v>
      </c>
      <c r="AI88" s="1759">
        <f t="shared" si="41"/>
        <v>0</v>
      </c>
      <c r="AJ88" s="1288"/>
      <c r="AK88" s="314"/>
      <c r="AL88" s="298"/>
      <c r="AM88" s="298"/>
      <c r="AN88" s="68"/>
      <c r="AO88" s="1012"/>
      <c r="AP88" s="68"/>
      <c r="AQ88" s="68"/>
    </row>
    <row r="89" spans="1:67" s="165" customFormat="1" ht="21.75" hidden="1" customHeight="1" x14ac:dyDescent="0.2">
      <c r="A89" s="1841" t="s">
        <v>224</v>
      </c>
      <c r="B89" s="1316" t="s">
        <v>46</v>
      </c>
      <c r="C89" s="873">
        <v>10908.982110000001</v>
      </c>
      <c r="D89" s="2100"/>
      <c r="E89" s="1486"/>
      <c r="F89" s="171" t="s">
        <v>243</v>
      </c>
      <c r="G89" s="1852"/>
      <c r="H89" s="1007"/>
      <c r="I89" s="1024"/>
      <c r="J89" s="919"/>
      <c r="K89" s="1324"/>
      <c r="L89" s="978">
        <f t="shared" si="29"/>
        <v>0</v>
      </c>
      <c r="M89" s="920">
        <f t="shared" si="30"/>
        <v>0</v>
      </c>
      <c r="N89" s="921"/>
      <c r="O89" s="1576" t="str">
        <f t="shared" si="40"/>
        <v xml:space="preserve"> </v>
      </c>
      <c r="P89" s="1603"/>
      <c r="Q89" s="936">
        <v>10.3224</v>
      </c>
      <c r="R89" s="937"/>
      <c r="S89" s="938">
        <v>24.046500000000002</v>
      </c>
      <c r="T89" s="938"/>
      <c r="U89" s="979">
        <v>57.476999999999997</v>
      </c>
      <c r="V89" s="980">
        <v>1.4779800000000001</v>
      </c>
      <c r="W89" s="939">
        <v>46.92</v>
      </c>
      <c r="X89" s="939">
        <v>17.594999999999999</v>
      </c>
      <c r="Y89" s="1734">
        <v>0.85629</v>
      </c>
      <c r="Z89" s="1767">
        <v>0.15131700000000001</v>
      </c>
      <c r="AA89" s="940">
        <v>1.16127E-2</v>
      </c>
      <c r="AB89" s="1790">
        <f t="shared" si="32"/>
        <v>0</v>
      </c>
      <c r="AC89" s="1286">
        <f t="shared" si="33"/>
        <v>0</v>
      </c>
      <c r="AD89" s="1286">
        <f t="shared" si="34"/>
        <v>0</v>
      </c>
      <c r="AE89" s="1286">
        <f t="shared" si="35"/>
        <v>0</v>
      </c>
      <c r="AF89" s="1286">
        <f t="shared" si="36"/>
        <v>0</v>
      </c>
      <c r="AG89" s="1289">
        <f t="shared" si="39"/>
        <v>0</v>
      </c>
      <c r="AH89" s="1287">
        <f t="shared" si="37"/>
        <v>0</v>
      </c>
      <c r="AI89" s="1759">
        <f t="shared" si="41"/>
        <v>0</v>
      </c>
      <c r="AJ89" s="1288">
        <f t="shared" ref="AJ89:AJ94" si="42">($G89*AA89/$G$125)</f>
        <v>0</v>
      </c>
      <c r="AK89" s="1011">
        <v>15.8355</v>
      </c>
      <c r="AL89" s="1911">
        <v>82.6965</v>
      </c>
      <c r="AM89" s="298">
        <v>43.752899999999997</v>
      </c>
      <c r="AN89" s="68"/>
      <c r="AO89" s="1012" t="s">
        <v>241</v>
      </c>
      <c r="AP89" s="68"/>
      <c r="AQ89" s="68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63"/>
      <c r="BD89" s="63"/>
      <c r="BE89" s="63"/>
      <c r="BF89" s="63"/>
      <c r="BG89" s="63"/>
      <c r="BH89" s="63"/>
      <c r="BI89" s="63"/>
      <c r="BJ89" s="63"/>
      <c r="BK89" s="63"/>
      <c r="BL89" s="63"/>
      <c r="BM89" s="63"/>
      <c r="BN89" s="63"/>
      <c r="BO89" s="63"/>
    </row>
    <row r="90" spans="1:67" s="63" customFormat="1" ht="21" hidden="1" customHeight="1" x14ac:dyDescent="0.2">
      <c r="A90" s="995"/>
      <c r="B90" s="1469" t="s">
        <v>245</v>
      </c>
      <c r="C90" s="1470">
        <v>11023.05636</v>
      </c>
      <c r="D90" s="2103"/>
      <c r="E90" s="1924">
        <v>0</v>
      </c>
      <c r="F90" s="331" t="s">
        <v>112</v>
      </c>
      <c r="G90" s="2034"/>
      <c r="H90" s="2051"/>
      <c r="I90" s="1834"/>
      <c r="J90" s="928">
        <v>0</v>
      </c>
      <c r="K90" s="1320">
        <v>0</v>
      </c>
      <c r="L90" s="908">
        <f t="shared" si="29"/>
        <v>0</v>
      </c>
      <c r="M90" s="883">
        <f t="shared" si="30"/>
        <v>0</v>
      </c>
      <c r="N90" s="884">
        <f>SUM(M90:M91)</f>
        <v>0</v>
      </c>
      <c r="O90" s="969" t="str">
        <f t="shared" si="40"/>
        <v xml:space="preserve"> </v>
      </c>
      <c r="P90" s="1610"/>
      <c r="Q90" s="929">
        <v>8.6801999999999992</v>
      </c>
      <c r="R90" s="930"/>
      <c r="S90" s="931">
        <v>24.163799999999998</v>
      </c>
      <c r="T90" s="931"/>
      <c r="U90" s="913">
        <v>55.131</v>
      </c>
      <c r="V90" s="914">
        <v>1.4662500000000001</v>
      </c>
      <c r="W90" s="932">
        <v>49.265999999999998</v>
      </c>
      <c r="X90" s="932">
        <v>15.249000000000001</v>
      </c>
      <c r="Y90" s="1728">
        <v>0.50439000000000001</v>
      </c>
      <c r="Z90" s="1768">
        <v>0.33078599999999997</v>
      </c>
      <c r="AA90" s="933">
        <v>1.16127E-2</v>
      </c>
      <c r="AB90" s="1790">
        <f t="shared" si="32"/>
        <v>0</v>
      </c>
      <c r="AC90" s="1286">
        <f t="shared" si="33"/>
        <v>0</v>
      </c>
      <c r="AD90" s="1286">
        <f t="shared" si="34"/>
        <v>0</v>
      </c>
      <c r="AE90" s="1286">
        <f t="shared" si="35"/>
        <v>0</v>
      </c>
      <c r="AF90" s="1286">
        <f t="shared" si="36"/>
        <v>0</v>
      </c>
      <c r="AG90" s="2016">
        <f t="shared" si="39"/>
        <v>0</v>
      </c>
      <c r="AH90" s="1287">
        <f t="shared" si="37"/>
        <v>0</v>
      </c>
      <c r="AI90" s="1759">
        <f t="shared" si="41"/>
        <v>0</v>
      </c>
      <c r="AJ90" s="1288">
        <f t="shared" si="42"/>
        <v>0</v>
      </c>
      <c r="AK90" s="1485"/>
      <c r="AL90" s="307"/>
      <c r="AM90" s="307"/>
      <c r="AN90" s="68"/>
      <c r="AO90" s="2052" t="s">
        <v>241</v>
      </c>
      <c r="AP90" s="68"/>
      <c r="AQ90" s="68"/>
    </row>
    <row r="91" spans="1:67" s="132" customFormat="1" ht="21" hidden="1" customHeight="1" x14ac:dyDescent="0.2">
      <c r="A91" s="1004" t="s">
        <v>246</v>
      </c>
      <c r="B91" s="1316" t="s">
        <v>111</v>
      </c>
      <c r="C91" s="873">
        <v>9996.6813600000005</v>
      </c>
      <c r="D91" s="2098"/>
      <c r="E91" s="1923"/>
      <c r="F91" s="171" t="s">
        <v>247</v>
      </c>
      <c r="G91" s="1852"/>
      <c r="H91" s="1007"/>
      <c r="I91" s="1024"/>
      <c r="J91" s="934"/>
      <c r="K91" s="1325"/>
      <c r="L91" s="978">
        <f t="shared" si="29"/>
        <v>0</v>
      </c>
      <c r="M91" s="920">
        <f t="shared" si="30"/>
        <v>0</v>
      </c>
      <c r="N91" s="921">
        <f>SUM(M91:M92)</f>
        <v>0</v>
      </c>
      <c r="O91" s="1576" t="str">
        <f t="shared" si="40"/>
        <v xml:space="preserve"> </v>
      </c>
      <c r="P91" s="1603"/>
      <c r="Q91" s="936">
        <v>7.8590999999999998</v>
      </c>
      <c r="R91" s="937"/>
      <c r="S91" s="938">
        <v>24.9849</v>
      </c>
      <c r="T91" s="938"/>
      <c r="U91" s="924">
        <v>55.131</v>
      </c>
      <c r="V91" s="925">
        <v>1.4662500000000001</v>
      </c>
      <c r="W91" s="939">
        <v>48.093000000000004</v>
      </c>
      <c r="X91" s="939">
        <v>14.076000000000001</v>
      </c>
      <c r="Y91" s="1734">
        <v>0.55130999999999997</v>
      </c>
      <c r="Z91" s="1767">
        <v>0.33078599999999997</v>
      </c>
      <c r="AA91" s="940">
        <v>1.16127E-2</v>
      </c>
      <c r="AB91" s="1790">
        <f t="shared" si="32"/>
        <v>0</v>
      </c>
      <c r="AC91" s="1286">
        <f t="shared" si="33"/>
        <v>0</v>
      </c>
      <c r="AD91" s="1286">
        <f t="shared" si="34"/>
        <v>0</v>
      </c>
      <c r="AE91" s="1286">
        <f t="shared" si="35"/>
        <v>0</v>
      </c>
      <c r="AF91" s="1286">
        <f t="shared" si="36"/>
        <v>0</v>
      </c>
      <c r="AG91" s="1289">
        <f t="shared" si="39"/>
        <v>0</v>
      </c>
      <c r="AH91" s="1287">
        <f t="shared" si="37"/>
        <v>0</v>
      </c>
      <c r="AI91" s="1759">
        <f t="shared" si="41"/>
        <v>0</v>
      </c>
      <c r="AJ91" s="1290">
        <f t="shared" si="42"/>
        <v>0</v>
      </c>
      <c r="AK91" s="313"/>
      <c r="AL91" s="355">
        <v>91.494</v>
      </c>
      <c r="AM91" s="299"/>
      <c r="AN91" s="133"/>
      <c r="AO91" s="167" t="s">
        <v>248</v>
      </c>
      <c r="AP91" s="133"/>
      <c r="AQ91" s="133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</row>
    <row r="92" spans="1:67" s="132" customFormat="1" ht="21" hidden="1" customHeight="1" x14ac:dyDescent="0.2">
      <c r="A92" s="856"/>
      <c r="B92" s="2094" t="s">
        <v>249</v>
      </c>
      <c r="C92" s="1470">
        <v>13657.684740000001</v>
      </c>
      <c r="D92" s="2099"/>
      <c r="E92" s="1924"/>
      <c r="F92" s="168" t="s">
        <v>243</v>
      </c>
      <c r="G92" s="2036"/>
      <c r="H92" s="1006"/>
      <c r="I92" s="1912"/>
      <c r="J92" s="928"/>
      <c r="K92" s="1320"/>
      <c r="L92" s="908">
        <f t="shared" si="29"/>
        <v>0</v>
      </c>
      <c r="M92" s="883">
        <f t="shared" si="30"/>
        <v>0</v>
      </c>
      <c r="N92" s="884"/>
      <c r="O92" s="1577" t="str">
        <f t="shared" si="40"/>
        <v xml:space="preserve"> </v>
      </c>
      <c r="P92" s="1610"/>
      <c r="Q92" s="929"/>
      <c r="R92" s="930"/>
      <c r="S92" s="931"/>
      <c r="T92" s="931"/>
      <c r="U92" s="886">
        <v>82.11</v>
      </c>
      <c r="V92" s="887">
        <v>1.5014400000000001</v>
      </c>
      <c r="W92" s="932"/>
      <c r="X92" s="932"/>
      <c r="Y92" s="1728"/>
      <c r="Z92" s="1768"/>
      <c r="AA92" s="933"/>
      <c r="AB92" s="1790">
        <f t="shared" si="32"/>
        <v>0</v>
      </c>
      <c r="AC92" s="1286">
        <f t="shared" si="33"/>
        <v>0</v>
      </c>
      <c r="AD92" s="1286">
        <f t="shared" si="34"/>
        <v>0</v>
      </c>
      <c r="AE92" s="1286">
        <f t="shared" si="35"/>
        <v>0</v>
      </c>
      <c r="AF92" s="1286">
        <f t="shared" si="36"/>
        <v>0</v>
      </c>
      <c r="AG92" s="1289">
        <f t="shared" si="39"/>
        <v>0</v>
      </c>
      <c r="AH92" s="1287">
        <f t="shared" si="37"/>
        <v>0</v>
      </c>
      <c r="AI92" s="1759">
        <f t="shared" si="41"/>
        <v>0</v>
      </c>
      <c r="AJ92" s="1290">
        <f t="shared" si="42"/>
        <v>0</v>
      </c>
      <c r="AK92" s="313"/>
      <c r="AL92" s="355"/>
      <c r="AM92" s="299"/>
      <c r="AN92" s="133"/>
      <c r="AO92" s="1021" t="s">
        <v>248</v>
      </c>
      <c r="AP92" s="133"/>
      <c r="AQ92" s="133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</row>
    <row r="93" spans="1:67" s="165" customFormat="1" ht="21.75" hidden="1" customHeight="1" x14ac:dyDescent="0.2">
      <c r="A93" s="1004"/>
      <c r="B93" s="1316" t="s">
        <v>250</v>
      </c>
      <c r="C93" s="873">
        <v>16372.264800000001</v>
      </c>
      <c r="D93" s="2098"/>
      <c r="E93" s="1923"/>
      <c r="F93" s="171" t="s">
        <v>243</v>
      </c>
      <c r="G93" s="1852"/>
      <c r="H93" s="1007"/>
      <c r="I93" s="1024"/>
      <c r="J93" s="934"/>
      <c r="K93" s="1325"/>
      <c r="L93" s="978">
        <f t="shared" si="29"/>
        <v>0</v>
      </c>
      <c r="M93" s="920">
        <f t="shared" si="30"/>
        <v>0</v>
      </c>
      <c r="N93" s="921"/>
      <c r="O93" s="1576" t="str">
        <f t="shared" si="40"/>
        <v xml:space="preserve"> </v>
      </c>
      <c r="P93" s="1603"/>
      <c r="Q93" s="936">
        <v>9.1494</v>
      </c>
      <c r="R93" s="937"/>
      <c r="S93" s="938">
        <v>21.935099999999998</v>
      </c>
      <c r="T93" s="938"/>
      <c r="U93" s="924">
        <v>59.823</v>
      </c>
      <c r="V93" s="925">
        <v>1.58355</v>
      </c>
      <c r="W93" s="939">
        <v>39.881999999999998</v>
      </c>
      <c r="X93" s="939">
        <v>12.903</v>
      </c>
      <c r="Y93" s="1734">
        <v>0.60995999999999995</v>
      </c>
      <c r="Z93" s="1767"/>
      <c r="AA93" s="940">
        <v>9.384E-3</v>
      </c>
      <c r="AB93" s="1790">
        <f t="shared" si="32"/>
        <v>0</v>
      </c>
      <c r="AC93" s="1286">
        <f t="shared" si="33"/>
        <v>0</v>
      </c>
      <c r="AD93" s="1286">
        <f t="shared" si="34"/>
        <v>0</v>
      </c>
      <c r="AE93" s="1286">
        <f t="shared" si="35"/>
        <v>0</v>
      </c>
      <c r="AF93" s="1286">
        <f t="shared" si="36"/>
        <v>0</v>
      </c>
      <c r="AG93" s="1289">
        <f t="shared" si="39"/>
        <v>0</v>
      </c>
      <c r="AH93" s="1287">
        <f t="shared" si="37"/>
        <v>0</v>
      </c>
      <c r="AI93" s="1759">
        <f t="shared" si="41"/>
        <v>0</v>
      </c>
      <c r="AJ93" s="1291">
        <f t="shared" si="42"/>
        <v>0</v>
      </c>
      <c r="AK93" s="312"/>
      <c r="AL93" s="356">
        <v>91.494</v>
      </c>
      <c r="AM93" s="298"/>
      <c r="AN93" s="68"/>
      <c r="AO93" s="1600" t="s">
        <v>250</v>
      </c>
      <c r="AP93" s="68"/>
      <c r="AQ93" s="68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BH93" s="63"/>
      <c r="BI93" s="63"/>
      <c r="BJ93" s="63"/>
      <c r="BK93" s="63"/>
      <c r="BL93" s="63"/>
      <c r="BM93" s="63"/>
      <c r="BN93" s="63"/>
      <c r="BO93" s="63"/>
    </row>
    <row r="94" spans="1:67" s="1336" customFormat="1" ht="21" customHeight="1" thickBot="1" x14ac:dyDescent="0.25">
      <c r="A94" s="2204" t="s">
        <v>251</v>
      </c>
      <c r="B94" s="2080" t="s">
        <v>131</v>
      </c>
      <c r="C94" s="2115">
        <v>11362.78062</v>
      </c>
      <c r="D94" s="2081">
        <v>5.8650000000000002</v>
      </c>
      <c r="E94" s="1922">
        <v>8.5306122448979593</v>
      </c>
      <c r="F94" s="1397" t="s">
        <v>14</v>
      </c>
      <c r="G94" s="2032">
        <v>14.076000000000001</v>
      </c>
      <c r="H94" s="1888"/>
      <c r="I94" s="1594"/>
      <c r="J94" s="1389">
        <v>0</v>
      </c>
      <c r="K94" s="1390">
        <v>1900</v>
      </c>
      <c r="L94" s="1391">
        <f t="shared" si="29"/>
        <v>1900</v>
      </c>
      <c r="M94" s="1392">
        <f t="shared" si="30"/>
        <v>378.85499879829899</v>
      </c>
      <c r="N94" s="1393">
        <f>SUM(M94:M97)</f>
        <v>378.85499879829899</v>
      </c>
      <c r="O94" s="1574">
        <f t="shared" si="40"/>
        <v>5.015111338181268</v>
      </c>
      <c r="P94" s="1595"/>
      <c r="Q94" s="1399">
        <v>8.3283000000000005</v>
      </c>
      <c r="R94" s="1400"/>
      <c r="S94" s="1401">
        <v>21.231300000000001</v>
      </c>
      <c r="T94" s="1401"/>
      <c r="U94" s="1395">
        <v>49.265999999999998</v>
      </c>
      <c r="V94" s="1396">
        <v>1.57182</v>
      </c>
      <c r="W94" s="1402">
        <v>41.055</v>
      </c>
      <c r="X94" s="1402">
        <v>15.249000000000001</v>
      </c>
      <c r="Y94" s="1733">
        <v>0.52785000000000004</v>
      </c>
      <c r="Z94" s="1766">
        <v>0.16187400000000002</v>
      </c>
      <c r="AA94" s="1403"/>
      <c r="AB94" s="1789">
        <f t="shared" si="32"/>
        <v>0.85199999999999987</v>
      </c>
      <c r="AC94" s="1404">
        <f t="shared" si="33"/>
        <v>2.1720000000000002</v>
      </c>
      <c r="AD94" s="1404">
        <f t="shared" si="34"/>
        <v>5.04</v>
      </c>
      <c r="AE94" s="1404">
        <f t="shared" si="35"/>
        <v>0.16080000000000003</v>
      </c>
      <c r="AF94" s="1404">
        <f t="shared" si="36"/>
        <v>4.2</v>
      </c>
      <c r="AG94" s="1405">
        <f t="shared" si="39"/>
        <v>1.56</v>
      </c>
      <c r="AH94" s="1406">
        <f t="shared" si="37"/>
        <v>5.4000000000000006E-2</v>
      </c>
      <c r="AI94" s="1758">
        <f t="shared" si="41"/>
        <v>1.6560000000000002E-2</v>
      </c>
      <c r="AJ94" s="2205">
        <f t="shared" si="42"/>
        <v>0</v>
      </c>
      <c r="AK94" s="1722"/>
      <c r="AL94" s="2206">
        <v>90.320999999999998</v>
      </c>
      <c r="AM94" s="2206"/>
      <c r="AN94" s="1353"/>
      <c r="AO94" s="1599" t="s">
        <v>250</v>
      </c>
      <c r="AP94" s="1353"/>
      <c r="AQ94" s="1353"/>
    </row>
    <row r="95" spans="1:67" s="63" customFormat="1" ht="21" hidden="1" customHeight="1" x14ac:dyDescent="0.2">
      <c r="A95" s="2048" t="s">
        <v>252</v>
      </c>
      <c r="B95" s="1095" t="s">
        <v>131</v>
      </c>
      <c r="C95" s="1278">
        <v>10812.784379999999</v>
      </c>
      <c r="D95" s="2104"/>
      <c r="E95" s="1962"/>
      <c r="F95" s="332" t="s">
        <v>243</v>
      </c>
      <c r="G95" s="1851"/>
      <c r="H95" s="1489"/>
      <c r="I95" s="1715"/>
      <c r="J95" s="899"/>
      <c r="K95" s="1323"/>
      <c r="L95" s="991">
        <v>0</v>
      </c>
      <c r="M95" s="900">
        <f t="shared" si="30"/>
        <v>0</v>
      </c>
      <c r="N95" s="901"/>
      <c r="O95" s="984" t="s">
        <v>0</v>
      </c>
      <c r="P95" s="1607"/>
      <c r="Q95" s="944">
        <v>9.7359000000000009</v>
      </c>
      <c r="R95" s="945"/>
      <c r="S95" s="946">
        <v>21.348600000000001</v>
      </c>
      <c r="T95" s="946"/>
      <c r="U95" s="992">
        <v>49.265999999999998</v>
      </c>
      <c r="V95" s="993">
        <v>1.57182</v>
      </c>
      <c r="W95" s="947">
        <v>46.92</v>
      </c>
      <c r="X95" s="947">
        <v>14.076000000000001</v>
      </c>
      <c r="Y95" s="1735">
        <v>0.49265999999999999</v>
      </c>
      <c r="Z95" s="1769">
        <v>0.16187400000000002</v>
      </c>
      <c r="AA95" s="948"/>
      <c r="AB95" s="1790">
        <f t="shared" si="32"/>
        <v>0</v>
      </c>
      <c r="AC95" s="1286">
        <f t="shared" si="33"/>
        <v>0</v>
      </c>
      <c r="AD95" s="1286">
        <f t="shared" si="34"/>
        <v>0</v>
      </c>
      <c r="AE95" s="1286">
        <f t="shared" si="35"/>
        <v>0</v>
      </c>
      <c r="AF95" s="1286">
        <f t="shared" si="36"/>
        <v>0</v>
      </c>
      <c r="AG95" s="2016">
        <f t="shared" si="39"/>
        <v>0</v>
      </c>
      <c r="AH95" s="1287">
        <f t="shared" si="37"/>
        <v>0</v>
      </c>
      <c r="AI95" s="1759">
        <f t="shared" si="41"/>
        <v>0</v>
      </c>
      <c r="AJ95" s="1292"/>
      <c r="AK95" s="312"/>
      <c r="AL95" s="298"/>
      <c r="AM95" s="298"/>
      <c r="AN95" s="68"/>
      <c r="AO95" s="1297"/>
      <c r="AP95" s="68"/>
      <c r="AQ95" s="68"/>
    </row>
    <row r="96" spans="1:67" s="63" customFormat="1" ht="21" customHeight="1" x14ac:dyDescent="0.2">
      <c r="A96" s="2048" t="s">
        <v>253</v>
      </c>
      <c r="B96" s="1095" t="s">
        <v>131</v>
      </c>
      <c r="C96" s="1278">
        <v>11362.78062</v>
      </c>
      <c r="D96" s="2104"/>
      <c r="E96" s="1962"/>
      <c r="F96" s="332" t="s">
        <v>243</v>
      </c>
      <c r="G96" s="1851"/>
      <c r="H96" s="1489"/>
      <c r="I96" s="1715"/>
      <c r="J96" s="899"/>
      <c r="K96" s="1323"/>
      <c r="L96" s="991">
        <v>0</v>
      </c>
      <c r="M96" s="900">
        <f t="shared" si="30"/>
        <v>0</v>
      </c>
      <c r="N96" s="901"/>
      <c r="O96" s="984" t="s">
        <v>0</v>
      </c>
      <c r="P96" s="1607"/>
      <c r="Q96" s="944">
        <v>11.3781</v>
      </c>
      <c r="R96" s="945"/>
      <c r="S96" s="946">
        <v>21.465900000000001</v>
      </c>
      <c r="T96" s="946"/>
      <c r="U96" s="992">
        <v>49.265999999999998</v>
      </c>
      <c r="V96" s="993">
        <v>1.57182</v>
      </c>
      <c r="W96" s="947">
        <v>41.055</v>
      </c>
      <c r="X96" s="947">
        <v>15.249000000000001</v>
      </c>
      <c r="Y96" s="1735">
        <v>0.52785000000000004</v>
      </c>
      <c r="Z96" s="1769">
        <v>0.16187400000000002</v>
      </c>
      <c r="AA96" s="948"/>
      <c r="AB96" s="1790">
        <f t="shared" si="32"/>
        <v>0</v>
      </c>
      <c r="AC96" s="1286">
        <f t="shared" si="33"/>
        <v>0</v>
      </c>
      <c r="AD96" s="1286">
        <f t="shared" si="34"/>
        <v>0</v>
      </c>
      <c r="AE96" s="1286">
        <f t="shared" si="35"/>
        <v>0</v>
      </c>
      <c r="AF96" s="1286">
        <f t="shared" si="36"/>
        <v>0</v>
      </c>
      <c r="AG96" s="1289">
        <f t="shared" si="39"/>
        <v>0</v>
      </c>
      <c r="AH96" s="1287">
        <f t="shared" si="37"/>
        <v>0</v>
      </c>
      <c r="AI96" s="1759">
        <f t="shared" si="41"/>
        <v>0</v>
      </c>
      <c r="AJ96" s="1292"/>
      <c r="AK96" s="312"/>
      <c r="AL96" s="298"/>
      <c r="AM96" s="298"/>
      <c r="AN96" s="68"/>
      <c r="AO96" s="1297"/>
      <c r="AP96" s="68"/>
      <c r="AQ96" s="68"/>
    </row>
    <row r="97" spans="1:67" s="165" customFormat="1" ht="21" hidden="1" customHeight="1" x14ac:dyDescent="0.2">
      <c r="A97" s="949" t="s">
        <v>224</v>
      </c>
      <c r="B97" s="1316" t="s">
        <v>131</v>
      </c>
      <c r="C97" s="873">
        <v>11252.659379999999</v>
      </c>
      <c r="D97" s="2098"/>
      <c r="E97" s="1923"/>
      <c r="F97" s="332" t="s">
        <v>243</v>
      </c>
      <c r="G97" s="2042"/>
      <c r="H97" s="1002"/>
      <c r="I97" s="1913"/>
      <c r="J97" s="888"/>
      <c r="K97" s="1327"/>
      <c r="L97" s="935">
        <f t="shared" si="29"/>
        <v>0</v>
      </c>
      <c r="M97" s="890">
        <f t="shared" si="30"/>
        <v>0</v>
      </c>
      <c r="N97" s="891"/>
      <c r="O97" s="1578" t="str">
        <f t="shared" si="40"/>
        <v xml:space="preserve"> </v>
      </c>
      <c r="P97" s="1607"/>
      <c r="Q97" s="936">
        <v>9.6185999999999989</v>
      </c>
      <c r="R97" s="937"/>
      <c r="S97" s="938">
        <v>20.8794</v>
      </c>
      <c r="T97" s="938"/>
      <c r="U97" s="924">
        <v>49.265999999999998</v>
      </c>
      <c r="V97" s="925">
        <v>1.57182</v>
      </c>
      <c r="W97" s="939">
        <v>48.093000000000004</v>
      </c>
      <c r="X97" s="939">
        <v>12.903</v>
      </c>
      <c r="Y97" s="1734">
        <v>0.44574000000000003</v>
      </c>
      <c r="Z97" s="1767">
        <v>0.16187400000000002</v>
      </c>
      <c r="AA97" s="948"/>
      <c r="AB97" s="1790">
        <f t="shared" si="32"/>
        <v>0</v>
      </c>
      <c r="AC97" s="1286">
        <f t="shared" si="33"/>
        <v>0</v>
      </c>
      <c r="AD97" s="1286">
        <f t="shared" si="34"/>
        <v>0</v>
      </c>
      <c r="AE97" s="1286">
        <f t="shared" si="35"/>
        <v>0</v>
      </c>
      <c r="AF97" s="1286">
        <f t="shared" si="36"/>
        <v>0</v>
      </c>
      <c r="AG97" s="1289">
        <f t="shared" si="39"/>
        <v>0</v>
      </c>
      <c r="AH97" s="1287">
        <f t="shared" si="37"/>
        <v>0</v>
      </c>
      <c r="AI97" s="1759">
        <f t="shared" si="41"/>
        <v>0</v>
      </c>
      <c r="AJ97" s="1290">
        <f t="shared" ref="AJ97:AJ108" si="43">($G97*AA97/$G$125)</f>
        <v>0</v>
      </c>
      <c r="AK97" s="313"/>
      <c r="AL97" s="298"/>
      <c r="AM97" s="303"/>
      <c r="AN97" s="68"/>
      <c r="AO97" s="167" t="s">
        <v>254</v>
      </c>
      <c r="AP97" s="68"/>
      <c r="AQ97" s="68"/>
      <c r="AR97" s="63"/>
      <c r="AS97" s="63"/>
      <c r="AT97" s="63"/>
      <c r="AU97" s="63"/>
      <c r="AV97" s="63"/>
      <c r="AW97" s="63"/>
      <c r="AX97" s="63"/>
      <c r="AY97" s="63"/>
      <c r="AZ97" s="63"/>
      <c r="BA97" s="63"/>
      <c r="BB97" s="63"/>
      <c r="BC97" s="63"/>
      <c r="BD97" s="63"/>
      <c r="BE97" s="63"/>
      <c r="BF97" s="63"/>
      <c r="BG97" s="63"/>
      <c r="BH97" s="63"/>
      <c r="BI97" s="63"/>
      <c r="BJ97" s="63"/>
      <c r="BK97" s="63"/>
      <c r="BL97" s="63"/>
      <c r="BM97" s="63"/>
      <c r="BN97" s="63"/>
      <c r="BO97" s="63"/>
    </row>
    <row r="98" spans="1:67" s="165" customFormat="1" ht="21" hidden="1" customHeight="1" x14ac:dyDescent="0.2">
      <c r="A98" s="856"/>
      <c r="B98" s="2095" t="s">
        <v>254</v>
      </c>
      <c r="C98" s="1470"/>
      <c r="D98" s="2099"/>
      <c r="E98" s="1924"/>
      <c r="F98" s="168" t="s">
        <v>243</v>
      </c>
      <c r="G98" s="2036"/>
      <c r="H98" s="1006"/>
      <c r="I98" s="1912"/>
      <c r="J98" s="928"/>
      <c r="K98" s="1320"/>
      <c r="L98" s="908">
        <f t="shared" si="29"/>
        <v>0</v>
      </c>
      <c r="M98" s="883">
        <f t="shared" si="30"/>
        <v>0</v>
      </c>
      <c r="N98" s="884"/>
      <c r="O98" s="1577" t="str">
        <f t="shared" si="40"/>
        <v xml:space="preserve"> </v>
      </c>
      <c r="P98" s="1610"/>
      <c r="Q98" s="929">
        <v>9.8531999999999993</v>
      </c>
      <c r="R98" s="930"/>
      <c r="S98" s="931">
        <v>21.700500000000002</v>
      </c>
      <c r="T98" s="931"/>
      <c r="U98" s="886">
        <v>57.476999999999997</v>
      </c>
      <c r="V98" s="887">
        <v>1.54836</v>
      </c>
      <c r="W98" s="932">
        <v>37.536000000000001</v>
      </c>
      <c r="X98" s="932">
        <v>16.422000000000001</v>
      </c>
      <c r="Y98" s="1728">
        <v>0.52785000000000004</v>
      </c>
      <c r="Z98" s="1768">
        <v>0.11964599999999999</v>
      </c>
      <c r="AA98" s="982"/>
      <c r="AB98" s="1790">
        <f t="shared" si="32"/>
        <v>0</v>
      </c>
      <c r="AC98" s="1286">
        <f t="shared" si="33"/>
        <v>0</v>
      </c>
      <c r="AD98" s="1286">
        <f t="shared" si="34"/>
        <v>0</v>
      </c>
      <c r="AE98" s="1286">
        <f t="shared" si="35"/>
        <v>0</v>
      </c>
      <c r="AF98" s="1286">
        <f t="shared" si="36"/>
        <v>0</v>
      </c>
      <c r="AG98" s="1289">
        <f t="shared" si="39"/>
        <v>0</v>
      </c>
      <c r="AH98" s="1287">
        <f t="shared" si="37"/>
        <v>0</v>
      </c>
      <c r="AI98" s="1759">
        <f t="shared" si="41"/>
        <v>0</v>
      </c>
      <c r="AJ98" s="1290">
        <f t="shared" si="43"/>
        <v>0</v>
      </c>
      <c r="AK98" s="313"/>
      <c r="AL98" s="298"/>
      <c r="AM98" s="303"/>
      <c r="AN98" s="68"/>
      <c r="AO98" s="1021" t="s">
        <v>254</v>
      </c>
      <c r="AP98" s="68"/>
      <c r="AQ98" s="68"/>
      <c r="AR98" s="63"/>
      <c r="AS98" s="63"/>
      <c r="AT98" s="63"/>
      <c r="AU98" s="63"/>
      <c r="AV98" s="63"/>
      <c r="AW98" s="63"/>
      <c r="AX98" s="63"/>
      <c r="AY98" s="63"/>
      <c r="AZ98" s="63"/>
      <c r="BA98" s="63"/>
      <c r="BB98" s="63"/>
      <c r="BC98" s="63"/>
      <c r="BD98" s="63"/>
      <c r="BE98" s="63"/>
      <c r="BF98" s="63"/>
      <c r="BG98" s="63"/>
      <c r="BH98" s="63"/>
      <c r="BI98" s="63"/>
      <c r="BJ98" s="63"/>
      <c r="BK98" s="63"/>
      <c r="BL98" s="63"/>
      <c r="BM98" s="63"/>
      <c r="BN98" s="63"/>
      <c r="BO98" s="63"/>
    </row>
    <row r="99" spans="1:67" s="165" customFormat="1" ht="21" hidden="1" customHeight="1" x14ac:dyDescent="0.2">
      <c r="A99" s="1004"/>
      <c r="B99" s="1316" t="s">
        <v>255</v>
      </c>
      <c r="C99" s="873">
        <v>11329.31493</v>
      </c>
      <c r="D99" s="2098"/>
      <c r="E99" s="1923"/>
      <c r="F99" s="171" t="s">
        <v>243</v>
      </c>
      <c r="G99" s="1852"/>
      <c r="H99" s="1007"/>
      <c r="I99" s="1024"/>
      <c r="J99" s="934"/>
      <c r="K99" s="1325"/>
      <c r="L99" s="978">
        <f t="shared" si="29"/>
        <v>0</v>
      </c>
      <c r="M99" s="920">
        <f t="shared" si="30"/>
        <v>0</v>
      </c>
      <c r="N99" s="921">
        <f>SUM(M99:M100)</f>
        <v>0</v>
      </c>
      <c r="O99" s="1576" t="str">
        <f t="shared" si="40"/>
        <v xml:space="preserve"> </v>
      </c>
      <c r="P99" s="1603"/>
      <c r="Q99" s="929">
        <v>9.8531999999999993</v>
      </c>
      <c r="R99" s="930"/>
      <c r="S99" s="931">
        <v>21.700500000000002</v>
      </c>
      <c r="T99" s="931"/>
      <c r="U99" s="886">
        <v>57.476999999999997</v>
      </c>
      <c r="V99" s="887">
        <v>1.54836</v>
      </c>
      <c r="W99" s="932">
        <v>37.536000000000001</v>
      </c>
      <c r="X99" s="932">
        <v>16.422000000000001</v>
      </c>
      <c r="Y99" s="1728">
        <v>0.52785000000000004</v>
      </c>
      <c r="Z99" s="1768">
        <v>0.11964599999999999</v>
      </c>
      <c r="AA99" s="940"/>
      <c r="AB99" s="1790">
        <f t="shared" si="32"/>
        <v>0</v>
      </c>
      <c r="AC99" s="1286">
        <f t="shared" si="33"/>
        <v>0</v>
      </c>
      <c r="AD99" s="1286">
        <f t="shared" si="34"/>
        <v>0</v>
      </c>
      <c r="AE99" s="1286">
        <f t="shared" si="35"/>
        <v>0</v>
      </c>
      <c r="AF99" s="1286">
        <f t="shared" si="36"/>
        <v>0</v>
      </c>
      <c r="AG99" s="1289">
        <f t="shared" si="39"/>
        <v>0</v>
      </c>
      <c r="AH99" s="1287">
        <f t="shared" si="37"/>
        <v>0</v>
      </c>
      <c r="AI99" s="1759">
        <f t="shared" si="41"/>
        <v>0</v>
      </c>
      <c r="AJ99" s="1290">
        <f t="shared" si="43"/>
        <v>0</v>
      </c>
      <c r="AK99" s="313"/>
      <c r="AL99" s="298"/>
      <c r="AM99" s="303"/>
      <c r="AN99" s="68"/>
      <c r="AO99" s="167" t="s">
        <v>255</v>
      </c>
      <c r="AP99" s="68"/>
      <c r="AQ99" s="68"/>
      <c r="AR99" s="63"/>
      <c r="AS99" s="63"/>
      <c r="AT99" s="63"/>
      <c r="AU99" s="63"/>
      <c r="AV99" s="63"/>
      <c r="AW99" s="63"/>
      <c r="AX99" s="63"/>
      <c r="AY99" s="63"/>
      <c r="AZ99" s="63"/>
      <c r="BA99" s="63"/>
      <c r="BB99" s="63"/>
      <c r="BC99" s="63"/>
      <c r="BD99" s="63"/>
      <c r="BE99" s="63"/>
      <c r="BF99" s="63"/>
      <c r="BG99" s="63"/>
      <c r="BH99" s="63"/>
      <c r="BI99" s="63"/>
      <c r="BJ99" s="63"/>
      <c r="BK99" s="63"/>
      <c r="BL99" s="63"/>
      <c r="BM99" s="63"/>
      <c r="BN99" s="63"/>
      <c r="BO99" s="63"/>
    </row>
    <row r="100" spans="1:67" s="132" customFormat="1" ht="21" hidden="1" customHeight="1" x14ac:dyDescent="0.2">
      <c r="A100" s="1008"/>
      <c r="B100" s="2095" t="s">
        <v>255</v>
      </c>
      <c r="C100" s="1470">
        <v>11328.834000000001</v>
      </c>
      <c r="D100" s="2099"/>
      <c r="E100" s="1924"/>
      <c r="F100" s="168" t="s">
        <v>243</v>
      </c>
      <c r="G100" s="2036"/>
      <c r="H100" s="1006"/>
      <c r="I100" s="1912"/>
      <c r="J100" s="928"/>
      <c r="K100" s="1320"/>
      <c r="L100" s="908">
        <f t="shared" si="29"/>
        <v>0</v>
      </c>
      <c r="M100" s="883">
        <f t="shared" si="30"/>
        <v>0</v>
      </c>
      <c r="N100" s="884"/>
      <c r="O100" s="1577" t="str">
        <f t="shared" si="40"/>
        <v xml:space="preserve"> </v>
      </c>
      <c r="P100" s="1610"/>
      <c r="Q100" s="929">
        <v>9.8531999999999993</v>
      </c>
      <c r="R100" s="930"/>
      <c r="S100" s="931">
        <v>21.700500000000002</v>
      </c>
      <c r="T100" s="931"/>
      <c r="U100" s="886">
        <v>57.476999999999997</v>
      </c>
      <c r="V100" s="887">
        <v>1.54836</v>
      </c>
      <c r="W100" s="932">
        <v>37.536000000000001</v>
      </c>
      <c r="X100" s="932">
        <v>16.422000000000001</v>
      </c>
      <c r="Y100" s="1728">
        <v>0.52785000000000004</v>
      </c>
      <c r="Z100" s="1768">
        <v>0.11964599999999999</v>
      </c>
      <c r="AA100" s="933"/>
      <c r="AB100" s="1790">
        <f t="shared" si="32"/>
        <v>0</v>
      </c>
      <c r="AC100" s="1286">
        <f t="shared" si="33"/>
        <v>0</v>
      </c>
      <c r="AD100" s="1286">
        <f t="shared" si="34"/>
        <v>0</v>
      </c>
      <c r="AE100" s="1286">
        <f t="shared" si="35"/>
        <v>0</v>
      </c>
      <c r="AF100" s="1286">
        <f t="shared" si="36"/>
        <v>0</v>
      </c>
      <c r="AG100" s="1289">
        <f t="shared" si="39"/>
        <v>0</v>
      </c>
      <c r="AH100" s="1287">
        <f t="shared" si="37"/>
        <v>0</v>
      </c>
      <c r="AI100" s="1759">
        <f t="shared" si="41"/>
        <v>0</v>
      </c>
      <c r="AJ100" s="1290">
        <f t="shared" si="43"/>
        <v>0</v>
      </c>
      <c r="AK100" s="313"/>
      <c r="AL100" s="299"/>
      <c r="AM100" s="302"/>
      <c r="AN100" s="133"/>
      <c r="AO100" s="1021" t="s">
        <v>255</v>
      </c>
      <c r="AP100" s="133"/>
      <c r="AQ100" s="133"/>
      <c r="AR100" s="129"/>
      <c r="AS100" s="129"/>
      <c r="AT100" s="129"/>
      <c r="AU100" s="129"/>
      <c r="AV100" s="129"/>
      <c r="AW100" s="129"/>
      <c r="AX100" s="129"/>
      <c r="AY100" s="129"/>
      <c r="AZ100" s="129"/>
      <c r="BA100" s="129"/>
      <c r="BB100" s="129"/>
      <c r="BC100" s="129"/>
      <c r="BD100" s="129"/>
      <c r="BE100" s="129"/>
      <c r="BF100" s="129"/>
      <c r="BG100" s="129"/>
      <c r="BH100" s="129"/>
      <c r="BI100" s="129"/>
      <c r="BJ100" s="129"/>
      <c r="BK100" s="129"/>
      <c r="BL100" s="129"/>
      <c r="BM100" s="129"/>
      <c r="BN100" s="129"/>
      <c r="BO100" s="129"/>
    </row>
    <row r="101" spans="1:67" s="132" customFormat="1" ht="21" hidden="1" customHeight="1" x14ac:dyDescent="0.2">
      <c r="A101" s="915"/>
      <c r="B101" s="1316" t="s">
        <v>256</v>
      </c>
      <c r="C101" s="873">
        <v>10196.58402</v>
      </c>
      <c r="D101" s="2098"/>
      <c r="E101" s="1923"/>
      <c r="F101" s="171" t="s">
        <v>243</v>
      </c>
      <c r="G101" s="1852"/>
      <c r="H101" s="1007"/>
      <c r="I101" s="1024"/>
      <c r="J101" s="934"/>
      <c r="K101" s="1325"/>
      <c r="L101" s="978">
        <f t="shared" si="29"/>
        <v>0</v>
      </c>
      <c r="M101" s="920">
        <f t="shared" si="30"/>
        <v>0</v>
      </c>
      <c r="N101" s="921">
        <f>SUM(M101:M102)</f>
        <v>0</v>
      </c>
      <c r="O101" s="1576" t="str">
        <f t="shared" si="40"/>
        <v xml:space="preserve"> </v>
      </c>
      <c r="P101" s="1603"/>
      <c r="Q101" s="929">
        <v>9.8531999999999993</v>
      </c>
      <c r="R101" s="930"/>
      <c r="S101" s="931">
        <v>21.700500000000002</v>
      </c>
      <c r="T101" s="931"/>
      <c r="U101" s="886">
        <v>57.476999999999997</v>
      </c>
      <c r="V101" s="887">
        <v>1.54836</v>
      </c>
      <c r="W101" s="932">
        <v>37.536000000000001</v>
      </c>
      <c r="X101" s="932">
        <v>16.422000000000001</v>
      </c>
      <c r="Y101" s="1728">
        <v>0.52785000000000004</v>
      </c>
      <c r="Z101" s="1768">
        <v>0.11964599999999999</v>
      </c>
      <c r="AA101" s="940"/>
      <c r="AB101" s="1790">
        <f t="shared" si="32"/>
        <v>0</v>
      </c>
      <c r="AC101" s="1286">
        <f t="shared" si="33"/>
        <v>0</v>
      </c>
      <c r="AD101" s="1286">
        <f t="shared" si="34"/>
        <v>0</v>
      </c>
      <c r="AE101" s="1286">
        <f t="shared" si="35"/>
        <v>0</v>
      </c>
      <c r="AF101" s="1286">
        <f t="shared" si="36"/>
        <v>0</v>
      </c>
      <c r="AG101" s="1289">
        <f t="shared" si="39"/>
        <v>0</v>
      </c>
      <c r="AH101" s="1287">
        <f t="shared" si="37"/>
        <v>0</v>
      </c>
      <c r="AI101" s="1759">
        <f t="shared" si="41"/>
        <v>0</v>
      </c>
      <c r="AJ101" s="1290">
        <f t="shared" si="43"/>
        <v>0</v>
      </c>
      <c r="AK101" s="313"/>
      <c r="AL101" s="299"/>
      <c r="AM101" s="302"/>
      <c r="AN101" s="133"/>
      <c r="AO101" s="1600" t="s">
        <v>256</v>
      </c>
      <c r="AP101" s="133"/>
      <c r="AQ101" s="133"/>
      <c r="AR101" s="129"/>
      <c r="AS101" s="129"/>
      <c r="AT101" s="129"/>
      <c r="AU101" s="129"/>
      <c r="AV101" s="129"/>
      <c r="AW101" s="129"/>
      <c r="AX101" s="129"/>
      <c r="AY101" s="129"/>
      <c r="AZ101" s="129"/>
      <c r="BA101" s="129"/>
      <c r="BB101" s="129"/>
      <c r="BC101" s="129"/>
      <c r="BD101" s="129"/>
      <c r="BE101" s="129"/>
      <c r="BF101" s="129"/>
      <c r="BG101" s="129"/>
      <c r="BH101" s="129"/>
      <c r="BI101" s="129"/>
      <c r="BJ101" s="129"/>
      <c r="BK101" s="129"/>
      <c r="BL101" s="129"/>
      <c r="BM101" s="129"/>
      <c r="BN101" s="129"/>
      <c r="BO101" s="129"/>
    </row>
    <row r="102" spans="1:67" s="132" customFormat="1" ht="21" hidden="1" customHeight="1" x14ac:dyDescent="0.2">
      <c r="A102" s="856"/>
      <c r="B102" s="2095" t="s">
        <v>257</v>
      </c>
      <c r="C102" s="1470">
        <v>11283.087</v>
      </c>
      <c r="D102" s="2099"/>
      <c r="E102" s="1924"/>
      <c r="F102" s="168" t="s">
        <v>243</v>
      </c>
      <c r="G102" s="2036"/>
      <c r="H102" s="1006"/>
      <c r="I102" s="1912"/>
      <c r="J102" s="928"/>
      <c r="K102" s="1320"/>
      <c r="L102" s="908">
        <f t="shared" si="29"/>
        <v>0</v>
      </c>
      <c r="M102" s="883">
        <f t="shared" si="30"/>
        <v>0</v>
      </c>
      <c r="N102" s="884"/>
      <c r="O102" s="1577" t="str">
        <f t="shared" si="40"/>
        <v xml:space="preserve"> </v>
      </c>
      <c r="P102" s="1610"/>
      <c r="Q102" s="929">
        <v>9.8531999999999993</v>
      </c>
      <c r="R102" s="930"/>
      <c r="S102" s="931">
        <v>21.700500000000002</v>
      </c>
      <c r="T102" s="931"/>
      <c r="U102" s="886">
        <v>57.476999999999997</v>
      </c>
      <c r="V102" s="887">
        <v>1.54836</v>
      </c>
      <c r="W102" s="932">
        <v>37.536000000000001</v>
      </c>
      <c r="X102" s="932">
        <v>16.422000000000001</v>
      </c>
      <c r="Y102" s="1728">
        <v>0.52785000000000004</v>
      </c>
      <c r="Z102" s="1768">
        <v>0.11964599999999999</v>
      </c>
      <c r="AA102" s="982"/>
      <c r="AB102" s="1790">
        <f t="shared" si="32"/>
        <v>0</v>
      </c>
      <c r="AC102" s="1286">
        <f t="shared" si="33"/>
        <v>0</v>
      </c>
      <c r="AD102" s="1286">
        <f t="shared" si="34"/>
        <v>0</v>
      </c>
      <c r="AE102" s="1286">
        <f t="shared" si="35"/>
        <v>0</v>
      </c>
      <c r="AF102" s="1286">
        <f t="shared" si="36"/>
        <v>0</v>
      </c>
      <c r="AG102" s="1289">
        <f t="shared" si="39"/>
        <v>0</v>
      </c>
      <c r="AH102" s="1287">
        <f t="shared" si="37"/>
        <v>0</v>
      </c>
      <c r="AI102" s="1759">
        <f t="shared" si="41"/>
        <v>0</v>
      </c>
      <c r="AJ102" s="1290">
        <f t="shared" si="43"/>
        <v>0</v>
      </c>
      <c r="AK102" s="313"/>
      <c r="AL102" s="299"/>
      <c r="AM102" s="302"/>
      <c r="AN102" s="133"/>
      <c r="AO102" s="1021" t="s">
        <v>257</v>
      </c>
      <c r="AP102" s="133"/>
      <c r="AQ102" s="133"/>
      <c r="AR102" s="129"/>
      <c r="AS102" s="129"/>
      <c r="AT102" s="129"/>
      <c r="AU102" s="129"/>
      <c r="AV102" s="129"/>
      <c r="AW102" s="129"/>
      <c r="AX102" s="129"/>
      <c r="AY102" s="129"/>
      <c r="AZ102" s="129"/>
      <c r="BA102" s="129"/>
      <c r="BB102" s="129"/>
      <c r="BC102" s="129"/>
      <c r="BD102" s="129"/>
      <c r="BE102" s="129"/>
      <c r="BF102" s="129"/>
      <c r="BG102" s="129"/>
      <c r="BH102" s="129"/>
      <c r="BI102" s="129"/>
      <c r="BJ102" s="129"/>
      <c r="BK102" s="129"/>
      <c r="BL102" s="129"/>
      <c r="BM102" s="129"/>
      <c r="BN102" s="129"/>
      <c r="BO102" s="129"/>
    </row>
    <row r="103" spans="1:67" s="134" customFormat="1" ht="12.75" hidden="1" customHeight="1" x14ac:dyDescent="0.2">
      <c r="A103" s="949"/>
      <c r="B103" s="1316" t="s">
        <v>258</v>
      </c>
      <c r="C103" s="873"/>
      <c r="D103" s="2098"/>
      <c r="E103" s="1923"/>
      <c r="F103" s="171"/>
      <c r="G103" s="1852"/>
      <c r="H103" s="1007"/>
      <c r="I103" s="1024"/>
      <c r="J103" s="934"/>
      <c r="K103" s="1325"/>
      <c r="L103" s="978">
        <f t="shared" si="29"/>
        <v>0</v>
      </c>
      <c r="M103" s="920">
        <f t="shared" si="30"/>
        <v>0</v>
      </c>
      <c r="N103" s="921">
        <f>SUM(M103:M104)</f>
        <v>0</v>
      </c>
      <c r="O103" s="1576" t="str">
        <f t="shared" si="40"/>
        <v xml:space="preserve"> </v>
      </c>
      <c r="P103" s="1603"/>
      <c r="Q103" s="929">
        <v>9.8531999999999993</v>
      </c>
      <c r="R103" s="930"/>
      <c r="S103" s="931">
        <v>21.700500000000002</v>
      </c>
      <c r="T103" s="931"/>
      <c r="U103" s="886">
        <v>57.476999999999997</v>
      </c>
      <c r="V103" s="887">
        <v>1.54836</v>
      </c>
      <c r="W103" s="932">
        <v>37.536000000000001</v>
      </c>
      <c r="X103" s="932">
        <v>16.422000000000001</v>
      </c>
      <c r="Y103" s="1728">
        <v>0.52785000000000004</v>
      </c>
      <c r="Z103" s="1768">
        <v>0.11964599999999999</v>
      </c>
      <c r="AA103" s="940"/>
      <c r="AB103" s="1790">
        <f t="shared" si="32"/>
        <v>0</v>
      </c>
      <c r="AC103" s="1286">
        <f t="shared" si="33"/>
        <v>0</v>
      </c>
      <c r="AD103" s="1286">
        <f t="shared" si="34"/>
        <v>0</v>
      </c>
      <c r="AE103" s="1286">
        <f t="shared" si="35"/>
        <v>0</v>
      </c>
      <c r="AF103" s="1286">
        <f t="shared" si="36"/>
        <v>0</v>
      </c>
      <c r="AG103" s="1289">
        <f t="shared" si="39"/>
        <v>0</v>
      </c>
      <c r="AH103" s="1287">
        <f t="shared" si="37"/>
        <v>0</v>
      </c>
      <c r="AI103" s="1759">
        <f t="shared" si="41"/>
        <v>0</v>
      </c>
      <c r="AJ103" s="1290">
        <f t="shared" si="43"/>
        <v>0</v>
      </c>
      <c r="AK103" s="313"/>
      <c r="AL103" s="299"/>
      <c r="AM103" s="302"/>
      <c r="AN103" s="133"/>
      <c r="AO103" s="179" t="s">
        <v>258</v>
      </c>
      <c r="AP103" s="133"/>
      <c r="AQ103" s="133"/>
      <c r="AR103" s="129"/>
      <c r="AS103" s="129"/>
      <c r="AT103" s="129"/>
      <c r="AU103" s="129"/>
      <c r="AV103" s="129"/>
      <c r="AW103" s="129"/>
      <c r="AX103" s="129"/>
      <c r="AY103" s="129"/>
      <c r="AZ103" s="129"/>
      <c r="BA103" s="129"/>
      <c r="BB103" s="129"/>
      <c r="BC103" s="129"/>
      <c r="BD103" s="129"/>
      <c r="BE103" s="129"/>
      <c r="BF103" s="129"/>
      <c r="BG103" s="129"/>
      <c r="BH103" s="129"/>
      <c r="BI103" s="129"/>
      <c r="BJ103" s="129"/>
      <c r="BK103" s="129"/>
      <c r="BL103" s="129"/>
      <c r="BM103" s="129"/>
      <c r="BN103" s="129"/>
      <c r="BO103" s="129"/>
    </row>
    <row r="104" spans="1:67" s="134" customFormat="1" ht="33.75" hidden="1" customHeight="1" x14ac:dyDescent="0.2">
      <c r="A104" s="995"/>
      <c r="B104" s="1469"/>
      <c r="C104" s="1470"/>
      <c r="D104" s="2099"/>
      <c r="E104" s="1924"/>
      <c r="F104" s="331"/>
      <c r="G104" s="2044"/>
      <c r="H104" s="1914"/>
      <c r="I104" s="1915"/>
      <c r="J104" s="1611"/>
      <c r="K104" s="1612"/>
      <c r="L104" s="908">
        <f t="shared" si="29"/>
        <v>0</v>
      </c>
      <c r="M104" s="909">
        <f t="shared" si="30"/>
        <v>0</v>
      </c>
      <c r="N104" s="910"/>
      <c r="O104" s="969" t="str">
        <f t="shared" si="40"/>
        <v xml:space="preserve"> </v>
      </c>
      <c r="P104" s="912"/>
      <c r="Q104" s="929">
        <v>9.8531999999999993</v>
      </c>
      <c r="R104" s="930"/>
      <c r="S104" s="931">
        <v>21.700500000000002</v>
      </c>
      <c r="T104" s="931"/>
      <c r="U104" s="886">
        <v>57.476999999999997</v>
      </c>
      <c r="V104" s="887">
        <v>1.54836</v>
      </c>
      <c r="W104" s="932">
        <v>37.536000000000001</v>
      </c>
      <c r="X104" s="932">
        <v>16.422000000000001</v>
      </c>
      <c r="Y104" s="1728">
        <v>0.52785000000000004</v>
      </c>
      <c r="Z104" s="1768">
        <v>0.11964599999999999</v>
      </c>
      <c r="AA104" s="933"/>
      <c r="AB104" s="1790">
        <f t="shared" si="32"/>
        <v>0</v>
      </c>
      <c r="AC104" s="1286">
        <f t="shared" si="33"/>
        <v>0</v>
      </c>
      <c r="AD104" s="1286">
        <f t="shared" si="34"/>
        <v>0</v>
      </c>
      <c r="AE104" s="1286">
        <f t="shared" si="35"/>
        <v>0</v>
      </c>
      <c r="AF104" s="1286">
        <f t="shared" si="36"/>
        <v>0</v>
      </c>
      <c r="AG104" s="1289">
        <f t="shared" si="39"/>
        <v>0</v>
      </c>
      <c r="AH104" s="1287">
        <f t="shared" si="37"/>
        <v>0</v>
      </c>
      <c r="AI104" s="1759">
        <f t="shared" si="41"/>
        <v>0</v>
      </c>
      <c r="AJ104" s="1290">
        <f t="shared" si="43"/>
        <v>0</v>
      </c>
      <c r="AK104" s="313"/>
      <c r="AL104" s="299"/>
      <c r="AM104" s="302"/>
      <c r="AN104" s="133"/>
      <c r="AO104" s="1021"/>
      <c r="AP104" s="133"/>
      <c r="AQ104" s="133"/>
      <c r="AR104" s="129"/>
      <c r="AS104" s="129"/>
      <c r="AT104" s="129"/>
      <c r="AU104" s="129"/>
      <c r="AV104" s="129"/>
      <c r="AW104" s="129"/>
      <c r="AX104" s="129"/>
      <c r="AY104" s="129"/>
      <c r="AZ104" s="129"/>
      <c r="BA104" s="129"/>
      <c r="BB104" s="129"/>
      <c r="BC104" s="129"/>
      <c r="BD104" s="129"/>
      <c r="BE104" s="129"/>
      <c r="BF104" s="129"/>
      <c r="BG104" s="129"/>
      <c r="BH104" s="129"/>
      <c r="BI104" s="129"/>
      <c r="BJ104" s="129"/>
      <c r="BK104" s="129"/>
      <c r="BL104" s="129"/>
      <c r="BM104" s="129"/>
      <c r="BN104" s="129"/>
      <c r="BO104" s="129"/>
    </row>
    <row r="105" spans="1:67" s="2238" customFormat="1" ht="24.75" customHeight="1" x14ac:dyDescent="0.2">
      <c r="A105" s="2229"/>
      <c r="B105" s="1469" t="s">
        <v>259</v>
      </c>
      <c r="C105" s="1470">
        <v>11568.278489999999</v>
      </c>
      <c r="D105" s="2099">
        <v>10.557</v>
      </c>
      <c r="E105" s="1924">
        <v>8.2244897959183678</v>
      </c>
      <c r="F105" s="1341" t="s">
        <v>14</v>
      </c>
      <c r="G105" s="2034"/>
      <c r="H105" s="2051"/>
      <c r="I105" s="1834"/>
      <c r="J105" s="928">
        <v>0</v>
      </c>
      <c r="K105" s="1326">
        <v>0</v>
      </c>
      <c r="L105" s="942">
        <f t="shared" si="29"/>
        <v>0</v>
      </c>
      <c r="M105" s="909">
        <f t="shared" si="30"/>
        <v>0</v>
      </c>
      <c r="N105" s="910">
        <f>SUM(M105:M108)</f>
        <v>0</v>
      </c>
      <c r="O105" s="969" t="str">
        <f>IF(N105=0," ",(K105)/N105)</f>
        <v xml:space="preserve"> </v>
      </c>
      <c r="P105" s="2230"/>
      <c r="Q105" s="929">
        <v>9.2667000000000002</v>
      </c>
      <c r="R105" s="930"/>
      <c r="S105" s="931">
        <v>22.169699999999999</v>
      </c>
      <c r="T105" s="931"/>
      <c r="U105" s="913">
        <v>64.515000000000001</v>
      </c>
      <c r="V105" s="914">
        <v>1.6422000000000001</v>
      </c>
      <c r="W105" s="932">
        <v>36.363</v>
      </c>
      <c r="X105" s="932">
        <v>14.076000000000001</v>
      </c>
      <c r="Y105" s="1728">
        <v>0.42227999999999999</v>
      </c>
      <c r="Z105" s="1768">
        <v>0.154836</v>
      </c>
      <c r="AA105" s="933">
        <v>1.16127E-2</v>
      </c>
      <c r="AB105" s="2231">
        <f t="shared" si="32"/>
        <v>0</v>
      </c>
      <c r="AC105" s="2232">
        <f t="shared" si="33"/>
        <v>0</v>
      </c>
      <c r="AD105" s="2232">
        <f t="shared" si="34"/>
        <v>0</v>
      </c>
      <c r="AE105" s="2232">
        <f t="shared" si="35"/>
        <v>0</v>
      </c>
      <c r="AF105" s="2232">
        <f t="shared" si="36"/>
        <v>0</v>
      </c>
      <c r="AG105" s="2233">
        <f t="shared" si="39"/>
        <v>0</v>
      </c>
      <c r="AH105" s="2234">
        <f t="shared" si="37"/>
        <v>0</v>
      </c>
      <c r="AI105" s="2235">
        <f t="shared" si="41"/>
        <v>0</v>
      </c>
      <c r="AJ105" s="1293">
        <f t="shared" si="43"/>
        <v>0</v>
      </c>
      <c r="AK105" s="2236"/>
      <c r="AL105" s="1850"/>
      <c r="AM105" s="2237"/>
      <c r="AN105" s="125"/>
      <c r="AO105" s="1299" t="s">
        <v>260</v>
      </c>
      <c r="AP105" s="125"/>
      <c r="AQ105" s="125"/>
      <c r="AR105" s="126"/>
      <c r="AS105" s="126"/>
      <c r="AT105" s="126"/>
      <c r="AU105" s="126"/>
      <c r="AV105" s="126"/>
      <c r="AW105" s="126"/>
      <c r="AX105" s="126"/>
      <c r="AY105" s="126"/>
      <c r="AZ105" s="126"/>
      <c r="BA105" s="126"/>
      <c r="BB105" s="126"/>
      <c r="BC105" s="126"/>
      <c r="BD105" s="126"/>
      <c r="BE105" s="126"/>
      <c r="BF105" s="126"/>
      <c r="BG105" s="126"/>
      <c r="BH105" s="126"/>
      <c r="BI105" s="126"/>
      <c r="BJ105" s="126"/>
      <c r="BK105" s="126"/>
      <c r="BL105" s="126"/>
      <c r="BM105" s="126"/>
      <c r="BN105" s="126"/>
      <c r="BO105" s="126"/>
    </row>
    <row r="106" spans="1:67" s="63" customFormat="1" ht="19.5" hidden="1" customHeight="1" x14ac:dyDescent="0.2">
      <c r="A106" s="1842"/>
      <c r="B106" s="1095" t="s">
        <v>259</v>
      </c>
      <c r="C106" s="1278">
        <v>11455.717409999999</v>
      </c>
      <c r="D106" s="2104"/>
      <c r="E106" s="1962"/>
      <c r="F106" s="163" t="s">
        <v>243</v>
      </c>
      <c r="G106" s="1851"/>
      <c r="H106" s="1489"/>
      <c r="I106" s="898"/>
      <c r="J106" s="899"/>
      <c r="K106" s="1323"/>
      <c r="L106" s="991"/>
      <c r="M106" s="900">
        <f t="shared" si="30"/>
        <v>0</v>
      </c>
      <c r="N106" s="901"/>
      <c r="O106" s="1215" t="str">
        <f t="shared" si="40"/>
        <v xml:space="preserve"> </v>
      </c>
      <c r="P106" s="1490"/>
      <c r="Q106" s="944">
        <v>9.1494</v>
      </c>
      <c r="R106" s="945"/>
      <c r="S106" s="946">
        <v>23.46</v>
      </c>
      <c r="T106" s="946"/>
      <c r="U106" s="992">
        <v>64.515000000000001</v>
      </c>
      <c r="V106" s="993">
        <v>1.6422000000000001</v>
      </c>
      <c r="W106" s="947">
        <v>42.228000000000002</v>
      </c>
      <c r="X106" s="947">
        <v>14.076000000000001</v>
      </c>
      <c r="Y106" s="1735">
        <v>0.42227999999999999</v>
      </c>
      <c r="Z106" s="1769">
        <v>0.154836</v>
      </c>
      <c r="AA106" s="948">
        <v>1.16127E-2</v>
      </c>
      <c r="AB106" s="1790">
        <f t="shared" si="32"/>
        <v>0</v>
      </c>
      <c r="AC106" s="1286">
        <f t="shared" si="33"/>
        <v>0</v>
      </c>
      <c r="AD106" s="1286">
        <f t="shared" si="34"/>
        <v>0</v>
      </c>
      <c r="AE106" s="1286">
        <f t="shared" si="35"/>
        <v>0</v>
      </c>
      <c r="AF106" s="1286">
        <f t="shared" si="36"/>
        <v>0</v>
      </c>
      <c r="AG106" s="2016">
        <f t="shared" si="39"/>
        <v>0</v>
      </c>
      <c r="AH106" s="1287">
        <f t="shared" si="37"/>
        <v>0</v>
      </c>
      <c r="AI106" s="1759">
        <f t="shared" si="41"/>
        <v>0</v>
      </c>
      <c r="AJ106" s="1288">
        <f t="shared" si="43"/>
        <v>0</v>
      </c>
      <c r="AK106" s="312"/>
      <c r="AL106" s="298"/>
      <c r="AM106" s="303"/>
      <c r="AN106" s="68"/>
      <c r="AO106" s="1297"/>
      <c r="AP106" s="68"/>
      <c r="AQ106" s="68"/>
    </row>
    <row r="107" spans="1:67" s="63" customFormat="1" ht="21" hidden="1" customHeight="1" x14ac:dyDescent="0.2">
      <c r="A107" s="1842" t="s">
        <v>219</v>
      </c>
      <c r="B107" s="1095" t="s">
        <v>113</v>
      </c>
      <c r="C107" s="1278">
        <v>11455.717409999999</v>
      </c>
      <c r="D107" s="2100"/>
      <c r="E107" s="1486"/>
      <c r="F107" s="163" t="s">
        <v>243</v>
      </c>
      <c r="G107" s="1851"/>
      <c r="H107" s="1489"/>
      <c r="I107" s="898"/>
      <c r="J107" s="899"/>
      <c r="K107" s="1323"/>
      <c r="L107" s="991">
        <f t="shared" si="29"/>
        <v>0</v>
      </c>
      <c r="M107" s="902">
        <f t="shared" si="30"/>
        <v>0</v>
      </c>
      <c r="N107" s="901"/>
      <c r="O107" s="1215" t="str">
        <f t="shared" si="40"/>
        <v xml:space="preserve"> </v>
      </c>
      <c r="P107" s="1490"/>
      <c r="Q107" s="944">
        <v>8.6801999999999992</v>
      </c>
      <c r="R107" s="945"/>
      <c r="S107" s="946">
        <v>22.8735</v>
      </c>
      <c r="T107" s="946"/>
      <c r="U107" s="992">
        <v>64.515000000000001</v>
      </c>
      <c r="V107" s="993">
        <v>1.6422000000000001</v>
      </c>
      <c r="W107" s="947">
        <v>43.401000000000003</v>
      </c>
      <c r="X107" s="947">
        <v>14.076000000000001</v>
      </c>
      <c r="Y107" s="1735">
        <v>0.34016999999999997</v>
      </c>
      <c r="Z107" s="1769">
        <v>0.154836</v>
      </c>
      <c r="AA107" s="948">
        <v>1.16127E-2</v>
      </c>
      <c r="AB107" s="1790">
        <f t="shared" si="32"/>
        <v>0</v>
      </c>
      <c r="AC107" s="1286">
        <f t="shared" si="33"/>
        <v>0</v>
      </c>
      <c r="AD107" s="1286">
        <f t="shared" si="34"/>
        <v>0</v>
      </c>
      <c r="AE107" s="1286">
        <f t="shared" si="35"/>
        <v>0</v>
      </c>
      <c r="AF107" s="1286">
        <f t="shared" si="36"/>
        <v>0</v>
      </c>
      <c r="AG107" s="1289">
        <f t="shared" si="39"/>
        <v>0</v>
      </c>
      <c r="AH107" s="1287">
        <f t="shared" si="37"/>
        <v>0</v>
      </c>
      <c r="AI107" s="1759">
        <f t="shared" si="41"/>
        <v>0</v>
      </c>
      <c r="AJ107" s="1290">
        <f t="shared" si="43"/>
        <v>0</v>
      </c>
      <c r="AK107" s="312"/>
      <c r="AL107" s="298"/>
      <c r="AM107" s="303"/>
      <c r="AN107" s="68"/>
      <c r="AO107" s="1297"/>
      <c r="AP107" s="68"/>
      <c r="AQ107" s="68"/>
    </row>
    <row r="108" spans="1:67" s="132" customFormat="1" ht="21" hidden="1" customHeight="1" x14ac:dyDescent="0.2">
      <c r="A108" s="1841" t="s">
        <v>261</v>
      </c>
      <c r="B108" s="1316" t="s">
        <v>113</v>
      </c>
      <c r="C108" s="873">
        <v>11568.278489999999</v>
      </c>
      <c r="D108" s="2098"/>
      <c r="E108" s="1923"/>
      <c r="F108" s="171" t="s">
        <v>243</v>
      </c>
      <c r="G108" s="1852"/>
      <c r="H108" s="1007"/>
      <c r="I108" s="918"/>
      <c r="J108" s="919"/>
      <c r="K108" s="1325"/>
      <c r="L108" s="935">
        <f t="shared" si="29"/>
        <v>0</v>
      </c>
      <c r="M108" s="922">
        <f t="shared" ref="M108:M124" si="44">G108*$M$125/$G$125</f>
        <v>0</v>
      </c>
      <c r="N108" s="921"/>
      <c r="O108" s="1438" t="str">
        <f t="shared" si="40"/>
        <v xml:space="preserve"> </v>
      </c>
      <c r="P108" s="923"/>
      <c r="Q108" s="936">
        <v>8.5629000000000008</v>
      </c>
      <c r="R108" s="937"/>
      <c r="S108" s="938">
        <v>23.1081</v>
      </c>
      <c r="T108" s="938"/>
      <c r="U108" s="979">
        <v>64.515000000000001</v>
      </c>
      <c r="V108" s="980">
        <v>1.6422000000000001</v>
      </c>
      <c r="W108" s="939">
        <v>36.363</v>
      </c>
      <c r="X108" s="939">
        <v>14.076000000000001</v>
      </c>
      <c r="Y108" s="1734">
        <v>0.42227999999999999</v>
      </c>
      <c r="Z108" s="1767">
        <v>0.154836</v>
      </c>
      <c r="AA108" s="940">
        <v>1.16127E-2</v>
      </c>
      <c r="AB108" s="1790">
        <f t="shared" si="32"/>
        <v>0</v>
      </c>
      <c r="AC108" s="1286">
        <f t="shared" si="33"/>
        <v>0</v>
      </c>
      <c r="AD108" s="1286">
        <f t="shared" si="34"/>
        <v>0</v>
      </c>
      <c r="AE108" s="1286">
        <f t="shared" si="35"/>
        <v>0</v>
      </c>
      <c r="AF108" s="1286">
        <f t="shared" si="36"/>
        <v>0</v>
      </c>
      <c r="AG108" s="1289">
        <f t="shared" si="39"/>
        <v>0</v>
      </c>
      <c r="AH108" s="1287">
        <f t="shared" si="37"/>
        <v>0</v>
      </c>
      <c r="AI108" s="1759">
        <f t="shared" si="41"/>
        <v>0</v>
      </c>
      <c r="AJ108" s="1290">
        <f t="shared" si="43"/>
        <v>0</v>
      </c>
      <c r="AK108" s="313"/>
      <c r="AL108" s="299"/>
      <c r="AM108" s="302"/>
      <c r="AN108" s="133"/>
      <c r="AO108" s="170"/>
      <c r="AP108" s="133"/>
      <c r="AQ108" s="133"/>
      <c r="AR108" s="129"/>
      <c r="AS108" s="129"/>
      <c r="AT108" s="129"/>
      <c r="AU108" s="129"/>
      <c r="AV108" s="129"/>
      <c r="AW108" s="129"/>
      <c r="AX108" s="129"/>
      <c r="AY108" s="129"/>
      <c r="AZ108" s="129"/>
      <c r="BA108" s="129"/>
      <c r="BB108" s="129"/>
      <c r="BC108" s="129"/>
      <c r="BD108" s="129"/>
      <c r="BE108" s="129"/>
      <c r="BF108" s="129"/>
      <c r="BG108" s="129"/>
      <c r="BH108" s="129"/>
      <c r="BI108" s="129"/>
      <c r="BJ108" s="129"/>
      <c r="BK108" s="129"/>
      <c r="BL108" s="129"/>
      <c r="BM108" s="129"/>
      <c r="BN108" s="129"/>
      <c r="BO108" s="129"/>
    </row>
    <row r="109" spans="1:67" s="1567" customFormat="1" ht="21" hidden="1" customHeight="1" x14ac:dyDescent="0.2">
      <c r="A109" s="1547"/>
      <c r="B109" s="2096" t="s">
        <v>262</v>
      </c>
      <c r="C109" s="1835">
        <v>13657.684740000001</v>
      </c>
      <c r="D109" s="2106"/>
      <c r="E109" s="1927"/>
      <c r="F109" s="1854" t="s">
        <v>243</v>
      </c>
      <c r="G109" s="2045"/>
      <c r="H109" s="1548"/>
      <c r="I109" s="1549"/>
      <c r="J109" s="1544">
        <v>0</v>
      </c>
      <c r="K109" s="1545">
        <v>0</v>
      </c>
      <c r="L109" s="1546">
        <f t="shared" si="29"/>
        <v>0</v>
      </c>
      <c r="M109" s="1550">
        <f t="shared" si="44"/>
        <v>0</v>
      </c>
      <c r="N109" s="1551">
        <f>SUM(M109:M110)</f>
        <v>0</v>
      </c>
      <c r="O109" s="1569" t="str">
        <f t="shared" si="40"/>
        <v xml:space="preserve"> </v>
      </c>
      <c r="P109" s="1552"/>
      <c r="Q109" s="1553">
        <v>9.1494</v>
      </c>
      <c r="R109" s="1554"/>
      <c r="S109" s="1555">
        <v>22.9908</v>
      </c>
      <c r="T109" s="1555"/>
      <c r="U109" s="1556">
        <v>59.823</v>
      </c>
      <c r="V109" s="1557">
        <v>1.56009</v>
      </c>
      <c r="W109" s="1558">
        <v>37.536000000000001</v>
      </c>
      <c r="X109" s="1558">
        <v>12.903</v>
      </c>
      <c r="Y109" s="1739">
        <v>0.41055000000000003</v>
      </c>
      <c r="Z109" s="1773"/>
      <c r="AA109" s="1559">
        <v>1.16127E-2</v>
      </c>
      <c r="AB109" s="1790">
        <f t="shared" si="32"/>
        <v>0</v>
      </c>
      <c r="AC109" s="1286">
        <f t="shared" si="33"/>
        <v>0</v>
      </c>
      <c r="AD109" s="1286">
        <f t="shared" si="34"/>
        <v>0</v>
      </c>
      <c r="AE109" s="1286">
        <f t="shared" si="35"/>
        <v>0</v>
      </c>
      <c r="AF109" s="1286">
        <f t="shared" si="36"/>
        <v>0</v>
      </c>
      <c r="AG109" s="1289">
        <f t="shared" si="39"/>
        <v>0</v>
      </c>
      <c r="AH109" s="1287">
        <f t="shared" si="37"/>
        <v>0</v>
      </c>
      <c r="AI109" s="1759">
        <f t="shared" si="41"/>
        <v>0</v>
      </c>
      <c r="AJ109" s="1560">
        <f t="shared" ref="AJ109:AJ114" si="45">($G109*AA109/$G$125)</f>
        <v>0</v>
      </c>
      <c r="AK109" s="1561"/>
      <c r="AL109" s="1562"/>
      <c r="AM109" s="1563"/>
      <c r="AN109" s="1564"/>
      <c r="AO109" s="1565" t="s">
        <v>263</v>
      </c>
      <c r="AP109" s="133"/>
      <c r="AQ109" s="133"/>
      <c r="AR109" s="1566"/>
      <c r="AS109" s="1566"/>
      <c r="AT109" s="1566"/>
      <c r="AU109" s="1566"/>
      <c r="AV109" s="1566"/>
      <c r="AW109" s="1566"/>
      <c r="AX109" s="1566"/>
      <c r="AY109" s="1566"/>
      <c r="AZ109" s="1566"/>
      <c r="BA109" s="1566"/>
      <c r="BB109" s="1566"/>
      <c r="BC109" s="1566"/>
      <c r="BD109" s="1566"/>
      <c r="BE109" s="1566"/>
      <c r="BF109" s="1566"/>
      <c r="BG109" s="1566"/>
      <c r="BH109" s="1566"/>
      <c r="BI109" s="1566"/>
      <c r="BJ109" s="1566"/>
      <c r="BK109" s="1566"/>
      <c r="BL109" s="1566"/>
      <c r="BM109" s="1566"/>
      <c r="BN109" s="1566"/>
      <c r="BO109" s="1566"/>
    </row>
    <row r="110" spans="1:67" s="149" customFormat="1" ht="21" hidden="1" customHeight="1" x14ac:dyDescent="0.2">
      <c r="A110" s="1004"/>
      <c r="B110" s="1316" t="s">
        <v>262</v>
      </c>
      <c r="C110" s="873">
        <v>13657.684740000001</v>
      </c>
      <c r="D110" s="2107"/>
      <c r="E110" s="1451"/>
      <c r="F110" s="1855" t="s">
        <v>243</v>
      </c>
      <c r="G110" s="2040"/>
      <c r="H110" s="1354"/>
      <c r="I110" s="998"/>
      <c r="J110" s="996"/>
      <c r="K110" s="1439"/>
      <c r="L110" s="935">
        <f t="shared" si="29"/>
        <v>0</v>
      </c>
      <c r="M110" s="1440">
        <f t="shared" si="44"/>
        <v>0</v>
      </c>
      <c r="N110" s="1441"/>
      <c r="O110" s="1476" t="str">
        <f t="shared" si="40"/>
        <v xml:space="preserve"> </v>
      </c>
      <c r="P110" s="786"/>
      <c r="Q110" s="936">
        <v>10.0878</v>
      </c>
      <c r="R110" s="937"/>
      <c r="S110" s="938">
        <v>22.9908</v>
      </c>
      <c r="T110" s="938"/>
      <c r="U110" s="979">
        <v>59.823</v>
      </c>
      <c r="V110" s="980">
        <v>1.56009</v>
      </c>
      <c r="W110" s="939">
        <v>35.19</v>
      </c>
      <c r="X110" s="939">
        <v>14.076000000000001</v>
      </c>
      <c r="Y110" s="1734">
        <v>0.41055000000000003</v>
      </c>
      <c r="Z110" s="1767"/>
      <c r="AA110" s="940">
        <v>1.16127E-2</v>
      </c>
      <c r="AB110" s="1790">
        <f t="shared" si="32"/>
        <v>0</v>
      </c>
      <c r="AC110" s="1286">
        <f t="shared" si="33"/>
        <v>0</v>
      </c>
      <c r="AD110" s="1286">
        <f t="shared" si="34"/>
        <v>0</v>
      </c>
      <c r="AE110" s="1286">
        <f t="shared" si="35"/>
        <v>0</v>
      </c>
      <c r="AF110" s="1286">
        <f t="shared" si="36"/>
        <v>0</v>
      </c>
      <c r="AG110" s="1289">
        <f t="shared" si="39"/>
        <v>0</v>
      </c>
      <c r="AH110" s="1287">
        <f t="shared" si="37"/>
        <v>0</v>
      </c>
      <c r="AI110" s="1759">
        <f t="shared" si="41"/>
        <v>0</v>
      </c>
      <c r="AJ110" s="1290">
        <f t="shared" si="45"/>
        <v>0</v>
      </c>
      <c r="AK110" s="313"/>
      <c r="AL110" s="299"/>
      <c r="AM110" s="302"/>
      <c r="AN110" s="133"/>
      <c r="AO110" s="170"/>
      <c r="AP110" s="133"/>
      <c r="AQ110" s="133"/>
      <c r="AR110" s="129"/>
      <c r="AS110" s="129"/>
      <c r="AT110" s="129"/>
      <c r="AU110" s="129"/>
      <c r="AV110" s="129"/>
      <c r="AW110" s="129"/>
      <c r="AX110" s="129"/>
      <c r="AY110" s="129"/>
      <c r="AZ110" s="129"/>
      <c r="BA110" s="129"/>
      <c r="BB110" s="129"/>
      <c r="BC110" s="129"/>
      <c r="BD110" s="129"/>
      <c r="BE110" s="129"/>
      <c r="BF110" s="129"/>
      <c r="BG110" s="129"/>
      <c r="BH110" s="129"/>
      <c r="BI110" s="129"/>
      <c r="BJ110" s="129"/>
      <c r="BK110" s="129"/>
      <c r="BL110" s="129"/>
      <c r="BM110" s="129"/>
      <c r="BN110" s="129"/>
      <c r="BO110" s="129"/>
    </row>
    <row r="111" spans="1:67" s="165" customFormat="1" ht="21" hidden="1" customHeight="1" thickBot="1" x14ac:dyDescent="0.25">
      <c r="A111" s="858"/>
      <c r="B111" s="1469" t="s">
        <v>264</v>
      </c>
      <c r="C111" s="1470">
        <v>10429.577010000001</v>
      </c>
      <c r="D111" s="2108"/>
      <c r="E111" s="1929"/>
      <c r="F111" s="331" t="s">
        <v>265</v>
      </c>
      <c r="G111" s="2046"/>
      <c r="H111" s="774"/>
      <c r="I111" s="807"/>
      <c r="J111" s="817"/>
      <c r="K111" s="1329"/>
      <c r="L111" s="637">
        <f t="shared" si="29"/>
        <v>0</v>
      </c>
      <c r="M111" s="646">
        <f t="shared" si="44"/>
        <v>0</v>
      </c>
      <c r="N111" s="266">
        <f>SUM(M111:M112)</f>
        <v>0</v>
      </c>
      <c r="O111" s="407" t="str">
        <f t="shared" si="40"/>
        <v xml:space="preserve"> </v>
      </c>
      <c r="P111" s="785"/>
      <c r="Q111" s="481">
        <v>10.3224</v>
      </c>
      <c r="R111" s="658"/>
      <c r="S111" s="1708">
        <v>17.125800000000002</v>
      </c>
      <c r="T111" s="300"/>
      <c r="U111" s="695">
        <v>46.92</v>
      </c>
      <c r="V111" s="696">
        <v>1.5248999999999999</v>
      </c>
      <c r="W111" s="269">
        <v>43.401000000000003</v>
      </c>
      <c r="X111" s="269">
        <v>7.0380000000000003</v>
      </c>
      <c r="Y111" s="1740">
        <v>0.51612000000000002</v>
      </c>
      <c r="Z111" s="1774"/>
      <c r="AA111" s="494">
        <v>6.6861000000000004E-3</v>
      </c>
      <c r="AB111" s="1790">
        <f t="shared" ref="AB111:AB124" si="46">($G111*Q111/$G$125)</f>
        <v>0</v>
      </c>
      <c r="AC111" s="1286">
        <f t="shared" ref="AC111:AC124" si="47">($G111*S111/$G$125)</f>
        <v>0</v>
      </c>
      <c r="AD111" s="1286">
        <f t="shared" si="34"/>
        <v>0</v>
      </c>
      <c r="AE111" s="1286">
        <f t="shared" si="35"/>
        <v>0</v>
      </c>
      <c r="AF111" s="1286">
        <f t="shared" si="36"/>
        <v>0</v>
      </c>
      <c r="AG111" s="1289">
        <f t="shared" si="39"/>
        <v>0</v>
      </c>
      <c r="AH111" s="1287">
        <f t="shared" si="37"/>
        <v>0</v>
      </c>
      <c r="AI111" s="1759">
        <f t="shared" si="41"/>
        <v>0</v>
      </c>
      <c r="AJ111" s="1295">
        <f t="shared" si="45"/>
        <v>0</v>
      </c>
      <c r="AK111" s="312"/>
      <c r="AL111" s="356">
        <v>91.494</v>
      </c>
      <c r="AM111" s="303"/>
      <c r="AN111" s="68"/>
      <c r="AO111" s="655" t="s">
        <v>266</v>
      </c>
      <c r="AP111" s="68"/>
      <c r="AQ111" s="68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BH111" s="63"/>
      <c r="BI111" s="63"/>
      <c r="BJ111" s="63"/>
      <c r="BK111" s="63"/>
      <c r="BL111" s="63"/>
      <c r="BM111" s="63"/>
      <c r="BN111" s="63"/>
      <c r="BO111" s="63"/>
    </row>
    <row r="112" spans="1:67" s="183" customFormat="1" ht="18.75" hidden="1" customHeight="1" x14ac:dyDescent="0.2">
      <c r="A112" s="859"/>
      <c r="B112" s="2097" t="s">
        <v>266</v>
      </c>
      <c r="C112" s="2116">
        <v>10429.577010000001</v>
      </c>
      <c r="D112" s="2109"/>
      <c r="E112" s="1930"/>
      <c r="F112" s="676" t="s">
        <v>265</v>
      </c>
      <c r="G112" s="2047"/>
      <c r="H112" s="381"/>
      <c r="I112" s="804"/>
      <c r="J112" s="816"/>
      <c r="K112" s="1330"/>
      <c r="L112" s="382">
        <f t="shared" si="29"/>
        <v>0</v>
      </c>
      <c r="M112" s="369">
        <f t="shared" si="44"/>
        <v>0</v>
      </c>
      <c r="N112" s="174"/>
      <c r="O112" s="786" t="str">
        <f t="shared" si="40"/>
        <v xml:space="preserve"> </v>
      </c>
      <c r="P112" s="786"/>
      <c r="Q112" s="792"/>
      <c r="R112" s="660"/>
      <c r="S112" s="341"/>
      <c r="T112" s="341"/>
      <c r="U112" s="698"/>
      <c r="V112" s="697">
        <v>56.304000000000002</v>
      </c>
      <c r="W112" s="114">
        <v>1.74777</v>
      </c>
      <c r="X112" s="267"/>
      <c r="Y112" s="1741"/>
      <c r="Z112" s="1775"/>
      <c r="AA112" s="499">
        <v>6.6861000000000004E-3</v>
      </c>
      <c r="AB112" s="1790">
        <f t="shared" si="46"/>
        <v>0</v>
      </c>
      <c r="AC112" s="1286">
        <f t="shared" si="47"/>
        <v>0</v>
      </c>
      <c r="AD112" s="1286">
        <f t="shared" ref="AD112:AD124" si="48">($G112*U112/$G$125)</f>
        <v>0</v>
      </c>
      <c r="AE112" s="1286">
        <f t="shared" ref="AE112:AE124" si="49">($G112*V112/$G$125)</f>
        <v>0</v>
      </c>
      <c r="AF112" s="1286">
        <f t="shared" ref="AF112:AF124" si="50">($G112*W112/$G$125)</f>
        <v>0</v>
      </c>
      <c r="AG112" s="1289">
        <f t="shared" si="39"/>
        <v>0</v>
      </c>
      <c r="AH112" s="1287">
        <f t="shared" ref="AH112:AH124" si="51">($G112*Y112/$G$125)</f>
        <v>0</v>
      </c>
      <c r="AI112" s="1759">
        <f t="shared" si="41"/>
        <v>0</v>
      </c>
      <c r="AJ112" s="1294">
        <f t="shared" si="45"/>
        <v>0</v>
      </c>
      <c r="AK112" s="313"/>
      <c r="AL112" s="299"/>
      <c r="AM112" s="302"/>
      <c r="AN112" s="133"/>
      <c r="AO112" s="133"/>
      <c r="AP112" s="133"/>
      <c r="AQ112" s="133"/>
      <c r="AR112" s="129"/>
      <c r="AS112" s="129"/>
      <c r="AT112" s="129"/>
      <c r="AU112" s="129"/>
      <c r="AV112" s="129"/>
      <c r="AW112" s="129"/>
      <c r="AX112" s="129"/>
      <c r="AY112" s="129"/>
      <c r="AZ112" s="129"/>
      <c r="BA112" s="129"/>
      <c r="BB112" s="129"/>
      <c r="BC112" s="129"/>
      <c r="BD112" s="129"/>
      <c r="BE112" s="129"/>
      <c r="BF112" s="129"/>
      <c r="BG112" s="129"/>
      <c r="BH112" s="129"/>
      <c r="BI112" s="129"/>
      <c r="BJ112" s="129"/>
      <c r="BK112" s="129"/>
      <c r="BL112" s="129"/>
      <c r="BM112" s="129"/>
      <c r="BN112" s="129"/>
      <c r="BO112" s="129"/>
    </row>
    <row r="113" spans="1:67" s="1026" customFormat="1" ht="21.75" customHeight="1" x14ac:dyDescent="0.2">
      <c r="A113" s="995"/>
      <c r="B113" s="1469" t="s">
        <v>267</v>
      </c>
      <c r="C113" s="1470">
        <v>9347.1091500000002</v>
      </c>
      <c r="D113" s="2099"/>
      <c r="E113" s="1924">
        <v>6.1224489795918366E-2</v>
      </c>
      <c r="F113" s="331" t="s">
        <v>5</v>
      </c>
      <c r="G113" s="2034"/>
      <c r="H113" s="905"/>
      <c r="I113" s="1338"/>
      <c r="J113" s="928">
        <v>0</v>
      </c>
      <c r="K113" s="1320">
        <v>0</v>
      </c>
      <c r="L113" s="942">
        <f t="shared" si="29"/>
        <v>0</v>
      </c>
      <c r="M113" s="909">
        <f t="shared" si="44"/>
        <v>0</v>
      </c>
      <c r="N113" s="910">
        <f>SUM(M113:M114)</f>
        <v>0</v>
      </c>
      <c r="O113" s="969" t="str">
        <f t="shared" si="40"/>
        <v xml:space="preserve"> </v>
      </c>
      <c r="P113" s="912"/>
      <c r="Q113" s="929">
        <v>11.2608</v>
      </c>
      <c r="R113" s="930"/>
      <c r="S113" s="931">
        <v>17.946899999999999</v>
      </c>
      <c r="T113" s="931"/>
      <c r="U113" s="913">
        <v>62.168999999999997</v>
      </c>
      <c r="V113" s="914">
        <v>1.8768</v>
      </c>
      <c r="W113" s="932">
        <v>35.19</v>
      </c>
      <c r="X113" s="932">
        <v>8.2110000000000003</v>
      </c>
      <c r="Y113" s="1728">
        <v>0.41055000000000003</v>
      </c>
      <c r="Z113" s="1768">
        <v>1.5847230000000001</v>
      </c>
      <c r="AA113" s="933">
        <v>9.5013E-2</v>
      </c>
      <c r="AB113" s="1790">
        <f t="shared" si="46"/>
        <v>0</v>
      </c>
      <c r="AC113" s="1286">
        <f t="shared" si="47"/>
        <v>0</v>
      </c>
      <c r="AD113" s="1286">
        <f t="shared" si="48"/>
        <v>0</v>
      </c>
      <c r="AE113" s="1286">
        <f t="shared" si="49"/>
        <v>0</v>
      </c>
      <c r="AF113" s="1286">
        <f t="shared" si="50"/>
        <v>0</v>
      </c>
      <c r="AG113" s="2016">
        <f t="shared" ref="AG113:AG124" si="52">($G113*X113/$G$125)</f>
        <v>0</v>
      </c>
      <c r="AH113" s="1287">
        <f t="shared" si="51"/>
        <v>0</v>
      </c>
      <c r="AI113" s="1759">
        <f t="shared" si="41"/>
        <v>0</v>
      </c>
      <c r="AJ113" s="2207">
        <f t="shared" si="45"/>
        <v>0</v>
      </c>
      <c r="AK113" s="2208"/>
      <c r="AL113" s="303"/>
      <c r="AM113" s="303"/>
      <c r="AN113" s="68"/>
      <c r="AO113" s="68"/>
      <c r="AP113" s="68"/>
      <c r="AQ113" s="68"/>
      <c r="AR113" s="68"/>
      <c r="AS113" s="68"/>
      <c r="AT113" s="68"/>
      <c r="AU113" s="68"/>
      <c r="AV113" s="68"/>
      <c r="AW113" s="68"/>
      <c r="AX113" s="68"/>
      <c r="AY113" s="68"/>
      <c r="AZ113" s="68"/>
      <c r="BA113" s="68"/>
      <c r="BB113" s="68"/>
      <c r="BC113" s="68"/>
      <c r="BD113" s="68"/>
      <c r="BE113" s="68"/>
      <c r="BF113" s="68"/>
      <c r="BG113" s="68"/>
      <c r="BH113" s="68"/>
      <c r="BI113" s="68"/>
      <c r="BJ113" s="68"/>
      <c r="BK113" s="68"/>
      <c r="BL113" s="68"/>
      <c r="BM113" s="68"/>
      <c r="BN113" s="68"/>
      <c r="BO113" s="68"/>
    </row>
    <row r="114" spans="1:67" s="184" customFormat="1" ht="18.75" hidden="1" customHeight="1" x14ac:dyDescent="0.2">
      <c r="A114" s="949" t="s">
        <v>268</v>
      </c>
      <c r="B114" s="1316" t="s">
        <v>57</v>
      </c>
      <c r="C114" s="873">
        <v>9347.1091500000002</v>
      </c>
      <c r="D114" s="2098"/>
      <c r="E114" s="1923"/>
      <c r="F114" s="171" t="s">
        <v>265</v>
      </c>
      <c r="G114" s="1853"/>
      <c r="H114" s="1007"/>
      <c r="I114" s="1024"/>
      <c r="J114" s="919"/>
      <c r="K114" s="1324"/>
      <c r="L114" s="978"/>
      <c r="M114" s="920">
        <f t="shared" si="44"/>
        <v>0</v>
      </c>
      <c r="N114" s="921"/>
      <c r="O114" s="970" t="str">
        <f>IF(N114=0," ",(J114+K114)/N114)</f>
        <v xml:space="preserve"> </v>
      </c>
      <c r="P114" s="923"/>
      <c r="Q114" s="936">
        <v>10.0878</v>
      </c>
      <c r="R114" s="1025"/>
      <c r="S114" s="938">
        <v>17.008500000000002</v>
      </c>
      <c r="T114" s="938"/>
      <c r="U114" s="979">
        <v>62.168999999999997</v>
      </c>
      <c r="V114" s="980">
        <v>1.8768</v>
      </c>
      <c r="W114" s="939">
        <v>35.19</v>
      </c>
      <c r="X114" s="939">
        <v>8.2110000000000003</v>
      </c>
      <c r="Y114" s="1734">
        <v>0.41055000000000003</v>
      </c>
      <c r="Z114" s="1767">
        <v>1.5847230000000001</v>
      </c>
      <c r="AA114" s="940">
        <v>9.5013E-2</v>
      </c>
      <c r="AB114" s="1790">
        <f t="shared" si="46"/>
        <v>0</v>
      </c>
      <c r="AC114" s="1286">
        <f t="shared" si="47"/>
        <v>0</v>
      </c>
      <c r="AD114" s="1286">
        <f t="shared" si="48"/>
        <v>0</v>
      </c>
      <c r="AE114" s="1286">
        <f t="shared" si="49"/>
        <v>0</v>
      </c>
      <c r="AF114" s="1286">
        <f t="shared" si="50"/>
        <v>0</v>
      </c>
      <c r="AG114" s="1289">
        <f t="shared" si="52"/>
        <v>0</v>
      </c>
      <c r="AH114" s="1287">
        <f t="shared" si="51"/>
        <v>0</v>
      </c>
      <c r="AI114" s="1759">
        <f t="shared" si="41"/>
        <v>0</v>
      </c>
      <c r="AJ114" s="1290">
        <f t="shared" si="45"/>
        <v>0</v>
      </c>
      <c r="AK114" s="313"/>
      <c r="AL114" s="299"/>
      <c r="AM114" s="302"/>
      <c r="AN114" s="133"/>
      <c r="AO114" s="133"/>
      <c r="AP114" s="133"/>
      <c r="AQ114" s="133"/>
      <c r="AR114" s="129"/>
      <c r="AS114" s="129"/>
      <c r="AT114" s="129"/>
      <c r="AU114" s="129"/>
      <c r="AV114" s="129"/>
      <c r="AW114" s="129"/>
      <c r="AX114" s="129"/>
      <c r="AY114" s="129"/>
      <c r="AZ114" s="129"/>
      <c r="BA114" s="129"/>
      <c r="BB114" s="129"/>
      <c r="BC114" s="129"/>
      <c r="BD114" s="129"/>
      <c r="BE114" s="129"/>
      <c r="BF114" s="129"/>
      <c r="BG114" s="129"/>
      <c r="BH114" s="129"/>
      <c r="BI114" s="129"/>
      <c r="BJ114" s="129"/>
      <c r="BK114" s="129"/>
      <c r="BL114" s="129"/>
      <c r="BM114" s="129"/>
      <c r="BN114" s="129"/>
      <c r="BO114" s="129"/>
    </row>
    <row r="115" spans="1:67" s="64" customFormat="1" ht="21" hidden="1" customHeight="1" x14ac:dyDescent="0.2">
      <c r="A115" s="972"/>
      <c r="B115" s="1095" t="s">
        <v>269</v>
      </c>
      <c r="C115" s="1278">
        <v>13312.904850000001</v>
      </c>
      <c r="D115" s="2100"/>
      <c r="E115" s="1486"/>
      <c r="F115" s="332" t="s">
        <v>265</v>
      </c>
      <c r="G115" s="1003"/>
      <c r="H115" s="251"/>
      <c r="I115" s="806"/>
      <c r="J115" s="888">
        <v>0</v>
      </c>
      <c r="K115" s="1327">
        <v>0</v>
      </c>
      <c r="L115" s="889">
        <f>SUM(J115:K115)</f>
        <v>0</v>
      </c>
      <c r="M115" s="900">
        <f t="shared" si="44"/>
        <v>0</v>
      </c>
      <c r="N115" s="901">
        <f>SUM(M115:M116)</f>
        <v>0</v>
      </c>
      <c r="O115" s="984" t="str">
        <f>IF(N115=0," ",(J115+K115)/N115)</f>
        <v xml:space="preserve"> </v>
      </c>
      <c r="P115" s="903"/>
      <c r="Q115" s="944">
        <v>9.7359000000000009</v>
      </c>
      <c r="R115" s="945"/>
      <c r="S115" s="946">
        <v>21.231300000000001</v>
      </c>
      <c r="T115" s="946"/>
      <c r="U115" s="992">
        <v>55.131</v>
      </c>
      <c r="V115" s="993">
        <v>1.6304700000000001</v>
      </c>
      <c r="W115" s="947">
        <v>46.92</v>
      </c>
      <c r="X115" s="947">
        <v>8.2110000000000003</v>
      </c>
      <c r="Y115" s="1735">
        <v>0.50439000000000001</v>
      </c>
      <c r="Z115" s="1769"/>
      <c r="AA115" s="948">
        <v>9.5013E-2</v>
      </c>
      <c r="AB115" s="1790">
        <f t="shared" si="46"/>
        <v>0</v>
      </c>
      <c r="AC115" s="1286">
        <f t="shared" si="47"/>
        <v>0</v>
      </c>
      <c r="AD115" s="1286">
        <f t="shared" si="48"/>
        <v>0</v>
      </c>
      <c r="AE115" s="1286">
        <f t="shared" si="49"/>
        <v>0</v>
      </c>
      <c r="AF115" s="1286">
        <f t="shared" si="50"/>
        <v>0</v>
      </c>
      <c r="AG115" s="1289">
        <f t="shared" si="52"/>
        <v>0</v>
      </c>
      <c r="AH115" s="1287">
        <f t="shared" si="51"/>
        <v>0</v>
      </c>
      <c r="AI115" s="1759">
        <f t="shared" si="41"/>
        <v>0</v>
      </c>
      <c r="AJ115" s="1288">
        <f t="shared" ref="AJ115:AJ124" si="53">($G115*AA115/$G$125)</f>
        <v>0</v>
      </c>
      <c r="AK115" s="312"/>
      <c r="AL115" s="298"/>
      <c r="AM115" s="303"/>
      <c r="AN115" s="68"/>
      <c r="AO115" s="68"/>
      <c r="AP115" s="68"/>
      <c r="AQ115" s="68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63"/>
      <c r="BF115" s="63"/>
      <c r="BG115" s="63"/>
      <c r="BH115" s="63"/>
      <c r="BI115" s="63"/>
      <c r="BJ115" s="63"/>
      <c r="BK115" s="63"/>
      <c r="BL115" s="63"/>
      <c r="BM115" s="63"/>
      <c r="BN115" s="63"/>
      <c r="BO115" s="63"/>
    </row>
    <row r="116" spans="1:67" s="64" customFormat="1" ht="23.25" hidden="1" customHeight="1" x14ac:dyDescent="0.2">
      <c r="A116" s="857"/>
      <c r="B116" s="1095" t="s">
        <v>269</v>
      </c>
      <c r="C116" s="1278">
        <v>13312.904850000001</v>
      </c>
      <c r="D116" s="2110"/>
      <c r="E116" s="1931"/>
      <c r="F116" s="332" t="s">
        <v>265</v>
      </c>
      <c r="G116" s="830"/>
      <c r="H116" s="251"/>
      <c r="I116" s="806"/>
      <c r="J116" s="815"/>
      <c r="K116" s="1331"/>
      <c r="L116" s="404"/>
      <c r="M116" s="645">
        <f t="shared" si="44"/>
        <v>0</v>
      </c>
      <c r="N116" s="192"/>
      <c r="O116" s="347" t="str">
        <f>IF(N116=0," ",(J116+K116)/N116)</f>
        <v xml:space="preserve"> </v>
      </c>
      <c r="P116" s="784"/>
      <c r="Q116" s="241">
        <v>9.0320999999999998</v>
      </c>
      <c r="R116" s="659"/>
      <c r="S116" s="293">
        <v>20.6448</v>
      </c>
      <c r="T116" s="293"/>
      <c r="U116" s="699">
        <v>55.131</v>
      </c>
      <c r="V116" s="700">
        <v>1.6304700000000001</v>
      </c>
      <c r="W116" s="268">
        <v>46.92</v>
      </c>
      <c r="X116" s="268">
        <v>8.2110000000000003</v>
      </c>
      <c r="Y116" s="1742">
        <v>0.50439000000000001</v>
      </c>
      <c r="Z116" s="1776"/>
      <c r="AA116" s="492">
        <v>9.5013E-2</v>
      </c>
      <c r="AB116" s="1790">
        <f t="shared" si="46"/>
        <v>0</v>
      </c>
      <c r="AC116" s="1286">
        <f t="shared" si="47"/>
        <v>0</v>
      </c>
      <c r="AD116" s="1286">
        <f t="shared" si="48"/>
        <v>0</v>
      </c>
      <c r="AE116" s="1286">
        <f t="shared" si="49"/>
        <v>0</v>
      </c>
      <c r="AF116" s="1286">
        <f t="shared" si="50"/>
        <v>0</v>
      </c>
      <c r="AG116" s="1289">
        <f t="shared" si="52"/>
        <v>0</v>
      </c>
      <c r="AH116" s="1287">
        <f t="shared" si="51"/>
        <v>0</v>
      </c>
      <c r="AI116" s="1759">
        <f t="shared" si="41"/>
        <v>0</v>
      </c>
      <c r="AJ116" s="1290">
        <f t="shared" si="53"/>
        <v>0</v>
      </c>
      <c r="AK116" s="313"/>
      <c r="AL116" s="298"/>
      <c r="AM116" s="303"/>
      <c r="AN116" s="68"/>
      <c r="AO116" s="68"/>
      <c r="AP116" s="68"/>
      <c r="AQ116" s="68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BH116" s="63"/>
      <c r="BI116" s="63"/>
      <c r="BJ116" s="63"/>
      <c r="BK116" s="63"/>
      <c r="BL116" s="63"/>
      <c r="BM116" s="63"/>
      <c r="BN116" s="63"/>
      <c r="BO116" s="63"/>
    </row>
    <row r="117" spans="1:67" s="2177" customFormat="1" ht="21" customHeight="1" x14ac:dyDescent="0.2">
      <c r="A117" s="2069" t="s">
        <v>270</v>
      </c>
      <c r="B117" s="2080" t="s">
        <v>137</v>
      </c>
      <c r="C117" s="2115">
        <v>9515.5284900000006</v>
      </c>
      <c r="D117" s="2081">
        <v>3.5190000000000001</v>
      </c>
      <c r="E117" s="1922">
        <v>3.1836734693877551</v>
      </c>
      <c r="F117" s="1397" t="s">
        <v>5</v>
      </c>
      <c r="G117" s="2174">
        <v>3.5190000000000001</v>
      </c>
      <c r="H117" s="2175"/>
      <c r="I117" s="2176"/>
      <c r="J117" s="1389"/>
      <c r="K117" s="1390">
        <v>2400</v>
      </c>
      <c r="L117" s="1391">
        <f>SUM(J117:K117)</f>
        <v>2400</v>
      </c>
      <c r="M117" s="1392">
        <f t="shared" si="44"/>
        <v>94.713749699574748</v>
      </c>
      <c r="N117" s="1393">
        <f>SUM(M117:M118)</f>
        <v>94.713749699574748</v>
      </c>
      <c r="O117" s="1574">
        <f>IF(N117=0," ",(J117+K117)/N117)</f>
        <v>25.33950991923167</v>
      </c>
      <c r="P117" s="1394"/>
      <c r="Q117" s="1399">
        <v>9.5013000000000005</v>
      </c>
      <c r="R117" s="1400"/>
      <c r="S117" s="1401">
        <v>18.4161</v>
      </c>
      <c r="T117" s="1401"/>
      <c r="U117" s="1395">
        <v>48.093000000000004</v>
      </c>
      <c r="V117" s="1396">
        <v>1.6773899999999999</v>
      </c>
      <c r="W117" s="1402">
        <v>37.536000000000001</v>
      </c>
      <c r="X117" s="1402">
        <v>7.0380000000000003</v>
      </c>
      <c r="Y117" s="1733">
        <v>0.39882000000000001</v>
      </c>
      <c r="Z117" s="1766">
        <v>1.048662</v>
      </c>
      <c r="AA117" s="1403"/>
      <c r="AB117" s="1789">
        <f t="shared" si="46"/>
        <v>0.24299999999999997</v>
      </c>
      <c r="AC117" s="1404">
        <f t="shared" si="47"/>
        <v>0.47099999999999992</v>
      </c>
      <c r="AD117" s="1404">
        <f t="shared" si="48"/>
        <v>1.23</v>
      </c>
      <c r="AE117" s="1404">
        <f t="shared" si="49"/>
        <v>4.2900000000000001E-2</v>
      </c>
      <c r="AF117" s="1404">
        <f t="shared" si="50"/>
        <v>0.96</v>
      </c>
      <c r="AG117" s="1405">
        <f t="shared" si="52"/>
        <v>0.18</v>
      </c>
      <c r="AH117" s="1406">
        <f t="shared" si="51"/>
        <v>1.0200000000000001E-2</v>
      </c>
      <c r="AI117" s="1758">
        <f t="shared" si="41"/>
        <v>2.682E-2</v>
      </c>
      <c r="AJ117" s="1407">
        <f t="shared" si="53"/>
        <v>0</v>
      </c>
      <c r="AK117" s="1722"/>
      <c r="AL117" s="1409"/>
      <c r="AM117" s="1475"/>
      <c r="AN117" s="1353"/>
      <c r="AO117" s="1353"/>
      <c r="AP117" s="1353"/>
      <c r="AQ117" s="1353"/>
      <c r="AR117" s="1336"/>
      <c r="AS117" s="1336"/>
      <c r="AT117" s="1336"/>
      <c r="AU117" s="1336"/>
      <c r="AV117" s="1336"/>
      <c r="AW117" s="1336"/>
      <c r="AX117" s="1336"/>
      <c r="AY117" s="1336"/>
      <c r="AZ117" s="1336"/>
      <c r="BA117" s="1336"/>
      <c r="BB117" s="1336"/>
      <c r="BC117" s="1336"/>
      <c r="BD117" s="1336"/>
      <c r="BE117" s="1336"/>
      <c r="BF117" s="1336"/>
      <c r="BG117" s="1336"/>
      <c r="BH117" s="1336"/>
      <c r="BI117" s="1336"/>
      <c r="BJ117" s="1336"/>
      <c r="BK117" s="1336"/>
      <c r="BL117" s="1336"/>
      <c r="BM117" s="1336"/>
      <c r="BN117" s="1336"/>
      <c r="BO117" s="1336"/>
    </row>
    <row r="118" spans="1:67" s="64" customFormat="1" ht="18.75" customHeight="1" thickBot="1" x14ac:dyDescent="0.25">
      <c r="A118" s="854" t="s">
        <v>271</v>
      </c>
      <c r="B118" s="1412" t="s">
        <v>137</v>
      </c>
      <c r="C118" s="2134"/>
      <c r="D118" s="1930"/>
      <c r="E118" s="1930"/>
      <c r="F118" s="148" t="s">
        <v>265</v>
      </c>
      <c r="G118" s="380"/>
      <c r="H118" s="381"/>
      <c r="I118" s="808"/>
      <c r="J118" s="728"/>
      <c r="K118" s="1332"/>
      <c r="L118" s="382"/>
      <c r="M118" s="369">
        <f t="shared" si="44"/>
        <v>0</v>
      </c>
      <c r="N118" s="174"/>
      <c r="O118" s="365"/>
      <c r="P118" s="365"/>
      <c r="Q118" s="792">
        <v>9.6185999999999989</v>
      </c>
      <c r="R118" s="660"/>
      <c r="S118" s="341">
        <v>18.768000000000001</v>
      </c>
      <c r="T118" s="341"/>
      <c r="U118" s="992">
        <v>48.093000000000004</v>
      </c>
      <c r="V118" s="993">
        <v>1.6773899999999999</v>
      </c>
      <c r="W118" s="947">
        <v>37.536000000000001</v>
      </c>
      <c r="X118" s="947">
        <v>7.0380000000000003</v>
      </c>
      <c r="Y118" s="1735">
        <v>0.39882000000000001</v>
      </c>
      <c r="Z118" s="1777">
        <v>1.048662</v>
      </c>
      <c r="AA118" s="349"/>
      <c r="AB118" s="1790">
        <f t="shared" si="46"/>
        <v>0</v>
      </c>
      <c r="AC118" s="1286">
        <f t="shared" si="47"/>
        <v>0</v>
      </c>
      <c r="AD118" s="1286">
        <f t="shared" si="48"/>
        <v>0</v>
      </c>
      <c r="AE118" s="1286">
        <f t="shared" si="49"/>
        <v>0</v>
      </c>
      <c r="AF118" s="1286">
        <f t="shared" si="50"/>
        <v>0</v>
      </c>
      <c r="AG118" s="1289">
        <f t="shared" si="52"/>
        <v>0</v>
      </c>
      <c r="AH118" s="1287">
        <f t="shared" si="51"/>
        <v>0</v>
      </c>
      <c r="AI118" s="1759">
        <f t="shared" ref="AI118:AI124" si="54">($G118*Z118/$G$125)</f>
        <v>0</v>
      </c>
      <c r="AJ118" s="1290">
        <f t="shared" si="53"/>
        <v>0</v>
      </c>
      <c r="AK118" s="313"/>
      <c r="AL118" s="298"/>
      <c r="AM118" s="303"/>
      <c r="AN118" s="68"/>
      <c r="AO118" s="68"/>
      <c r="AP118" s="68"/>
      <c r="AQ118" s="68"/>
      <c r="AR118" s="63"/>
      <c r="AS118" s="63"/>
      <c r="AT118" s="63"/>
      <c r="AU118" s="63"/>
      <c r="AV118" s="63"/>
      <c r="AW118" s="63"/>
      <c r="AX118" s="63"/>
      <c r="AY118" s="63"/>
      <c r="AZ118" s="63"/>
      <c r="BA118" s="63"/>
      <c r="BB118" s="63"/>
      <c r="BC118" s="63"/>
      <c r="BD118" s="63"/>
      <c r="BE118" s="63"/>
      <c r="BF118" s="63"/>
      <c r="BG118" s="63"/>
      <c r="BH118" s="63"/>
      <c r="BI118" s="63"/>
      <c r="BJ118" s="63"/>
      <c r="BK118" s="63"/>
      <c r="BL118" s="63"/>
      <c r="BM118" s="63"/>
      <c r="BN118" s="63"/>
      <c r="BO118" s="63"/>
    </row>
    <row r="119" spans="1:67" s="65" customFormat="1" ht="18.75" hidden="1" customHeight="1" x14ac:dyDescent="0.2">
      <c r="A119" s="140"/>
      <c r="B119" s="167"/>
      <c r="C119" s="131"/>
      <c r="D119" s="1929"/>
      <c r="E119" s="1929"/>
      <c r="F119" s="145" t="s">
        <v>265</v>
      </c>
      <c r="G119" s="829"/>
      <c r="H119" s="379"/>
      <c r="I119" s="809"/>
      <c r="J119" s="727"/>
      <c r="K119" s="1333"/>
      <c r="L119" s="383"/>
      <c r="M119" s="370">
        <f t="shared" si="44"/>
        <v>0</v>
      </c>
      <c r="N119" s="169">
        <f>SUM(M119:M120)</f>
        <v>0</v>
      </c>
      <c r="O119" s="366" t="str">
        <f>IF(M119=0," ",L119/M119)</f>
        <v xml:space="preserve"> </v>
      </c>
      <c r="P119" s="366"/>
      <c r="Q119" s="793"/>
      <c r="R119" s="661"/>
      <c r="S119" s="432"/>
      <c r="T119" s="432"/>
      <c r="U119" s="431"/>
      <c r="V119" s="433"/>
      <c r="W119" s="434"/>
      <c r="X119" s="434"/>
      <c r="Y119" s="1743"/>
      <c r="Z119" s="1778"/>
      <c r="AA119" s="350"/>
      <c r="AB119" s="1790">
        <f t="shared" si="46"/>
        <v>0</v>
      </c>
      <c r="AC119" s="1286">
        <f t="shared" si="47"/>
        <v>0</v>
      </c>
      <c r="AD119" s="1286">
        <f t="shared" si="48"/>
        <v>0</v>
      </c>
      <c r="AE119" s="1286">
        <f t="shared" si="49"/>
        <v>0</v>
      </c>
      <c r="AF119" s="1286">
        <f t="shared" si="50"/>
        <v>0</v>
      </c>
      <c r="AG119" s="1289">
        <f t="shared" si="52"/>
        <v>0</v>
      </c>
      <c r="AH119" s="1287">
        <f t="shared" si="51"/>
        <v>0</v>
      </c>
      <c r="AI119" s="1759">
        <f t="shared" si="54"/>
        <v>0</v>
      </c>
      <c r="AJ119" s="1290">
        <f t="shared" si="53"/>
        <v>0</v>
      </c>
      <c r="AK119" s="313"/>
      <c r="AL119" s="299"/>
      <c r="AM119" s="302"/>
      <c r="AN119" s="133"/>
      <c r="AO119" s="133"/>
      <c r="AP119" s="133"/>
      <c r="AQ119" s="133"/>
      <c r="AR119" s="129"/>
      <c r="AS119" s="129"/>
      <c r="AT119" s="129"/>
      <c r="AU119" s="129"/>
      <c r="AV119" s="129"/>
      <c r="AW119" s="129"/>
      <c r="AX119" s="129"/>
      <c r="AY119" s="129"/>
      <c r="AZ119" s="129"/>
      <c r="BA119" s="129"/>
      <c r="BB119" s="129"/>
      <c r="BC119" s="129"/>
      <c r="BD119" s="129"/>
      <c r="BE119" s="129"/>
      <c r="BF119" s="129"/>
      <c r="BG119" s="129"/>
      <c r="BH119" s="129"/>
      <c r="BI119" s="129"/>
      <c r="BJ119" s="129"/>
      <c r="BK119" s="129"/>
      <c r="BL119" s="129"/>
      <c r="BM119" s="129"/>
      <c r="BN119" s="129"/>
      <c r="BO119" s="129"/>
    </row>
    <row r="120" spans="1:67" s="64" customFormat="1" ht="18.75" hidden="1" customHeight="1" x14ac:dyDescent="0.2">
      <c r="A120" s="501"/>
      <c r="B120" s="1412"/>
      <c r="C120" s="150"/>
      <c r="D120" s="1930"/>
      <c r="E120" s="1930"/>
      <c r="F120" s="148" t="s">
        <v>265</v>
      </c>
      <c r="G120" s="380"/>
      <c r="H120" s="381"/>
      <c r="I120" s="808"/>
      <c r="J120" s="728"/>
      <c r="K120" s="1332"/>
      <c r="L120" s="382"/>
      <c r="M120" s="369">
        <f t="shared" si="44"/>
        <v>0</v>
      </c>
      <c r="N120" s="174"/>
      <c r="O120" s="365"/>
      <c r="P120" s="365"/>
      <c r="Q120" s="792"/>
      <c r="R120" s="660"/>
      <c r="S120" s="341"/>
      <c r="T120" s="341"/>
      <c r="U120" s="430"/>
      <c r="V120" s="480"/>
      <c r="W120" s="114"/>
      <c r="X120" s="114"/>
      <c r="Y120" s="1741"/>
      <c r="Z120" s="1777"/>
      <c r="AA120" s="349"/>
      <c r="AB120" s="1790">
        <f t="shared" si="46"/>
        <v>0</v>
      </c>
      <c r="AC120" s="1286">
        <f t="shared" si="47"/>
        <v>0</v>
      </c>
      <c r="AD120" s="1286">
        <f t="shared" si="48"/>
        <v>0</v>
      </c>
      <c r="AE120" s="1286">
        <f t="shared" si="49"/>
        <v>0</v>
      </c>
      <c r="AF120" s="1286">
        <f t="shared" si="50"/>
        <v>0</v>
      </c>
      <c r="AG120" s="1289">
        <f t="shared" si="52"/>
        <v>0</v>
      </c>
      <c r="AH120" s="1287">
        <f t="shared" si="51"/>
        <v>0</v>
      </c>
      <c r="AI120" s="1759">
        <f t="shared" si="54"/>
        <v>0</v>
      </c>
      <c r="AJ120" s="1290">
        <f t="shared" si="53"/>
        <v>0</v>
      </c>
      <c r="AK120" s="313"/>
      <c r="AL120" s="298"/>
      <c r="AM120" s="303"/>
      <c r="AN120" s="68"/>
      <c r="AO120" s="68"/>
      <c r="AP120" s="68"/>
      <c r="AQ120" s="68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BH120" s="63"/>
      <c r="BI120" s="63"/>
      <c r="BJ120" s="63"/>
      <c r="BK120" s="63"/>
      <c r="BL120" s="63"/>
      <c r="BM120" s="63"/>
      <c r="BN120" s="63"/>
      <c r="BO120" s="63"/>
    </row>
    <row r="121" spans="1:67" s="185" customFormat="1" ht="18.75" hidden="1" customHeight="1" x14ac:dyDescent="0.2">
      <c r="A121" s="141"/>
      <c r="B121" s="1413" t="s">
        <v>272</v>
      </c>
      <c r="C121" s="159"/>
      <c r="D121" s="1932"/>
      <c r="E121" s="1932"/>
      <c r="F121" s="142"/>
      <c r="G121" s="831"/>
      <c r="H121" s="775"/>
      <c r="I121" s="810"/>
      <c r="J121" s="818"/>
      <c r="K121" s="1333"/>
      <c r="L121" s="385"/>
      <c r="M121" s="371">
        <f t="shared" si="44"/>
        <v>0</v>
      </c>
      <c r="N121" s="372">
        <f>SUM(M121:M122)</f>
        <v>0</v>
      </c>
      <c r="O121" s="366" t="str">
        <f>IF(M121=0," ",L121/M121)</f>
        <v xml:space="preserve"> </v>
      </c>
      <c r="P121" s="373"/>
      <c r="Q121" s="794"/>
      <c r="R121" s="662"/>
      <c r="S121" s="432"/>
      <c r="T121" s="432"/>
      <c r="U121" s="435">
        <v>0</v>
      </c>
      <c r="V121" s="436"/>
      <c r="W121" s="127">
        <v>2.7448199999999998</v>
      </c>
      <c r="X121" s="127"/>
      <c r="Y121" s="1744"/>
      <c r="Z121" s="1779"/>
      <c r="AA121" s="351"/>
      <c r="AB121" s="1790">
        <f t="shared" si="46"/>
        <v>0</v>
      </c>
      <c r="AC121" s="1286">
        <f t="shared" si="47"/>
        <v>0</v>
      </c>
      <c r="AD121" s="1286">
        <f t="shared" si="48"/>
        <v>0</v>
      </c>
      <c r="AE121" s="1286">
        <f t="shared" si="49"/>
        <v>0</v>
      </c>
      <c r="AF121" s="1286">
        <f t="shared" si="50"/>
        <v>0</v>
      </c>
      <c r="AG121" s="1289">
        <f t="shared" si="52"/>
        <v>0</v>
      </c>
      <c r="AH121" s="1287">
        <f t="shared" si="51"/>
        <v>0</v>
      </c>
      <c r="AI121" s="1759">
        <f t="shared" si="54"/>
        <v>0</v>
      </c>
      <c r="AJ121" s="1290">
        <f t="shared" si="53"/>
        <v>0</v>
      </c>
      <c r="AK121" s="313"/>
      <c r="AL121" s="299"/>
      <c r="AM121" s="302"/>
      <c r="AN121" s="133"/>
      <c r="AO121" s="133"/>
      <c r="AP121" s="133"/>
      <c r="AQ121" s="133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29"/>
      <c r="BJ121" s="129"/>
      <c r="BK121" s="129"/>
      <c r="BL121" s="129"/>
      <c r="BM121" s="129"/>
      <c r="BN121" s="129"/>
      <c r="BO121" s="129"/>
    </row>
    <row r="122" spans="1:67" s="186" customFormat="1" ht="18.75" hidden="1" customHeight="1" x14ac:dyDescent="0.2">
      <c r="A122" s="157"/>
      <c r="B122" s="1414"/>
      <c r="C122" s="161"/>
      <c r="D122" s="1933"/>
      <c r="E122" s="1933"/>
      <c r="F122" s="158"/>
      <c r="G122" s="832"/>
      <c r="H122" s="776"/>
      <c r="I122" s="811"/>
      <c r="J122" s="819"/>
      <c r="K122" s="1332"/>
      <c r="L122" s="386"/>
      <c r="M122" s="374">
        <f t="shared" si="44"/>
        <v>0</v>
      </c>
      <c r="N122" s="375"/>
      <c r="O122" s="365"/>
      <c r="P122" s="376"/>
      <c r="Q122" s="795"/>
      <c r="R122" s="663"/>
      <c r="S122" s="341"/>
      <c r="T122" s="341"/>
      <c r="U122" s="437"/>
      <c r="V122" s="438"/>
      <c r="W122" s="162">
        <v>2.7448199999999998</v>
      </c>
      <c r="X122" s="162"/>
      <c r="Y122" s="1745"/>
      <c r="Z122" s="1780"/>
      <c r="AA122" s="352"/>
      <c r="AB122" s="1790">
        <f t="shared" si="46"/>
        <v>0</v>
      </c>
      <c r="AC122" s="1286">
        <f t="shared" si="47"/>
        <v>0</v>
      </c>
      <c r="AD122" s="1286">
        <f t="shared" si="48"/>
        <v>0</v>
      </c>
      <c r="AE122" s="1286">
        <f t="shared" si="49"/>
        <v>0</v>
      </c>
      <c r="AF122" s="1286">
        <f t="shared" si="50"/>
        <v>0</v>
      </c>
      <c r="AG122" s="1289">
        <f t="shared" si="52"/>
        <v>0</v>
      </c>
      <c r="AH122" s="1287">
        <f t="shared" si="51"/>
        <v>0</v>
      </c>
      <c r="AI122" s="1759">
        <f t="shared" si="54"/>
        <v>0</v>
      </c>
      <c r="AJ122" s="1290">
        <f t="shared" si="53"/>
        <v>0</v>
      </c>
      <c r="AK122" s="313"/>
      <c r="AL122" s="298"/>
      <c r="AM122" s="303"/>
      <c r="AN122" s="68"/>
      <c r="AO122" s="68"/>
      <c r="AP122" s="68"/>
      <c r="AQ122" s="68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BH122" s="63"/>
      <c r="BI122" s="63"/>
      <c r="BJ122" s="63"/>
      <c r="BK122" s="63"/>
      <c r="BL122" s="63"/>
      <c r="BM122" s="63"/>
      <c r="BN122" s="63"/>
      <c r="BO122" s="63"/>
    </row>
    <row r="123" spans="1:67" s="186" customFormat="1" ht="18.75" hidden="1" customHeight="1" x14ac:dyDescent="0.2">
      <c r="A123" s="502"/>
      <c r="B123" s="1413" t="s">
        <v>273</v>
      </c>
      <c r="C123" s="159"/>
      <c r="D123" s="1932"/>
      <c r="E123" s="1932"/>
      <c r="F123" s="160"/>
      <c r="G123" s="833"/>
      <c r="H123" s="777"/>
      <c r="I123" s="812"/>
      <c r="J123" s="820"/>
      <c r="K123" s="1334"/>
      <c r="L123" s="387"/>
      <c r="M123" s="371">
        <f t="shared" si="44"/>
        <v>0</v>
      </c>
      <c r="N123" s="377">
        <f>SUM(M123:M124)</f>
        <v>0</v>
      </c>
      <c r="O123" s="869" t="str">
        <f>IF(M123=0," ",L123/M123)</f>
        <v xml:space="preserve"> </v>
      </c>
      <c r="P123" s="378"/>
      <c r="Q123" s="796"/>
      <c r="R123" s="664"/>
      <c r="S123" s="340"/>
      <c r="T123" s="340"/>
      <c r="U123" s="439"/>
      <c r="V123" s="440"/>
      <c r="W123" s="127"/>
      <c r="X123" s="127"/>
      <c r="Y123" s="1746"/>
      <c r="Z123" s="1781"/>
      <c r="AA123" s="353"/>
      <c r="AB123" s="1790">
        <f t="shared" si="46"/>
        <v>0</v>
      </c>
      <c r="AC123" s="1286">
        <f t="shared" si="47"/>
        <v>0</v>
      </c>
      <c r="AD123" s="1286">
        <f t="shared" si="48"/>
        <v>0</v>
      </c>
      <c r="AE123" s="1286">
        <f t="shared" si="49"/>
        <v>0</v>
      </c>
      <c r="AF123" s="1286">
        <f t="shared" si="50"/>
        <v>0</v>
      </c>
      <c r="AG123" s="1289">
        <f t="shared" si="52"/>
        <v>0</v>
      </c>
      <c r="AH123" s="1287">
        <f t="shared" si="51"/>
        <v>0</v>
      </c>
      <c r="AI123" s="1759">
        <f t="shared" si="54"/>
        <v>0</v>
      </c>
      <c r="AJ123" s="1290">
        <f t="shared" si="53"/>
        <v>0</v>
      </c>
      <c r="AK123" s="313"/>
      <c r="AL123" s="298"/>
      <c r="AM123" s="303"/>
      <c r="AN123" s="68"/>
      <c r="AO123" s="68"/>
      <c r="AP123" s="68"/>
      <c r="AQ123" s="68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BH123" s="63"/>
      <c r="BI123" s="63"/>
      <c r="BJ123" s="63"/>
      <c r="BK123" s="63"/>
      <c r="BL123" s="63"/>
      <c r="BM123" s="63"/>
      <c r="BN123" s="63"/>
      <c r="BO123" s="63"/>
    </row>
    <row r="124" spans="1:67" s="183" customFormat="1" ht="18.75" hidden="1" customHeight="1" thickBot="1" x14ac:dyDescent="0.25">
      <c r="A124" s="1355"/>
      <c r="B124" s="1415"/>
      <c r="C124" s="1356"/>
      <c r="D124" s="1934"/>
      <c r="E124" s="1934"/>
      <c r="F124" s="1357"/>
      <c r="G124" s="1358"/>
      <c r="H124" s="1359"/>
      <c r="I124" s="1360"/>
      <c r="J124" s="1361"/>
      <c r="K124" s="1335"/>
      <c r="L124" s="1362"/>
      <c r="M124" s="1363">
        <f t="shared" si="44"/>
        <v>0</v>
      </c>
      <c r="N124" s="1364"/>
      <c r="O124" s="870"/>
      <c r="P124" s="870"/>
      <c r="Q124" s="1365"/>
      <c r="R124" s="1366"/>
      <c r="S124" s="441"/>
      <c r="T124" s="441"/>
      <c r="U124" s="1367"/>
      <c r="V124" s="1368"/>
      <c r="W124" s="1369"/>
      <c r="X124" s="1369"/>
      <c r="Y124" s="1747"/>
      <c r="Z124" s="1782"/>
      <c r="AA124" s="1370"/>
      <c r="AB124" s="1790">
        <f t="shared" si="46"/>
        <v>0</v>
      </c>
      <c r="AC124" s="1286">
        <f t="shared" si="47"/>
        <v>0</v>
      </c>
      <c r="AD124" s="1286">
        <f t="shared" si="48"/>
        <v>0</v>
      </c>
      <c r="AE124" s="1286">
        <f t="shared" si="49"/>
        <v>0</v>
      </c>
      <c r="AF124" s="1286">
        <f t="shared" si="50"/>
        <v>0</v>
      </c>
      <c r="AG124" s="1289">
        <f t="shared" si="52"/>
        <v>0</v>
      </c>
      <c r="AH124" s="1287">
        <f t="shared" si="51"/>
        <v>0</v>
      </c>
      <c r="AI124" s="1759">
        <f t="shared" si="54"/>
        <v>0</v>
      </c>
      <c r="AJ124" s="1290">
        <f t="shared" si="53"/>
        <v>0</v>
      </c>
      <c r="AK124" s="313"/>
      <c r="AL124" s="299"/>
      <c r="AM124" s="302"/>
      <c r="AN124" s="133"/>
      <c r="AO124" s="133"/>
      <c r="AP124" s="133"/>
      <c r="AQ124" s="133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</row>
    <row r="125" spans="1:67" s="396" customFormat="1" ht="21" customHeight="1" thickBot="1" x14ac:dyDescent="0.25">
      <c r="A125" s="503"/>
      <c r="B125" s="1453" t="s">
        <v>274</v>
      </c>
      <c r="C125" s="485"/>
      <c r="D125" s="1453">
        <f>SUM(D13:D124)</f>
        <v>100</v>
      </c>
      <c r="E125" s="1453">
        <f>SUM(E13:E118)</f>
        <v>100.00000000000003</v>
      </c>
      <c r="F125" s="486"/>
      <c r="G125" s="487">
        <f>SUM(G13:G124)</f>
        <v>100</v>
      </c>
      <c r="H125" s="781">
        <f>SUM(H15:H115)</f>
        <v>38.122</v>
      </c>
      <c r="I125" s="813">
        <f>SUM(I15:I115)</f>
        <v>100</v>
      </c>
      <c r="J125" s="843">
        <f>SUM(J13:J124)</f>
        <v>2500</v>
      </c>
      <c r="K125" s="844">
        <v>64800</v>
      </c>
      <c r="L125" s="821">
        <v>68700</v>
      </c>
      <c r="M125" s="487">
        <v>3157.1249899858249</v>
      </c>
      <c r="N125" s="488">
        <f>SUM(N13:N124)</f>
        <v>3157.1249899858249</v>
      </c>
      <c r="O125" s="410"/>
      <c r="P125" s="410"/>
      <c r="Q125" s="797"/>
      <c r="R125" s="665"/>
      <c r="S125" s="391"/>
      <c r="T125" s="391"/>
      <c r="U125" s="408"/>
      <c r="V125" s="409"/>
      <c r="W125" s="392"/>
      <c r="X125" s="392"/>
      <c r="Y125" s="1748"/>
      <c r="Z125" s="1783"/>
      <c r="AA125" s="393"/>
      <c r="AB125" s="1791">
        <f>SUM(AB13:AB124)</f>
        <v>7.5590000000000011</v>
      </c>
      <c r="AC125" s="702">
        <f>SUM(AC13:AC124)</f>
        <v>25.329000000000001</v>
      </c>
      <c r="AD125" s="703">
        <f>SUM(AD13:AD124)</f>
        <v>62.449999999999996</v>
      </c>
      <c r="AE125" s="703">
        <f>SUM(AE13:AE121)</f>
        <v>1.1561999999999999</v>
      </c>
      <c r="AF125" s="703">
        <f>SUM(AF13:AF121)</f>
        <v>31.320000000000004</v>
      </c>
      <c r="AG125" s="703">
        <f>SUM(AG13:AG121)</f>
        <v>18.449999999999996</v>
      </c>
      <c r="AH125" s="1296">
        <f>SUM(AH13:AH124)</f>
        <v>0.51139999999999997</v>
      </c>
      <c r="AI125" s="703">
        <f>SUM(AI13:AI124)</f>
        <v>0.43497000000000008</v>
      </c>
      <c r="AJ125" s="703" t="e">
        <f>SUM(AJ13:AJ124)</f>
        <v>#VALUE!</v>
      </c>
      <c r="AK125" s="394">
        <f>SUMPRODUCT(G20:G94,AK20:AK94)/100</f>
        <v>5.5789999999999997</v>
      </c>
      <c r="AL125" s="394">
        <f>SUMPRODUCT(G15:G111,AL15:AL111)/100</f>
        <v>46.321000000000005</v>
      </c>
      <c r="AM125" s="394">
        <f>SUMPRODUCT(G20:G94,AM20:AM94)/100</f>
        <v>4.1029999999999998</v>
      </c>
      <c r="AN125" s="395"/>
      <c r="AO125" s="395"/>
      <c r="AP125" s="395"/>
      <c r="AQ125" s="395"/>
      <c r="AR125" s="395"/>
      <c r="AS125" s="395"/>
      <c r="AT125" s="395"/>
      <c r="AU125" s="395"/>
      <c r="AV125" s="395"/>
      <c r="AW125" s="395"/>
      <c r="AX125" s="395"/>
      <c r="AY125" s="395"/>
      <c r="AZ125" s="395"/>
      <c r="BA125" s="395"/>
      <c r="BB125" s="395"/>
      <c r="BC125" s="395"/>
      <c r="BD125" s="395"/>
      <c r="BE125" s="395"/>
      <c r="BF125" s="395"/>
      <c r="BG125" s="395"/>
      <c r="BH125" s="395"/>
      <c r="BI125" s="395"/>
      <c r="BJ125" s="395"/>
      <c r="BK125" s="395"/>
      <c r="BL125" s="395"/>
      <c r="BM125" s="395"/>
      <c r="BN125" s="395"/>
      <c r="BO125" s="395"/>
    </row>
    <row r="126" spans="1:67" s="83" customFormat="1" ht="22.5" customHeight="1" thickBot="1" x14ac:dyDescent="0.25">
      <c r="A126" s="2302"/>
      <c r="B126" s="1030" t="s">
        <v>275</v>
      </c>
      <c r="C126" s="2127"/>
      <c r="D126" s="2128" t="e">
        <f>IF(D129+D127=100," ","ПРОВЕРЬ СОСТАВ!!!")</f>
        <v>#REF!</v>
      </c>
      <c r="E126" s="2128" t="e">
        <f>IF(E129+E127=100," ","ПРОВЕРЬ СОСТАВ!!!")</f>
        <v>#REF!</v>
      </c>
      <c r="F126" s="2126"/>
      <c r="G126" s="2129" t="e">
        <f>IF(G129+G127=100," ","ПРОВЕРЬ СОСТАВ!!!")</f>
        <v>#REF!</v>
      </c>
      <c r="H126" s="729"/>
      <c r="I126" s="837"/>
      <c r="J126" s="2267"/>
      <c r="K126" s="2268"/>
      <c r="L126" s="841" t="str">
        <f>IF(L129+L127=100," ","ПРОВЕРЬ СОСТАВ!!!")</f>
        <v xml:space="preserve"> </v>
      </c>
      <c r="M126" s="367"/>
      <c r="N126" s="368" t="s">
        <v>276</v>
      </c>
      <c r="O126" s="871" t="s">
        <v>42</v>
      </c>
      <c r="P126" s="787">
        <f>SUMPRODUCT(G15:G115,P15:P115)/100</f>
        <v>4.8779999999999992</v>
      </c>
      <c r="Q126" s="1505">
        <f>AB125</f>
        <v>7.5590000000000011</v>
      </c>
      <c r="R126" s="1506"/>
      <c r="S126" s="1507">
        <f>AC125</f>
        <v>25.329000000000001</v>
      </c>
      <c r="T126" s="1507"/>
      <c r="U126" s="1507">
        <f t="shared" ref="U126:AA126" si="55">AD125</f>
        <v>62.449999999999996</v>
      </c>
      <c r="V126" s="1508">
        <f t="shared" si="55"/>
        <v>1.1561999999999999</v>
      </c>
      <c r="W126" s="1507">
        <f t="shared" si="55"/>
        <v>31.320000000000004</v>
      </c>
      <c r="X126" s="1507">
        <f t="shared" si="55"/>
        <v>18.449999999999996</v>
      </c>
      <c r="Y126" s="1749">
        <f t="shared" si="55"/>
        <v>0.51139999999999997</v>
      </c>
      <c r="Z126" s="1784">
        <f t="shared" si="55"/>
        <v>0.43497000000000008</v>
      </c>
      <c r="AA126" s="1509" t="e">
        <f t="shared" si="55"/>
        <v>#VALUE!</v>
      </c>
      <c r="AB126" s="1033">
        <v>9.5013000000000005</v>
      </c>
      <c r="AC126" s="1033">
        <v>29.9115</v>
      </c>
      <c r="AD126" s="1033"/>
      <c r="AE126" s="1033"/>
      <c r="AF126" s="1034">
        <v>39.881999999999998</v>
      </c>
      <c r="AG126" s="1034">
        <v>19.940999999999999</v>
      </c>
      <c r="AH126" s="1035">
        <v>0.56303999999999998</v>
      </c>
      <c r="AI126" s="1035"/>
      <c r="AJ126" s="1035"/>
      <c r="AK126" s="82"/>
      <c r="AP126" s="254"/>
    </row>
    <row r="127" spans="1:67" s="83" customFormat="1" ht="22.5" customHeight="1" thickBot="1" x14ac:dyDescent="0.25">
      <c r="A127" s="2303"/>
      <c r="B127" s="1031" t="s">
        <v>277</v>
      </c>
      <c r="C127" s="875"/>
      <c r="D127" s="1502" t="e">
        <f>#REF!</f>
        <v>#REF!</v>
      </c>
      <c r="E127" s="1502" t="e">
        <f>#REF!</f>
        <v>#REF!</v>
      </c>
      <c r="F127" s="1416"/>
      <c r="G127" s="1029" t="e">
        <f>#REF!</f>
        <v>#REF!</v>
      </c>
      <c r="H127" s="772"/>
      <c r="I127" s="838"/>
      <c r="J127" s="2269"/>
      <c r="K127" s="2270"/>
      <c r="L127" s="849">
        <v>58.17901234567902</v>
      </c>
      <c r="M127" s="2271" t="s">
        <v>84</v>
      </c>
      <c r="N127" s="2272"/>
      <c r="O127" s="2273"/>
      <c r="P127" s="788"/>
      <c r="Q127" s="798">
        <v>0.35189999999999999</v>
      </c>
      <c r="R127" s="666"/>
      <c r="S127" s="444">
        <f>S126*0.04*1.96/2.77</f>
        <v>0.71689299638989168</v>
      </c>
      <c r="T127" s="442"/>
      <c r="U127" s="443">
        <v>11.73</v>
      </c>
      <c r="V127" s="444">
        <v>5.8650000000000001E-2</v>
      </c>
      <c r="W127" s="444">
        <v>4.6920000000000002</v>
      </c>
      <c r="X127" s="445">
        <v>2.3460000000000001</v>
      </c>
      <c r="Y127" s="1750">
        <f>0.02+Y126*0.09</f>
        <v>6.6026000000000001E-2</v>
      </c>
      <c r="Z127" s="1785"/>
      <c r="AA127" s="354" t="e">
        <f>0.1*AA126</f>
        <v>#VALUE!</v>
      </c>
      <c r="AB127" s="187"/>
      <c r="AC127" s="187"/>
      <c r="AD127" s="188"/>
      <c r="AE127" s="187"/>
      <c r="AF127" s="82"/>
      <c r="AG127" s="82"/>
      <c r="AH127" s="82"/>
      <c r="AI127" s="82"/>
      <c r="AJ127" s="82"/>
      <c r="AK127" s="82"/>
      <c r="AL127" s="308"/>
      <c r="AP127" s="254"/>
    </row>
    <row r="128" spans="1:67" s="83" customFormat="1" ht="22.5" customHeight="1" x14ac:dyDescent="0.2">
      <c r="A128" s="2303"/>
      <c r="B128" s="1031" t="s">
        <v>278</v>
      </c>
      <c r="C128" s="876"/>
      <c r="D128" s="1528" t="e">
        <f>#REF!</f>
        <v>#REF!</v>
      </c>
      <c r="E128" s="1528" t="e">
        <f>#REF!</f>
        <v>#REF!</v>
      </c>
      <c r="F128" s="1416"/>
      <c r="G128" s="1079" t="e">
        <f>#REF!</f>
        <v>#REF!</v>
      </c>
      <c r="H128" s="773"/>
      <c r="I128" s="839"/>
      <c r="J128" s="2260"/>
      <c r="K128" s="2290"/>
      <c r="L128" s="849">
        <v>13.580246913580247</v>
      </c>
      <c r="M128" s="2296" t="s">
        <v>122</v>
      </c>
      <c r="N128" s="2297"/>
      <c r="O128" s="2298"/>
      <c r="P128" s="768"/>
      <c r="Q128" s="2305" t="s">
        <v>279</v>
      </c>
      <c r="R128" s="767"/>
      <c r="S128" s="2283" t="s">
        <v>280</v>
      </c>
      <c r="T128" s="667"/>
      <c r="U128" s="2307" t="s">
        <v>281</v>
      </c>
      <c r="V128" s="2266" t="s">
        <v>79</v>
      </c>
      <c r="W128" s="2265" t="s">
        <v>78</v>
      </c>
      <c r="X128" s="2265"/>
      <c r="Y128" s="2266" t="s">
        <v>282</v>
      </c>
      <c r="Z128" s="1751"/>
      <c r="AA128" s="2308" t="s">
        <v>283</v>
      </c>
      <c r="AB128" s="187"/>
      <c r="AC128" s="188"/>
      <c r="AD128" s="188"/>
      <c r="AE128" s="187"/>
      <c r="AF128" s="82"/>
      <c r="AG128" s="82"/>
      <c r="AH128" s="82"/>
      <c r="AI128" s="82"/>
      <c r="AJ128" s="82"/>
      <c r="AK128" s="82"/>
      <c r="AL128" s="309">
        <v>82.11</v>
      </c>
      <c r="AM128" s="83" t="s">
        <v>70</v>
      </c>
      <c r="AO128" s="83" t="s">
        <v>13</v>
      </c>
      <c r="AP128" s="254"/>
    </row>
    <row r="129" spans="1:47" s="83" customFormat="1" ht="21.75" customHeight="1" thickBot="1" x14ac:dyDescent="0.25">
      <c r="A129" s="2303"/>
      <c r="B129" s="1031" t="s">
        <v>284</v>
      </c>
      <c r="C129" s="875"/>
      <c r="D129" s="1502" t="e">
        <f>#REF!</f>
        <v>#REF!</v>
      </c>
      <c r="E129" s="1502" t="e">
        <f>#REF!</f>
        <v>#REF!</v>
      </c>
      <c r="F129" s="1416"/>
      <c r="G129" s="1029" t="e">
        <f>#REF!</f>
        <v>#REF!</v>
      </c>
      <c r="H129" s="772"/>
      <c r="I129" s="838"/>
      <c r="J129" s="2260"/>
      <c r="K129" s="2290"/>
      <c r="L129" s="849">
        <v>41.820987654320987</v>
      </c>
      <c r="M129" s="2299"/>
      <c r="N129" s="2300"/>
      <c r="O129" s="2301"/>
      <c r="P129" s="769"/>
      <c r="Q129" s="2306"/>
      <c r="R129" s="767"/>
      <c r="S129" s="2284"/>
      <c r="T129" s="667"/>
      <c r="U129" s="2307"/>
      <c r="V129" s="2266"/>
      <c r="W129" s="489"/>
      <c r="X129" s="489"/>
      <c r="Y129" s="2266"/>
      <c r="Z129" s="1751"/>
      <c r="AA129" s="2309"/>
      <c r="AB129" s="128" t="e">
        <f>+SUM(AJ13:AJ120)</f>
        <v>#VALUE!</v>
      </c>
      <c r="AC129" s="327" t="e">
        <f>+AB129*0.9549</f>
        <v>#VALUE!</v>
      </c>
      <c r="AD129" s="328"/>
      <c r="AE129" s="328" t="s">
        <v>285</v>
      </c>
      <c r="AF129" s="82"/>
      <c r="AG129" s="82"/>
      <c r="AH129" s="189"/>
      <c r="AI129" s="189"/>
      <c r="AJ129" s="82"/>
      <c r="AK129" s="82"/>
      <c r="AL129" s="310"/>
      <c r="AM129" s="83" t="s">
        <v>286</v>
      </c>
      <c r="AP129" s="254"/>
    </row>
    <row r="130" spans="1:47" s="83" customFormat="1" ht="30" customHeight="1" thickBot="1" x14ac:dyDescent="0.25">
      <c r="A130" s="2304"/>
      <c r="B130" s="1032" t="s">
        <v>287</v>
      </c>
      <c r="C130" s="876"/>
      <c r="D130" s="1527" t="e">
        <f>#REF!</f>
        <v>#REF!</v>
      </c>
      <c r="E130" s="1527" t="e">
        <f>#REF!</f>
        <v>#REF!</v>
      </c>
      <c r="F130" s="1417"/>
      <c r="G130" s="1079" t="e">
        <f>#REF!</f>
        <v>#REF!</v>
      </c>
      <c r="H130" s="773"/>
      <c r="I130" s="839"/>
      <c r="J130" s="2260"/>
      <c r="K130" s="2290"/>
      <c r="L130" s="849">
        <v>38.117283950617285</v>
      </c>
      <c r="M130" s="845" t="s">
        <v>104</v>
      </c>
      <c r="N130" s="846"/>
      <c r="O130" s="1462">
        <f>G131-D131</f>
        <v>-65.985199999999168</v>
      </c>
      <c r="P130" s="770"/>
      <c r="Q130" s="2288"/>
      <c r="R130" s="2289"/>
      <c r="S130" s="2289"/>
      <c r="T130" s="2289"/>
      <c r="U130" s="2289"/>
      <c r="V130" s="2289"/>
      <c r="W130" s="2289"/>
      <c r="X130" s="2289"/>
      <c r="Y130" s="2289"/>
      <c r="Z130" s="1752"/>
      <c r="AA130" s="1724">
        <f>SUMPRODUCT(AA15:AA115,$I15:$I115)/100</f>
        <v>5.0901872934263681E-2</v>
      </c>
      <c r="AB130" s="128">
        <f>+SUM(AJ121:AJ124)</f>
        <v>0</v>
      </c>
      <c r="AC130" s="329">
        <f>144</f>
        <v>144</v>
      </c>
      <c r="AD130" s="328"/>
      <c r="AE130" s="248"/>
      <c r="AF130" s="248"/>
      <c r="AG130" s="81"/>
      <c r="AJ130" s="82"/>
      <c r="AK130" s="82"/>
      <c r="AO130" s="231"/>
      <c r="AP130" s="254"/>
    </row>
    <row r="131" spans="1:47" s="83" customFormat="1" ht="26.25" customHeight="1" thickBot="1" x14ac:dyDescent="0.25">
      <c r="A131" s="2294" t="s">
        <v>288</v>
      </c>
      <c r="B131" s="2295"/>
      <c r="C131" s="877"/>
      <c r="D131" s="1939">
        <f>SUMPRODUCT($C$13:$C$124,D13:D124)/D125</f>
        <v>10698.668899999999</v>
      </c>
      <c r="E131" s="1939">
        <f>SUMPRODUCT($C$13:$C$124,E13:E124)/E125</f>
        <v>10649.975134693876</v>
      </c>
      <c r="F131" s="1504"/>
      <c r="G131" s="1939">
        <f>SUMPRODUCT($C$13:$C$124,G13:G124)/G125</f>
        <v>10632.6837</v>
      </c>
      <c r="H131" s="778"/>
      <c r="I131" s="840"/>
      <c r="J131" s="2261"/>
      <c r="K131" s="2310"/>
      <c r="L131" s="842"/>
      <c r="M131" s="847" t="s">
        <v>289</v>
      </c>
      <c r="N131" s="848"/>
      <c r="O131" s="1892">
        <f>'Отклонения от БЮДЖЕТА и ПЛАНА'!I57</f>
        <v>-64.35842653061809</v>
      </c>
      <c r="P131" s="771"/>
      <c r="Q131" s="2292"/>
      <c r="R131" s="2293"/>
      <c r="S131" s="2293"/>
      <c r="T131" s="2293"/>
      <c r="U131" s="2293"/>
      <c r="V131" s="2293"/>
      <c r="W131" s="2293"/>
      <c r="X131" s="2293"/>
      <c r="Y131" s="2293"/>
      <c r="Z131" s="1753"/>
      <c r="AA131" s="1725"/>
      <c r="AB131" s="81" t="s">
        <v>0</v>
      </c>
      <c r="AC131" s="81" t="s">
        <v>0</v>
      </c>
      <c r="AD131" s="82"/>
      <c r="AE131" s="248"/>
      <c r="AF131" s="248"/>
      <c r="AL131" s="254"/>
      <c r="AP131" s="254"/>
      <c r="AU131" s="83" t="s">
        <v>0</v>
      </c>
    </row>
    <row r="132" spans="1:47" s="23" customFormat="1" ht="22.5" customHeight="1" thickBot="1" x14ac:dyDescent="0.35">
      <c r="A132" s="1813"/>
      <c r="B132" s="1894" t="s">
        <v>290</v>
      </c>
      <c r="C132" s="1895"/>
      <c r="D132" s="1896">
        <f>D20+D39+D44+D72+D84+D105+D113+D47+D58+D67+D82+D90+D117</f>
        <v>65</v>
      </c>
      <c r="E132" s="1896">
        <f>E20+E39+E44+E72+E84+E105+E113+E47+E58+E67+E82+E90+E117</f>
        <v>66.326530612244895</v>
      </c>
      <c r="F132" s="1897"/>
      <c r="G132" s="1896">
        <f>G20+G39+G44+G72+G84+G105+G113+G47+G48+G58+G67+G82+G40+G73+G45+G85+G106+G90+G117</f>
        <v>65</v>
      </c>
      <c r="K132" s="1304"/>
      <c r="L132" s="1305"/>
      <c r="M132" s="26"/>
      <c r="N132" s="26"/>
      <c r="O132" s="27"/>
      <c r="P132" s="27"/>
      <c r="Q132" s="27"/>
      <c r="R132" s="27"/>
      <c r="S132" s="342"/>
      <c r="T132" s="342"/>
      <c r="U132" s="27"/>
      <c r="V132" s="27"/>
      <c r="W132" s="27"/>
      <c r="X132" s="27"/>
      <c r="Y132" s="27"/>
      <c r="Z132" s="27"/>
      <c r="AA132" s="146"/>
      <c r="AB132" s="28"/>
      <c r="AC132" s="750"/>
      <c r="AD132" s="751"/>
      <c r="AE132" s="752"/>
      <c r="AF132" s="752"/>
      <c r="AG132" s="753"/>
      <c r="AH132" s="29"/>
      <c r="AI132" s="29"/>
      <c r="AL132" s="255"/>
      <c r="AO132" s="30"/>
      <c r="AP132" s="275"/>
    </row>
    <row r="133" spans="1:47" s="23" customFormat="1" ht="22.5" customHeight="1" x14ac:dyDescent="0.25">
      <c r="E133" s="144"/>
      <c r="K133" s="731"/>
      <c r="L133" s="730"/>
      <c r="M133" s="26"/>
      <c r="N133" s="26"/>
      <c r="O133" s="27"/>
      <c r="P133" s="27"/>
      <c r="Q133" s="27"/>
      <c r="R133" s="27"/>
      <c r="S133" s="342"/>
      <c r="T133" s="342"/>
      <c r="U133" s="27"/>
      <c r="V133" s="27"/>
      <c r="W133" s="27"/>
      <c r="X133" s="27"/>
      <c r="Y133" s="27"/>
      <c r="Z133" s="27"/>
      <c r="AA133" s="146"/>
      <c r="AB133" s="28"/>
      <c r="AC133" s="750"/>
      <c r="AD133" s="751"/>
      <c r="AE133" s="752"/>
      <c r="AF133" s="752"/>
      <c r="AG133" s="753"/>
      <c r="AH133" s="29"/>
      <c r="AI133" s="29"/>
      <c r="AL133" s="255"/>
      <c r="AO133" s="30"/>
      <c r="AP133" s="275"/>
    </row>
    <row r="134" spans="1:47" s="24" customFormat="1" ht="23.25" customHeight="1" x14ac:dyDescent="0.3">
      <c r="A134" s="735"/>
      <c r="B134" s="733" t="s">
        <v>291</v>
      </c>
      <c r="C134" s="746"/>
      <c r="D134" s="746"/>
      <c r="E134" s="747"/>
      <c r="F134" s="747"/>
      <c r="G134" s="1693"/>
      <c r="H134" s="747"/>
      <c r="I134" s="747"/>
      <c r="K134" s="1693"/>
      <c r="L134" s="747"/>
      <c r="M134" s="747"/>
      <c r="N134" s="747"/>
      <c r="O134" s="747"/>
      <c r="P134" s="747"/>
      <c r="Q134" s="747"/>
      <c r="R134" s="747"/>
      <c r="S134" s="747"/>
      <c r="T134" s="747"/>
      <c r="U134" s="747"/>
      <c r="V134" s="747"/>
      <c r="W134" s="747"/>
      <c r="X134" s="747"/>
      <c r="Y134" s="747"/>
      <c r="Z134" s="747"/>
      <c r="AA134" s="747"/>
      <c r="AB134" s="51"/>
      <c r="AC134" s="754"/>
      <c r="AD134" s="755"/>
      <c r="AE134" s="756"/>
      <c r="AF134" s="756"/>
      <c r="AG134" s="756"/>
      <c r="AP134" s="636"/>
    </row>
    <row r="135" spans="1:47" s="24" customFormat="1" ht="23.25" customHeight="1" x14ac:dyDescent="0.3">
      <c r="A135" s="735"/>
      <c r="B135" s="749"/>
      <c r="C135" s="746"/>
      <c r="D135" s="746"/>
      <c r="E135" s="747"/>
      <c r="F135" s="747"/>
      <c r="G135" s="747"/>
      <c r="H135" s="747"/>
      <c r="I135" s="747"/>
      <c r="J135" s="747"/>
      <c r="K135" s="747"/>
      <c r="L135" s="747"/>
      <c r="M135" s="747"/>
      <c r="O135" s="747"/>
      <c r="P135" s="747"/>
      <c r="Q135" s="747"/>
      <c r="R135" s="747"/>
      <c r="S135" s="747"/>
      <c r="T135" s="747"/>
      <c r="U135" s="747"/>
      <c r="V135" s="747"/>
      <c r="W135" s="747"/>
      <c r="X135" s="747"/>
      <c r="Y135" s="747"/>
      <c r="Z135" s="747"/>
      <c r="AA135" s="747"/>
      <c r="AB135" s="51"/>
      <c r="AC135" s="754"/>
      <c r="AD135" s="755"/>
      <c r="AE135" s="756"/>
      <c r="AF135" s="756"/>
      <c r="AG135" s="756"/>
      <c r="AP135" s="636"/>
    </row>
    <row r="136" spans="1:47" s="24" customFormat="1" ht="23.25" customHeight="1" x14ac:dyDescent="0.3">
      <c r="A136" s="735"/>
      <c r="B136" s="733"/>
      <c r="C136" s="746"/>
      <c r="D136" s="746"/>
      <c r="E136" s="747"/>
      <c r="F136" s="747"/>
      <c r="G136" s="1693"/>
      <c r="H136" s="747"/>
      <c r="I136" s="747"/>
      <c r="J136" s="747"/>
      <c r="K136" s="747"/>
      <c r="L136" s="747"/>
      <c r="M136" s="747"/>
      <c r="N136" s="747"/>
      <c r="O136" s="747"/>
      <c r="P136" s="747"/>
      <c r="Q136" s="747"/>
      <c r="R136" s="747"/>
      <c r="S136" s="747"/>
      <c r="T136" s="747"/>
      <c r="U136" s="747"/>
      <c r="V136" s="747"/>
      <c r="W136" s="747"/>
      <c r="X136" s="747"/>
      <c r="Y136" s="747"/>
      <c r="Z136" s="747"/>
      <c r="AA136" s="747"/>
      <c r="AB136" s="51"/>
      <c r="AC136" s="754"/>
      <c r="AD136" s="755"/>
      <c r="AE136" s="756"/>
      <c r="AF136" s="756"/>
      <c r="AG136" s="756"/>
      <c r="AP136" s="636"/>
    </row>
    <row r="137" spans="1:47" s="24" customFormat="1" ht="28.5" customHeight="1" x14ac:dyDescent="0.2">
      <c r="A137" s="748"/>
      <c r="B137" s="2291" t="s">
        <v>292</v>
      </c>
      <c r="C137" s="2291"/>
      <c r="D137" s="2291"/>
      <c r="E137" s="2291"/>
      <c r="F137" s="2291"/>
      <c r="G137" s="2291"/>
      <c r="H137" s="2291"/>
      <c r="I137" s="2291"/>
      <c r="J137" s="2291"/>
      <c r="K137" s="2291"/>
      <c r="L137" s="2291"/>
      <c r="M137" s="2291"/>
      <c r="N137" s="2291"/>
      <c r="O137" s="2291"/>
      <c r="P137" s="2291"/>
      <c r="Q137" s="2291"/>
      <c r="R137" s="2291"/>
      <c r="S137" s="2291"/>
      <c r="T137" s="2291"/>
      <c r="U137" s="2291"/>
      <c r="V137" s="2291"/>
      <c r="W137" s="2291"/>
      <c r="X137" s="2291"/>
      <c r="Y137" s="2291"/>
      <c r="Z137" s="2291"/>
      <c r="AA137" s="2291"/>
      <c r="AC137" s="44"/>
      <c r="AD137" s="40"/>
      <c r="AF137" s="53"/>
      <c r="AG137" s="53"/>
      <c r="AP137" s="636"/>
    </row>
    <row r="138" spans="1:47" s="24" customFormat="1" ht="28.5" customHeight="1" x14ac:dyDescent="0.2">
      <c r="A138" s="749"/>
      <c r="B138" s="2291" t="s">
        <v>293</v>
      </c>
      <c r="C138" s="2291"/>
      <c r="D138" s="2291"/>
      <c r="E138" s="2291"/>
      <c r="F138" s="2291"/>
      <c r="G138" s="2291"/>
      <c r="H138" s="2291"/>
      <c r="I138" s="2291"/>
      <c r="J138" s="2291"/>
      <c r="K138" s="2291"/>
      <c r="L138" s="2291"/>
      <c r="M138" s="2291"/>
      <c r="N138" s="2291"/>
      <c r="O138" s="2291"/>
      <c r="P138" s="2291"/>
      <c r="Q138" s="2291"/>
      <c r="R138" s="2291"/>
      <c r="S138" s="2291"/>
      <c r="T138" s="2291"/>
      <c r="U138" s="2291"/>
      <c r="V138" s="2291"/>
      <c r="W138" s="2291"/>
      <c r="X138" s="2291"/>
      <c r="Y138" s="2291"/>
      <c r="Z138" s="2291"/>
      <c r="AA138" s="2291"/>
      <c r="AB138" s="51"/>
      <c r="AC138" s="44"/>
      <c r="AD138" s="40"/>
      <c r="AF138" s="53"/>
      <c r="AG138" s="53"/>
      <c r="AP138" s="636"/>
    </row>
    <row r="139" spans="1:47" s="24" customFormat="1" ht="30" customHeight="1" x14ac:dyDescent="0.3">
      <c r="A139" s="21"/>
      <c r="B139" s="1036"/>
      <c r="C139" s="1036"/>
      <c r="D139" s="1036"/>
      <c r="E139" s="1037"/>
      <c r="F139" s="1038"/>
      <c r="G139" s="1037"/>
      <c r="H139" s="1037"/>
      <c r="I139" s="1037"/>
      <c r="J139" s="1037"/>
      <c r="K139" s="1037"/>
      <c r="L139" s="1037"/>
      <c r="M139" s="1037"/>
      <c r="N139" s="1037"/>
      <c r="O139" s="1037"/>
      <c r="P139" s="1037"/>
      <c r="Q139" s="1037"/>
      <c r="R139" s="1037"/>
      <c r="S139" s="1037"/>
      <c r="T139" s="1037"/>
      <c r="U139" s="1039"/>
      <c r="V139" s="1037"/>
      <c r="W139" s="1037"/>
      <c r="X139" s="1037"/>
      <c r="Y139" s="1037"/>
      <c r="Z139" s="1037"/>
      <c r="AA139" s="1037"/>
      <c r="AB139" s="25"/>
      <c r="AC139" s="40"/>
      <c r="AD139" s="40"/>
      <c r="AE139" s="44"/>
      <c r="AP139" s="636"/>
    </row>
    <row r="140" spans="1:47" s="24" customFormat="1" ht="33" customHeight="1" x14ac:dyDescent="0.2">
      <c r="A140" s="21"/>
      <c r="B140" s="1301" t="s">
        <v>294</v>
      </c>
      <c r="C140" s="2285" t="s">
        <v>123</v>
      </c>
      <c r="D140" s="2285"/>
      <c r="E140" s="2285"/>
      <c r="F140" s="2285"/>
      <c r="G140" s="2285"/>
      <c r="H140" s="2285"/>
      <c r="I140" s="2285"/>
      <c r="J140" s="2285"/>
      <c r="K140" s="2285"/>
      <c r="L140" s="2285"/>
      <c r="M140" s="2285"/>
      <c r="N140" s="2285"/>
      <c r="O140" s="2285"/>
      <c r="P140" s="2285"/>
      <c r="Q140" s="2285"/>
      <c r="R140" s="2285"/>
      <c r="S140" s="2285"/>
      <c r="T140" s="2285"/>
      <c r="U140" s="2285"/>
      <c r="V140" s="2285"/>
      <c r="W140" s="2285"/>
      <c r="X140" s="2285"/>
      <c r="Y140" s="2285"/>
      <c r="Z140" s="1718"/>
      <c r="AA140" s="1493"/>
      <c r="AB140" s="25"/>
      <c r="AC140" s="40"/>
      <c r="AD140" s="40"/>
      <c r="AE140" s="44"/>
      <c r="AP140" s="636"/>
    </row>
    <row r="141" spans="1:47" s="24" customFormat="1" ht="32.25" customHeight="1" x14ac:dyDescent="0.3">
      <c r="A141" s="21"/>
      <c r="B141" s="1301" t="s">
        <v>295</v>
      </c>
      <c r="C141" s="2311" t="s">
        <v>106</v>
      </c>
      <c r="D141" s="2311"/>
      <c r="E141" s="2311"/>
      <c r="F141" s="2311"/>
      <c r="G141" s="2311"/>
      <c r="H141" s="2311"/>
      <c r="I141" s="2311"/>
      <c r="J141" s="2311"/>
      <c r="K141" s="2311"/>
      <c r="L141" s="2311"/>
      <c r="M141" s="2311"/>
      <c r="N141" s="2311"/>
      <c r="O141" s="2311"/>
      <c r="P141" s="2311"/>
      <c r="Q141" s="2311"/>
      <c r="R141" s="2311"/>
      <c r="S141" s="2311"/>
      <c r="T141" s="2311"/>
      <c r="U141" s="2311"/>
      <c r="V141" s="2311"/>
      <c r="W141" s="2311"/>
      <c r="X141" s="2311"/>
      <c r="Y141" s="2311"/>
      <c r="Z141" s="1717"/>
      <c r="AA141" s="1302"/>
      <c r="AB141" s="25"/>
      <c r="AC141" s="40"/>
      <c r="AD141" s="40"/>
      <c r="AE141" s="44"/>
      <c r="AP141" s="636"/>
    </row>
    <row r="142" spans="1:47" s="636" customFormat="1" ht="33" customHeight="1" x14ac:dyDescent="0.2">
      <c r="A142" s="276"/>
      <c r="B142" s="1301" t="s">
        <v>296</v>
      </c>
      <c r="C142" s="2285" t="s">
        <v>129</v>
      </c>
      <c r="D142" s="2285"/>
      <c r="E142" s="2285"/>
      <c r="F142" s="2285"/>
      <c r="G142" s="2285"/>
      <c r="H142" s="2285"/>
      <c r="I142" s="2285"/>
      <c r="J142" s="2285"/>
      <c r="K142" s="2285"/>
      <c r="L142" s="2285"/>
      <c r="M142" s="2285"/>
      <c r="N142" s="2285"/>
      <c r="O142" s="2285"/>
      <c r="P142" s="2285"/>
      <c r="Q142" s="2285"/>
      <c r="R142" s="2285"/>
      <c r="S142" s="2285"/>
      <c r="T142" s="2285"/>
      <c r="U142" s="2285"/>
      <c r="V142" s="2285"/>
      <c r="W142" s="2285"/>
      <c r="X142" s="2285"/>
      <c r="Y142" s="2285"/>
      <c r="Z142" s="1716"/>
      <c r="AA142" s="1492"/>
      <c r="AB142" s="51"/>
      <c r="AC142" s="262"/>
      <c r="AD142" s="262"/>
      <c r="AE142" s="865"/>
    </row>
    <row r="143" spans="1:47" s="24" customFormat="1" ht="33" customHeight="1" x14ac:dyDescent="0.3">
      <c r="A143" s="21"/>
      <c r="B143" s="1301" t="s">
        <v>297</v>
      </c>
      <c r="C143" s="2285" t="s">
        <v>136</v>
      </c>
      <c r="D143" s="2285"/>
      <c r="E143" s="2285"/>
      <c r="F143" s="2285"/>
      <c r="G143" s="2285"/>
      <c r="H143" s="2285"/>
      <c r="I143" s="2285"/>
      <c r="J143" s="2285"/>
      <c r="K143" s="2285"/>
      <c r="L143" s="2285"/>
      <c r="M143" s="2285"/>
      <c r="N143" s="2285"/>
      <c r="O143" s="2285"/>
      <c r="P143" s="2285"/>
      <c r="Q143" s="2285"/>
      <c r="R143" s="2285"/>
      <c r="S143" s="2285"/>
      <c r="T143" s="2285"/>
      <c r="U143" s="2285"/>
      <c r="V143" s="2285"/>
      <c r="W143" s="2285"/>
      <c r="X143" s="2285"/>
      <c r="Y143" s="2285"/>
      <c r="Z143" s="1716"/>
      <c r="AA143" s="765"/>
      <c r="AB143" s="25"/>
      <c r="AC143" s="40"/>
      <c r="AD143" s="40"/>
      <c r="AE143" s="44"/>
      <c r="AP143" s="636"/>
    </row>
    <row r="144" spans="1:47" s="636" customFormat="1" ht="33.75" customHeight="1" x14ac:dyDescent="0.3">
      <c r="A144" s="276"/>
      <c r="B144" s="1301" t="s">
        <v>298</v>
      </c>
      <c r="C144" s="2285" t="s">
        <v>124</v>
      </c>
      <c r="D144" s="2285"/>
      <c r="E144" s="2285"/>
      <c r="F144" s="2285"/>
      <c r="G144" s="2285"/>
      <c r="H144" s="2285"/>
      <c r="I144" s="2285"/>
      <c r="J144" s="2285"/>
      <c r="K144" s="2285"/>
      <c r="L144" s="2285"/>
      <c r="M144" s="2285"/>
      <c r="N144" s="2285"/>
      <c r="O144" s="2285"/>
      <c r="P144" s="2285"/>
      <c r="Q144" s="2285"/>
      <c r="R144" s="2285"/>
      <c r="S144" s="2285"/>
      <c r="T144" s="2285"/>
      <c r="U144" s="2285"/>
      <c r="V144" s="2285"/>
      <c r="W144" s="2285"/>
      <c r="X144" s="2285"/>
      <c r="Y144" s="2285"/>
      <c r="Z144" s="1717"/>
      <c r="AA144" s="1491"/>
      <c r="AB144" s="51"/>
      <c r="AC144" s="262"/>
      <c r="AD144" s="262"/>
      <c r="AE144" s="865"/>
    </row>
    <row r="145" spans="1:42" s="292" customFormat="1" ht="33.75" hidden="1" customHeight="1" x14ac:dyDescent="0.3">
      <c r="B145" s="1301" t="s">
        <v>299</v>
      </c>
      <c r="C145" s="2312" t="s">
        <v>145</v>
      </c>
      <c r="D145" s="2312"/>
      <c r="E145" s="2312"/>
      <c r="F145" s="2312"/>
      <c r="G145" s="2312"/>
      <c r="H145" s="2312"/>
      <c r="I145" s="2312"/>
      <c r="J145" s="2312"/>
      <c r="K145" s="2312"/>
      <c r="L145" s="2312"/>
      <c r="M145" s="2312"/>
      <c r="N145" s="2312"/>
      <c r="O145" s="2312"/>
      <c r="P145" s="2312"/>
      <c r="Q145" s="2312"/>
      <c r="R145" s="2312"/>
      <c r="S145" s="2312"/>
      <c r="T145" s="2312"/>
      <c r="U145" s="2312"/>
      <c r="V145" s="2312"/>
      <c r="W145" s="2312"/>
      <c r="X145" s="2312"/>
      <c r="Y145" s="2312"/>
      <c r="Z145" s="1717"/>
      <c r="AA145" s="1491"/>
      <c r="AB145" s="51"/>
      <c r="AC145" s="262"/>
      <c r="AD145" s="262"/>
      <c r="AE145" s="865"/>
    </row>
    <row r="146" spans="1:42" s="296" customFormat="1" ht="33.75" customHeight="1" x14ac:dyDescent="0.3">
      <c r="B146" s="1301" t="s">
        <v>299</v>
      </c>
      <c r="C146" s="2285" t="s">
        <v>156</v>
      </c>
      <c r="D146" s="2285"/>
      <c r="E146" s="2285"/>
      <c r="F146" s="2285"/>
      <c r="G146" s="2285"/>
      <c r="H146" s="2285"/>
      <c r="I146" s="2285"/>
      <c r="J146" s="2285"/>
      <c r="K146" s="2285"/>
      <c r="L146" s="2285"/>
      <c r="M146" s="2285"/>
      <c r="N146" s="2285"/>
      <c r="O146" s="2285"/>
      <c r="P146" s="2285"/>
      <c r="Q146" s="2285"/>
      <c r="R146" s="2285"/>
      <c r="S146" s="2285"/>
      <c r="T146" s="2285"/>
      <c r="U146" s="2285"/>
      <c r="V146" s="2285"/>
      <c r="W146" s="2285"/>
      <c r="X146" s="2285"/>
      <c r="Y146" s="2285"/>
      <c r="Z146" s="2079"/>
      <c r="AA146" s="1964"/>
      <c r="AB146" s="1965"/>
      <c r="AC146" s="1966"/>
      <c r="AD146" s="1966"/>
      <c r="AE146" s="2024"/>
    </row>
    <row r="147" spans="1:42" s="296" customFormat="1" ht="33.75" customHeight="1" x14ac:dyDescent="0.3">
      <c r="B147" s="1301" t="s">
        <v>300</v>
      </c>
      <c r="C147" s="2312" t="s">
        <v>144</v>
      </c>
      <c r="D147" s="2312"/>
      <c r="E147" s="2312"/>
      <c r="F147" s="2312"/>
      <c r="G147" s="2312"/>
      <c r="H147" s="2312"/>
      <c r="I147" s="2312"/>
      <c r="J147" s="2312"/>
      <c r="K147" s="2312"/>
      <c r="L147" s="2312"/>
      <c r="M147" s="2312"/>
      <c r="N147" s="2312"/>
      <c r="O147" s="2312"/>
      <c r="P147" s="2312"/>
      <c r="Q147" s="2312"/>
      <c r="R147" s="2312"/>
      <c r="S147" s="2312"/>
      <c r="T147" s="2312"/>
      <c r="U147" s="2312"/>
      <c r="V147" s="2312"/>
      <c r="W147" s="2312"/>
      <c r="X147" s="2312"/>
      <c r="Y147" s="2312"/>
      <c r="AA147" s="1964"/>
      <c r="AB147" s="1965"/>
      <c r="AC147" s="1966"/>
      <c r="AD147" s="1966"/>
      <c r="AE147" s="2024"/>
    </row>
    <row r="148" spans="1:42" s="1806" customFormat="1" ht="34.5" hidden="1" customHeight="1" x14ac:dyDescent="0.3">
      <c r="B148" s="1301" t="s">
        <v>301</v>
      </c>
      <c r="C148" s="2285" t="s">
        <v>153</v>
      </c>
      <c r="D148" s="2285"/>
      <c r="E148" s="2285"/>
      <c r="F148" s="2285"/>
      <c r="G148" s="2285"/>
      <c r="H148" s="2285"/>
      <c r="I148" s="2285"/>
      <c r="J148" s="2285"/>
      <c r="K148" s="2285"/>
      <c r="L148" s="2285"/>
      <c r="M148" s="2285"/>
      <c r="N148" s="2285"/>
      <c r="O148" s="2285"/>
      <c r="P148" s="2285"/>
      <c r="Q148" s="2285"/>
      <c r="R148" s="2285"/>
      <c r="S148" s="2285"/>
      <c r="T148" s="2285"/>
      <c r="U148" s="2285"/>
      <c r="V148" s="2285"/>
      <c r="W148" s="2285"/>
      <c r="X148" s="2285"/>
      <c r="Y148" s="2285"/>
      <c r="Z148" s="2079"/>
      <c r="AA148" s="1964"/>
      <c r="AB148" s="1965"/>
      <c r="AC148" s="1966"/>
      <c r="AD148" s="1966"/>
      <c r="AE148" s="1967"/>
    </row>
    <row r="149" spans="1:42" s="296" customFormat="1" ht="33.75" customHeight="1" x14ac:dyDescent="0.3">
      <c r="B149" s="1301" t="s">
        <v>301</v>
      </c>
      <c r="C149" s="2285" t="s">
        <v>149</v>
      </c>
      <c r="D149" s="2285"/>
      <c r="E149" s="2285"/>
      <c r="F149" s="2285"/>
      <c r="G149" s="2285"/>
      <c r="H149" s="2285"/>
      <c r="I149" s="2285"/>
      <c r="J149" s="2285"/>
      <c r="K149" s="2285"/>
      <c r="L149" s="2285"/>
      <c r="M149" s="2285"/>
      <c r="N149" s="2285"/>
      <c r="O149" s="2285"/>
      <c r="P149" s="2285"/>
      <c r="Q149" s="2285"/>
      <c r="R149" s="2285"/>
      <c r="S149" s="2285"/>
      <c r="T149" s="2285"/>
      <c r="U149" s="2285"/>
      <c r="V149" s="2285"/>
      <c r="W149" s="2285"/>
      <c r="X149" s="2285"/>
      <c r="Y149" s="2285"/>
      <c r="Z149" s="1963"/>
      <c r="AA149" s="1964"/>
      <c r="AB149" s="1965"/>
      <c r="AC149" s="1966"/>
      <c r="AD149" s="1966"/>
      <c r="AE149" s="2024"/>
    </row>
    <row r="150" spans="1:42" s="296" customFormat="1" ht="33.75" hidden="1" customHeight="1" x14ac:dyDescent="0.3">
      <c r="B150" s="1301" t="s">
        <v>302</v>
      </c>
      <c r="C150" s="2285" t="s">
        <v>151</v>
      </c>
      <c r="D150" s="2285"/>
      <c r="E150" s="2285"/>
      <c r="F150" s="2285"/>
      <c r="G150" s="2285"/>
      <c r="H150" s="2285"/>
      <c r="I150" s="2285"/>
      <c r="J150" s="2285"/>
      <c r="K150" s="2285"/>
      <c r="L150" s="2285"/>
      <c r="M150" s="2285"/>
      <c r="N150" s="2285"/>
      <c r="O150" s="2285"/>
      <c r="P150" s="2285"/>
      <c r="Q150" s="2285"/>
      <c r="R150" s="2285"/>
      <c r="S150" s="2285"/>
      <c r="T150" s="2285"/>
      <c r="U150" s="2285"/>
      <c r="V150" s="2285"/>
      <c r="W150" s="2285"/>
      <c r="X150" s="2285"/>
      <c r="Y150" s="2285"/>
      <c r="Z150" s="1963"/>
      <c r="AA150" s="1964"/>
      <c r="AB150" s="1965"/>
      <c r="AC150" s="1966"/>
      <c r="AD150" s="1966"/>
      <c r="AE150" s="2024"/>
    </row>
    <row r="151" spans="1:42" s="1806" customFormat="1" ht="27" customHeight="1" x14ac:dyDescent="0.3">
      <c r="B151" s="1301" t="s">
        <v>303</v>
      </c>
      <c r="C151" s="2312" t="s">
        <v>155</v>
      </c>
      <c r="D151" s="2312"/>
      <c r="E151" s="2312"/>
      <c r="F151" s="2312"/>
      <c r="G151" s="2312"/>
      <c r="H151" s="2312"/>
      <c r="I151" s="2312"/>
      <c r="J151" s="2312"/>
      <c r="K151" s="2312"/>
      <c r="L151" s="2312"/>
      <c r="M151" s="2312"/>
      <c r="N151" s="2312"/>
      <c r="O151" s="2312"/>
      <c r="P151" s="2312"/>
      <c r="Q151" s="2312"/>
      <c r="R151" s="2312"/>
      <c r="S151" s="2312"/>
      <c r="T151" s="2312"/>
      <c r="U151" s="2312"/>
      <c r="V151" s="2312"/>
      <c r="W151" s="2312"/>
      <c r="X151" s="2312"/>
      <c r="Y151" s="2312"/>
      <c r="Z151" s="1963"/>
      <c r="AA151" s="1964"/>
      <c r="AB151" s="1965"/>
      <c r="AC151" s="1966"/>
      <c r="AD151" s="1966"/>
      <c r="AE151" s="1967"/>
    </row>
    <row r="152" spans="1:42" s="1806" customFormat="1" ht="51.75" customHeight="1" x14ac:dyDescent="0.3">
      <c r="B152" s="1301" t="s">
        <v>302</v>
      </c>
      <c r="C152" s="2285" t="s">
        <v>154</v>
      </c>
      <c r="D152" s="2285"/>
      <c r="E152" s="2285"/>
      <c r="F152" s="2285"/>
      <c r="G152" s="2285"/>
      <c r="H152" s="2285"/>
      <c r="I152" s="2285"/>
      <c r="J152" s="2285"/>
      <c r="K152" s="2285"/>
      <c r="L152" s="2285"/>
      <c r="M152" s="2285"/>
      <c r="N152" s="2285"/>
      <c r="O152" s="2285"/>
      <c r="P152" s="2285"/>
      <c r="Q152" s="2285"/>
      <c r="R152" s="2285"/>
      <c r="S152" s="2285"/>
      <c r="T152" s="2285"/>
      <c r="U152" s="2285"/>
      <c r="V152" s="2285"/>
      <c r="W152" s="2285"/>
      <c r="X152" s="2285"/>
      <c r="Y152" s="2285"/>
      <c r="Z152" s="1963"/>
      <c r="AA152" s="1964"/>
      <c r="AB152" s="1965"/>
      <c r="AC152" s="1966"/>
      <c r="AD152" s="1966"/>
      <c r="AE152" s="1967"/>
    </row>
    <row r="153" spans="1:42" s="1806" customFormat="1" ht="27" hidden="1" customHeight="1" x14ac:dyDescent="0.3">
      <c r="B153" s="1301" t="s">
        <v>302</v>
      </c>
      <c r="C153" s="2285" t="s">
        <v>146</v>
      </c>
      <c r="D153" s="2285"/>
      <c r="E153" s="2285"/>
      <c r="F153" s="2285"/>
      <c r="G153" s="2285"/>
      <c r="H153" s="2285"/>
      <c r="I153" s="2285"/>
      <c r="J153" s="2285"/>
      <c r="K153" s="2285"/>
      <c r="L153" s="2285"/>
      <c r="M153" s="2285"/>
      <c r="N153" s="2285"/>
      <c r="O153" s="2285"/>
      <c r="P153" s="2285"/>
      <c r="Q153" s="2285"/>
      <c r="R153" s="2285"/>
      <c r="S153" s="2285"/>
      <c r="T153" s="2285"/>
      <c r="U153" s="2285"/>
      <c r="V153" s="2285"/>
      <c r="W153" s="2285"/>
      <c r="X153" s="2285"/>
      <c r="Y153" s="2285"/>
      <c r="Z153" s="1963"/>
      <c r="AA153" s="1964"/>
      <c r="AB153" s="1965"/>
      <c r="AC153" s="1966"/>
      <c r="AD153" s="1966"/>
      <c r="AE153" s="1967"/>
    </row>
    <row r="154" spans="1:42" s="24" customFormat="1" ht="24.75" customHeight="1" x14ac:dyDescent="0.3">
      <c r="A154" s="21"/>
      <c r="B154" s="66"/>
      <c r="C154" s="1302"/>
      <c r="D154" s="1302"/>
      <c r="E154" s="1302"/>
      <c r="F154" s="1302"/>
      <c r="G154" s="1302"/>
      <c r="H154" s="2173"/>
      <c r="I154" s="2173"/>
      <c r="J154" s="2173"/>
      <c r="K154" s="2173"/>
      <c r="L154" s="2173"/>
      <c r="M154" s="2182"/>
      <c r="N154" s="295">
        <f>G131-D131</f>
        <v>-65.985199999999168</v>
      </c>
      <c r="O154" s="282"/>
      <c r="P154" s="282"/>
      <c r="Q154" s="282"/>
      <c r="R154" s="282"/>
      <c r="S154" s="282"/>
      <c r="T154" s="282"/>
      <c r="U154" s="282"/>
      <c r="V154" s="282"/>
      <c r="W154" s="282"/>
      <c r="X154" s="282"/>
      <c r="Y154" s="25"/>
      <c r="Z154" s="25"/>
      <c r="AA154" s="25"/>
      <c r="AB154" s="25"/>
      <c r="AC154" s="40"/>
      <c r="AD154" s="40"/>
      <c r="AE154" s="44"/>
      <c r="AP154" s="636"/>
    </row>
    <row r="155" spans="1:42" s="24" customFormat="1" ht="20.25" hidden="1" x14ac:dyDescent="0.25">
      <c r="A155" s="80"/>
      <c r="B155" s="78"/>
      <c r="C155" s="78"/>
      <c r="D155" s="78"/>
      <c r="E155" s="53"/>
      <c r="F155" s="287" t="s">
        <v>296</v>
      </c>
      <c r="G155" s="288" t="s">
        <v>62</v>
      </c>
      <c r="H155" s="271"/>
      <c r="I155" s="271"/>
      <c r="J155" s="283"/>
      <c r="K155" s="283"/>
      <c r="L155" s="271"/>
      <c r="M155" s="282"/>
      <c r="N155" s="272"/>
      <c r="O155" s="272"/>
      <c r="P155" s="272"/>
      <c r="Q155" s="284"/>
      <c r="R155" s="284"/>
      <c r="S155" s="343"/>
      <c r="T155" s="343"/>
      <c r="U155" s="284"/>
      <c r="V155" s="285"/>
      <c r="W155" s="286">
        <f>G131-D131</f>
        <v>-65.985199999999168</v>
      </c>
      <c r="X155" s="286"/>
      <c r="Y155" s="53"/>
      <c r="Z155" s="53"/>
      <c r="AA155" s="4"/>
      <c r="AC155" s="49"/>
      <c r="AP155" s="636"/>
    </row>
    <row r="156" spans="1:42" ht="17.25" hidden="1" customHeight="1" x14ac:dyDescent="0.2">
      <c r="A156" s="275"/>
      <c r="B156" s="76"/>
      <c r="C156" s="76"/>
      <c r="E156" s="66"/>
      <c r="F156" s="287"/>
      <c r="G156" s="288"/>
      <c r="H156" s="288"/>
      <c r="I156" s="288"/>
      <c r="J156" s="289"/>
      <c r="K156" s="289"/>
      <c r="L156" s="289"/>
      <c r="M156" s="289"/>
      <c r="N156" s="290"/>
      <c r="O156" s="289"/>
      <c r="P156" s="289"/>
      <c r="Q156" s="51"/>
      <c r="R156" s="51"/>
      <c r="S156" s="51"/>
      <c r="T156" s="51"/>
      <c r="U156" s="51"/>
      <c r="V156" s="291"/>
      <c r="W156" s="291"/>
      <c r="X156" s="51"/>
      <c r="Y156" s="51"/>
      <c r="Z156" s="51"/>
    </row>
    <row r="157" spans="1:42" s="24" customFormat="1" ht="17.25" hidden="1" customHeight="1" x14ac:dyDescent="0.2">
      <c r="A157" s="53"/>
      <c r="B157" s="53"/>
      <c r="C157" s="53"/>
      <c r="D157" s="53"/>
      <c r="E157" s="53"/>
      <c r="F157" s="287"/>
      <c r="G157" s="288"/>
      <c r="H157" s="288"/>
      <c r="I157" s="288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291"/>
      <c r="X157" s="291"/>
      <c r="Y157" s="292"/>
      <c r="Z157" s="292"/>
      <c r="AA157" s="25"/>
      <c r="AP157" s="636"/>
    </row>
    <row r="158" spans="1:42" s="24" customFormat="1" ht="15" hidden="1" x14ac:dyDescent="0.2">
      <c r="A158" s="53"/>
      <c r="B158" s="53"/>
      <c r="C158" s="53"/>
      <c r="D158" s="53"/>
      <c r="E158" s="53"/>
      <c r="F158" s="45"/>
      <c r="G158" s="51"/>
      <c r="H158" s="51"/>
      <c r="I158" s="51"/>
      <c r="J158" s="25"/>
      <c r="K158" s="25"/>
      <c r="L158" s="53"/>
      <c r="M158" s="25"/>
      <c r="N158" s="25"/>
      <c r="O158" s="51"/>
      <c r="P158" s="25"/>
      <c r="Q158" s="25"/>
      <c r="R158" s="25"/>
      <c r="S158" s="51"/>
      <c r="T158" s="51"/>
      <c r="U158" s="25"/>
      <c r="V158" s="25"/>
      <c r="W158" s="281"/>
      <c r="X158" s="281"/>
      <c r="Y158" s="25"/>
      <c r="Z158" s="25"/>
      <c r="AA158" s="25"/>
      <c r="AP158" s="636"/>
    </row>
    <row r="159" spans="1:42" s="24" customFormat="1" ht="15" hidden="1" x14ac:dyDescent="0.2">
      <c r="A159" s="53"/>
      <c r="B159" s="53"/>
      <c r="C159" s="53"/>
      <c r="D159" s="53"/>
      <c r="E159" s="53"/>
      <c r="F159" s="45"/>
      <c r="G159" s="25"/>
      <c r="H159" s="25"/>
      <c r="I159" s="25"/>
      <c r="J159" s="25"/>
      <c r="K159" s="25"/>
      <c r="L159" s="25"/>
      <c r="M159" s="25"/>
      <c r="N159" s="25"/>
      <c r="O159" s="51"/>
      <c r="P159" s="25"/>
      <c r="Q159" s="25"/>
      <c r="R159" s="25"/>
      <c r="S159" s="51"/>
      <c r="T159" s="51"/>
      <c r="U159" s="25"/>
      <c r="V159" s="25"/>
      <c r="W159" s="281"/>
      <c r="X159" s="281"/>
      <c r="Y159" s="25"/>
      <c r="Z159" s="25"/>
      <c r="AA159" s="25"/>
      <c r="AP159" s="636"/>
    </row>
    <row r="160" spans="1:42" ht="15.75" hidden="1" x14ac:dyDescent="0.25">
      <c r="F160" s="45"/>
      <c r="G160" s="25"/>
      <c r="H160" s="25"/>
      <c r="I160" s="25"/>
      <c r="J160" s="25"/>
      <c r="K160" s="25"/>
      <c r="L160" s="25"/>
      <c r="M160" s="25"/>
      <c r="N160" s="25"/>
      <c r="O160" s="51"/>
      <c r="P160" s="25"/>
      <c r="Q160" s="25"/>
      <c r="R160" s="25"/>
      <c r="S160" s="344"/>
      <c r="T160" s="344"/>
      <c r="U160" s="20"/>
      <c r="V160" s="25"/>
      <c r="W160" s="53"/>
      <c r="X160" s="53"/>
      <c r="Y160" s="135"/>
      <c r="Z160" s="135"/>
      <c r="AD160" s="46"/>
    </row>
    <row r="161" spans="2:32" ht="15" hidden="1" x14ac:dyDescent="0.2">
      <c r="F161" s="45"/>
      <c r="G161" s="53"/>
      <c r="H161" s="53"/>
      <c r="I161" s="53"/>
      <c r="J161" s="25"/>
      <c r="K161" s="25"/>
      <c r="L161" s="25"/>
      <c r="M161" s="25"/>
      <c r="N161" s="25"/>
      <c r="O161" s="51"/>
      <c r="P161" s="25"/>
      <c r="Q161" s="25"/>
      <c r="R161" s="25"/>
      <c r="S161" s="292"/>
      <c r="T161" s="292"/>
      <c r="U161" s="53"/>
      <c r="V161" s="53"/>
      <c r="W161" s="53"/>
      <c r="X161" s="53"/>
      <c r="Y161" s="25"/>
      <c r="Z161" s="25"/>
    </row>
    <row r="162" spans="2:32" ht="15" hidden="1" x14ac:dyDescent="0.2">
      <c r="F162" s="25"/>
      <c r="G162" s="53"/>
      <c r="H162" s="53"/>
      <c r="I162" s="53"/>
      <c r="J162" s="25"/>
      <c r="K162" s="25"/>
      <c r="L162" s="25"/>
      <c r="M162" s="25"/>
      <c r="N162" s="25"/>
      <c r="O162" s="51"/>
      <c r="P162" s="25"/>
      <c r="Q162" s="25"/>
      <c r="R162" s="25"/>
      <c r="S162" s="51"/>
      <c r="T162" s="51"/>
      <c r="U162" s="25"/>
      <c r="V162" s="25"/>
      <c r="W162" s="25"/>
      <c r="X162" s="25"/>
      <c r="Y162" s="53"/>
      <c r="Z162" s="53"/>
    </row>
    <row r="163" spans="2:32" ht="15" hidden="1" x14ac:dyDescent="0.2">
      <c r="F163" s="25"/>
      <c r="G163" s="25"/>
      <c r="H163" s="25"/>
      <c r="I163" s="25"/>
      <c r="J163" s="25"/>
      <c r="K163" s="25"/>
      <c r="L163" s="25"/>
      <c r="M163" s="25"/>
      <c r="N163" s="25"/>
      <c r="O163" s="51"/>
      <c r="P163" s="25"/>
      <c r="Q163" s="25"/>
      <c r="R163" s="25"/>
      <c r="S163" s="51"/>
      <c r="T163" s="51"/>
      <c r="U163" s="25"/>
      <c r="V163" s="25"/>
      <c r="W163" s="25"/>
      <c r="X163" s="25"/>
    </row>
    <row r="164" spans="2:32" ht="15" hidden="1" x14ac:dyDescent="0.2">
      <c r="F164" s="25"/>
      <c r="G164" s="25"/>
      <c r="H164" s="25"/>
      <c r="I164" s="25"/>
      <c r="J164" s="25"/>
      <c r="K164" s="25"/>
      <c r="L164" s="25"/>
      <c r="M164" s="25"/>
      <c r="N164" s="25"/>
      <c r="O164" s="51"/>
      <c r="P164" s="25"/>
      <c r="Q164" s="25"/>
      <c r="R164" s="25"/>
      <c r="S164" s="51"/>
      <c r="T164" s="51"/>
      <c r="U164" s="25"/>
      <c r="V164" s="25"/>
      <c r="W164" s="25"/>
      <c r="X164" s="25"/>
    </row>
    <row r="165" spans="2:32" ht="18" hidden="1" x14ac:dyDescent="0.25">
      <c r="F165" s="25"/>
      <c r="G165" s="25"/>
      <c r="H165" s="25"/>
      <c r="I165" s="25"/>
      <c r="J165" s="25"/>
      <c r="K165" s="25"/>
      <c r="L165" s="36" t="s">
        <v>304</v>
      </c>
      <c r="M165" s="37" t="e">
        <f>M167*M168*M169*100</f>
        <v>#REF!</v>
      </c>
      <c r="N165" s="37"/>
      <c r="O165" s="872"/>
      <c r="P165" s="37"/>
      <c r="Q165" s="38" t="s">
        <v>305</v>
      </c>
      <c r="R165" s="38"/>
      <c r="S165" s="345"/>
      <c r="T165" s="345"/>
      <c r="U165" s="39" t="e">
        <f>U167*U169*100</f>
        <v>#REF!</v>
      </c>
      <c r="V165" s="39"/>
      <c r="W165" s="25"/>
      <c r="X165" s="25"/>
      <c r="Y165" s="22"/>
      <c r="Z165" s="22"/>
      <c r="AA165" s="22"/>
      <c r="AB165" s="22"/>
      <c r="AC165" s="19"/>
      <c r="AD165" s="19"/>
    </row>
    <row r="166" spans="2:32" ht="15" hidden="1" x14ac:dyDescent="0.2">
      <c r="F166" s="25"/>
      <c r="G166" s="25"/>
      <c r="H166" s="25"/>
      <c r="I166" s="25"/>
      <c r="J166" s="25"/>
      <c r="K166" s="25"/>
      <c r="L166" s="25"/>
      <c r="M166" s="25"/>
      <c r="N166" s="25"/>
      <c r="O166" s="51"/>
      <c r="P166" s="25"/>
      <c r="Q166" s="25"/>
      <c r="R166" s="25"/>
      <c r="S166" s="51"/>
      <c r="T166" s="51"/>
      <c r="U166" s="25"/>
      <c r="V166" s="25"/>
      <c r="W166" s="25"/>
      <c r="X166" s="25"/>
      <c r="AC166" s="47"/>
    </row>
    <row r="167" spans="2:32" ht="15.75" hidden="1" x14ac:dyDescent="0.25">
      <c r="B167" s="2193"/>
      <c r="C167" s="2193"/>
      <c r="D167" s="2193"/>
      <c r="F167" s="25"/>
      <c r="G167" s="25"/>
      <c r="H167" s="25"/>
      <c r="I167" s="25"/>
      <c r="J167" s="25"/>
      <c r="K167" s="25"/>
      <c r="L167" s="25" t="s">
        <v>306</v>
      </c>
      <c r="M167" s="40" t="e">
        <f>(100-ABS(43-G127)*2)/100</f>
        <v>#REF!</v>
      </c>
      <c r="N167" s="40"/>
      <c r="O167" s="262"/>
      <c r="P167" s="40"/>
      <c r="Q167" s="25"/>
      <c r="R167" s="25"/>
      <c r="S167" s="51"/>
      <c r="T167" s="51"/>
      <c r="U167" s="40" t="e">
        <f>(100-ABS(50-G126)*2)/100</f>
        <v>#REF!</v>
      </c>
      <c r="V167" s="40"/>
      <c r="W167" s="25"/>
      <c r="X167" s="25"/>
      <c r="AC167" s="12"/>
      <c r="AD167" s="12"/>
    </row>
    <row r="168" spans="2:32" ht="15" hidden="1" x14ac:dyDescent="0.2">
      <c r="F168" s="25"/>
      <c r="G168" s="25"/>
      <c r="H168" s="25"/>
      <c r="I168" s="25"/>
      <c r="J168" s="25"/>
      <c r="K168" s="25"/>
      <c r="L168" s="25" t="s">
        <v>307</v>
      </c>
      <c r="M168" s="40" t="e">
        <f>(100-ABS(23-G128))/100</f>
        <v>#REF!</v>
      </c>
      <c r="N168" s="40"/>
      <c r="O168" s="262"/>
      <c r="P168" s="40"/>
      <c r="Q168" s="25"/>
      <c r="R168" s="25"/>
      <c r="S168" s="51"/>
      <c r="T168" s="51"/>
      <c r="U168" s="25"/>
      <c r="V168" s="25"/>
      <c r="W168" s="25"/>
      <c r="X168" s="25"/>
      <c r="AC168" s="12"/>
      <c r="AD168" s="12"/>
    </row>
    <row r="169" spans="2:32" ht="15" hidden="1" x14ac:dyDescent="0.2">
      <c r="F169" s="25"/>
      <c r="G169" s="25"/>
      <c r="H169" s="25"/>
      <c r="I169" s="25"/>
      <c r="J169" s="25"/>
      <c r="K169" s="25"/>
      <c r="L169" s="25" t="s">
        <v>308</v>
      </c>
      <c r="M169" s="40" t="e">
        <f>(100-ABS(37-G130))/100</f>
        <v>#REF!</v>
      </c>
      <c r="N169" s="40"/>
      <c r="O169" s="262"/>
      <c r="P169" s="40"/>
      <c r="Q169" s="25"/>
      <c r="R169" s="25"/>
      <c r="S169" s="51"/>
      <c r="T169" s="51"/>
      <c r="U169" s="40" t="e">
        <f>(100-ABS(40-G130))/100</f>
        <v>#REF!</v>
      </c>
      <c r="V169" s="40"/>
      <c r="W169" s="25"/>
      <c r="X169" s="25"/>
    </row>
    <row r="170" spans="2:32" ht="15" hidden="1" x14ac:dyDescent="0.2">
      <c r="F170" s="25"/>
      <c r="G170" s="25"/>
      <c r="H170" s="25"/>
      <c r="I170" s="25"/>
      <c r="J170" s="25"/>
      <c r="K170" s="25"/>
      <c r="L170" s="25"/>
      <c r="M170" s="25"/>
      <c r="N170" s="25"/>
      <c r="O170" s="51"/>
      <c r="P170" s="25"/>
      <c r="Q170" s="25"/>
      <c r="R170" s="25"/>
      <c r="S170" s="51"/>
      <c r="T170" s="51"/>
      <c r="U170" s="25"/>
      <c r="V170" s="25"/>
      <c r="W170" s="25"/>
      <c r="X170" s="25"/>
      <c r="AF170" s="4">
        <v>3.5190000000000001</v>
      </c>
    </row>
    <row r="171" spans="2:32" hidden="1" x14ac:dyDescent="0.2"/>
    <row r="172" spans="2:32" hidden="1" x14ac:dyDescent="0.2"/>
    <row r="173" spans="2:32" hidden="1" x14ac:dyDescent="0.2"/>
    <row r="174" spans="2:32" hidden="1" x14ac:dyDescent="0.2"/>
    <row r="175" spans="2:32" hidden="1" x14ac:dyDescent="0.2"/>
    <row r="176" spans="2:32" hidden="1" x14ac:dyDescent="0.2"/>
    <row r="177" spans="14:15" hidden="1" x14ac:dyDescent="0.2">
      <c r="N177" s="4">
        <v>13790.960999999999</v>
      </c>
      <c r="O177" s="35">
        <f>0.35*N177+0.65*N178</f>
        <v>11908.45</v>
      </c>
    </row>
    <row r="178" spans="14:15" hidden="1" x14ac:dyDescent="0.2">
      <c r="N178" s="4">
        <v>14064.27</v>
      </c>
    </row>
    <row r="179" spans="14:15" hidden="1" x14ac:dyDescent="0.2"/>
    <row r="180" spans="14:15" hidden="1" x14ac:dyDescent="0.2"/>
    <row r="181" spans="14:15" hidden="1" x14ac:dyDescent="0.2"/>
    <row r="182" spans="14:15" hidden="1" x14ac:dyDescent="0.2"/>
    <row r="183" spans="14:15" hidden="1" x14ac:dyDescent="0.2"/>
    <row r="184" spans="14:15" hidden="1" x14ac:dyDescent="0.2"/>
    <row r="185" spans="14:15" hidden="1" x14ac:dyDescent="0.2"/>
    <row r="186" spans="14:15" hidden="1" x14ac:dyDescent="0.2"/>
    <row r="187" spans="14:15" hidden="1" x14ac:dyDescent="0.2"/>
    <row r="188" spans="14:15" hidden="1" x14ac:dyDescent="0.2"/>
    <row r="189" spans="14:15" hidden="1" x14ac:dyDescent="0.2"/>
    <row r="190" spans="14:15" hidden="1" x14ac:dyDescent="0.2"/>
    <row r="191" spans="14:15" hidden="1" x14ac:dyDescent="0.2"/>
    <row r="192" spans="14:15" hidden="1" x14ac:dyDescent="0.2"/>
    <row r="193" spans="14:14" hidden="1" x14ac:dyDescent="0.2"/>
    <row r="194" spans="14:14" hidden="1" x14ac:dyDescent="0.2"/>
    <row r="195" spans="14:14" hidden="1" x14ac:dyDescent="0.2"/>
    <row r="196" spans="14:14" hidden="1" x14ac:dyDescent="0.2"/>
    <row r="198" spans="14:14" x14ac:dyDescent="0.2">
      <c r="N198" s="766"/>
    </row>
    <row r="199" spans="14:14" x14ac:dyDescent="0.2">
      <c r="N199" s="766"/>
    </row>
    <row r="200" spans="14:14" x14ac:dyDescent="0.2">
      <c r="N200" s="12"/>
    </row>
  </sheetData>
  <mergeCells count="49">
    <mergeCell ref="C152:Y152"/>
    <mergeCell ref="C140:Y140"/>
    <mergeCell ref="C143:Y143"/>
    <mergeCell ref="C148:Y148"/>
    <mergeCell ref="C141:Y141"/>
    <mergeCell ref="C142:Y142"/>
    <mergeCell ref="C144:Y144"/>
    <mergeCell ref="C145:Y145"/>
    <mergeCell ref="C146:Y146"/>
    <mergeCell ref="C151:Y151"/>
    <mergeCell ref="C147:Y147"/>
    <mergeCell ref="C149:Y149"/>
    <mergeCell ref="C153:Y153"/>
    <mergeCell ref="I11:I12"/>
    <mergeCell ref="C150:Y150"/>
    <mergeCell ref="Q130:Y130"/>
    <mergeCell ref="K128:K129"/>
    <mergeCell ref="B138:AA138"/>
    <mergeCell ref="Q131:Y131"/>
    <mergeCell ref="A131:B131"/>
    <mergeCell ref="B137:AA137"/>
    <mergeCell ref="Y128:Y129"/>
    <mergeCell ref="M128:O129"/>
    <mergeCell ref="A126:A130"/>
    <mergeCell ref="Q128:Q129"/>
    <mergeCell ref="U128:U129"/>
    <mergeCell ref="AA128:AA129"/>
    <mergeCell ref="K130:K131"/>
    <mergeCell ref="J130:J131"/>
    <mergeCell ref="AK11:AM11"/>
    <mergeCell ref="W128:X128"/>
    <mergeCell ref="V128:V129"/>
    <mergeCell ref="J128:J129"/>
    <mergeCell ref="J126:K127"/>
    <mergeCell ref="M127:O127"/>
    <mergeCell ref="S11:T12"/>
    <mergeCell ref="AB11:AH11"/>
    <mergeCell ref="Z11:Z12"/>
    <mergeCell ref="S128:S129"/>
    <mergeCell ref="B7:L7"/>
    <mergeCell ref="O11:O12"/>
    <mergeCell ref="F11:F12"/>
    <mergeCell ref="P11:P12"/>
    <mergeCell ref="B11:B12"/>
    <mergeCell ref="D11:E11"/>
    <mergeCell ref="J11:L11"/>
    <mergeCell ref="G11:G12"/>
    <mergeCell ref="D9:Q9"/>
    <mergeCell ref="Q11:R12"/>
  </mergeCells>
  <phoneticPr fontId="0" type="noConversion"/>
  <printOptions horizontalCentered="1"/>
  <pageMargins left="0" right="0" top="0" bottom="0" header="0.78740157480314965" footer="0.23622047244094491"/>
  <pageSetup paperSize="9" scale="36" orientation="landscape" r:id="rId1"/>
  <headerFooter alignWithMargins="0">
    <oddFooter>&amp;R&amp;"Arial Cyr,курсив"&amp;10Лист 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AFCEC-33DB-422D-BCF3-4C375DCEB416}">
  <sheetPr codeName="Лист3">
    <pageSetUpPr fitToPage="1"/>
  </sheetPr>
  <dimension ref="A1:EP264"/>
  <sheetViews>
    <sheetView topLeftCell="A169" zoomScale="60" zoomScaleNormal="60" zoomScalePageLayoutView="60" workbookViewId="0">
      <selection activeCell="D175" sqref="D175"/>
    </sheetView>
  </sheetViews>
  <sheetFormatPr defaultRowHeight="15" x14ac:dyDescent="0.25"/>
  <cols>
    <col min="1" max="1" width="5.33203125" style="706" customWidth="1"/>
    <col min="2" max="2" width="39.33203125" style="4" customWidth="1"/>
    <col min="3" max="3" width="12.21875" style="4" customWidth="1"/>
    <col min="4" max="4" width="14.44140625" style="4" customWidth="1"/>
    <col min="5" max="5" width="12.44140625" style="4" customWidth="1"/>
    <col min="6" max="6" width="12.77734375" style="4" customWidth="1"/>
    <col min="7" max="7" width="14.109375" style="4" customWidth="1"/>
    <col min="8" max="8" width="12.21875" style="4" customWidth="1"/>
    <col min="9" max="9" width="11.109375" style="4" customWidth="1"/>
    <col min="10" max="10" width="10.5546875" style="23" customWidth="1"/>
    <col min="11" max="11" width="10" style="4" customWidth="1"/>
    <col min="12" max="12" width="9" style="4" customWidth="1"/>
    <col min="13" max="13" width="11.21875" style="4" customWidth="1"/>
    <col min="14" max="14" width="10.33203125" style="4" customWidth="1"/>
    <col min="15" max="15" width="11.5546875" style="4" customWidth="1"/>
    <col min="16" max="16" width="11.109375" style="4" customWidth="1"/>
    <col min="17" max="17" width="9.88671875" style="4" customWidth="1"/>
    <col min="18" max="18" width="8.88671875" style="4" customWidth="1"/>
    <col min="19" max="19" width="9.88671875" style="4" customWidth="1"/>
    <col min="20" max="20" width="14.33203125" style="4" customWidth="1"/>
    <col min="21" max="21" width="9.88671875" style="4" hidden="1" customWidth="1"/>
    <col min="22" max="22" width="14" style="4" customWidth="1"/>
    <col min="23" max="23" width="13.109375" style="4" customWidth="1"/>
    <col min="24" max="24" width="8.88671875" style="4" hidden="1" customWidth="1"/>
    <col min="25" max="25" width="7.77734375" style="4" customWidth="1"/>
    <col min="26" max="27" width="8.6640625" style="4" customWidth="1"/>
    <col min="28" max="28" width="6.5546875" style="4" customWidth="1"/>
    <col min="29" max="30" width="7" style="4" customWidth="1"/>
    <col min="31" max="31" width="0" style="35" hidden="1" customWidth="1"/>
    <col min="32" max="32" width="8.88671875" style="35"/>
    <col min="33" max="33" width="10.88671875" style="35" customWidth="1"/>
    <col min="34" max="34" width="10.21875" style="35" customWidth="1"/>
    <col min="35" max="60" width="8.88671875" style="35"/>
    <col min="61" max="16384" width="8.88671875" style="4"/>
  </cols>
  <sheetData>
    <row r="1" spans="1:146" ht="27" customHeight="1" x14ac:dyDescent="0.35">
      <c r="E1" s="2334" t="s">
        <v>59</v>
      </c>
      <c r="F1" s="2334"/>
      <c r="G1" s="2334"/>
      <c r="H1" s="2334"/>
      <c r="I1" s="2334"/>
      <c r="J1" s="2335" t="str">
        <f>'2 блок'!M7</f>
        <v>на 25.05.26 - 26.05.26</v>
      </c>
      <c r="K1" s="2335"/>
      <c r="L1" s="2335"/>
      <c r="M1" s="2335"/>
      <c r="N1" s="2335"/>
      <c r="O1" s="2058"/>
      <c r="P1" s="1500"/>
      <c r="Q1" s="1500"/>
      <c r="R1" s="1500"/>
      <c r="S1" s="1500"/>
      <c r="T1" s="1500"/>
      <c r="U1" s="1500"/>
      <c r="V1" s="296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</row>
    <row r="2" spans="1:146" ht="26.25" customHeight="1" x14ac:dyDescent="0.35">
      <c r="A2" s="707" t="s">
        <v>0</v>
      </c>
      <c r="B2" s="2336" t="s">
        <v>50</v>
      </c>
      <c r="C2" s="2336"/>
      <c r="D2" s="2336"/>
      <c r="E2" s="2336"/>
      <c r="F2" s="2336"/>
      <c r="G2" s="2336"/>
      <c r="H2" s="2336"/>
      <c r="I2" s="2336"/>
      <c r="J2" s="2336"/>
      <c r="K2" s="2336"/>
      <c r="L2" s="2336"/>
      <c r="M2" s="2336"/>
      <c r="N2" s="2336"/>
      <c r="O2" s="2336"/>
      <c r="P2" s="2336"/>
      <c r="Q2" s="2336"/>
      <c r="R2" s="2336"/>
      <c r="S2" s="2336"/>
      <c r="T2" s="1721"/>
      <c r="U2" s="32"/>
      <c r="V2" s="8"/>
      <c r="W2" s="9"/>
      <c r="X2" s="8"/>
      <c r="Y2" s="8"/>
      <c r="Z2" s="8"/>
      <c r="AA2" s="8"/>
      <c r="AB2" s="10"/>
      <c r="AC2" s="1"/>
      <c r="AD2" s="1"/>
      <c r="AE2" s="11"/>
      <c r="AF2" s="11"/>
      <c r="AG2" s="11"/>
      <c r="AH2" s="11"/>
      <c r="AI2" s="11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</row>
    <row r="3" spans="1:146" s="48" customFormat="1" ht="18.75" customHeight="1" thickBot="1" x14ac:dyDescent="0.3">
      <c r="A3" s="708" t="s">
        <v>0</v>
      </c>
      <c r="B3" s="237"/>
      <c r="C3" s="237"/>
      <c r="D3" s="237"/>
      <c r="E3" s="237"/>
      <c r="F3" s="237"/>
      <c r="G3" s="237"/>
      <c r="H3" s="237"/>
      <c r="I3" s="237"/>
      <c r="J3" s="238"/>
      <c r="K3" s="237"/>
      <c r="L3" s="237"/>
      <c r="M3" s="237"/>
      <c r="N3" s="237"/>
      <c r="O3" s="237"/>
      <c r="P3" s="237"/>
      <c r="Q3" s="237"/>
      <c r="R3" s="237"/>
      <c r="S3" s="237"/>
      <c r="T3" s="237"/>
      <c r="U3" s="237"/>
      <c r="V3" s="3"/>
      <c r="W3" s="1"/>
      <c r="X3" s="1"/>
      <c r="Y3" s="1"/>
      <c r="Z3" s="1"/>
      <c r="AA3" s="1"/>
      <c r="AB3" s="1"/>
      <c r="AC3" s="1"/>
      <c r="AD3" s="1"/>
      <c r="AE3" s="11"/>
      <c r="AF3" s="11"/>
      <c r="AG3" s="11"/>
      <c r="AH3" s="11"/>
      <c r="AI3" s="11"/>
    </row>
    <row r="4" spans="1:146" s="48" customFormat="1" ht="36.75" customHeight="1" thickBot="1" x14ac:dyDescent="0.25">
      <c r="A4" s="2319" t="s">
        <v>309</v>
      </c>
      <c r="B4" s="2341" t="s">
        <v>18</v>
      </c>
      <c r="C4" s="233" t="s">
        <v>43</v>
      </c>
      <c r="D4" s="2340" t="s">
        <v>142</v>
      </c>
      <c r="E4" s="2251"/>
      <c r="F4" s="2246" t="s">
        <v>162</v>
      </c>
      <c r="G4" s="234" t="s">
        <v>28</v>
      </c>
      <c r="H4" s="233" t="s">
        <v>11</v>
      </c>
      <c r="I4" s="233" t="s">
        <v>37</v>
      </c>
      <c r="J4" s="235" t="s">
        <v>19</v>
      </c>
      <c r="K4" s="233" t="s">
        <v>21</v>
      </c>
      <c r="L4" s="453" t="s">
        <v>23</v>
      </c>
      <c r="M4" s="2370" t="s">
        <v>72</v>
      </c>
      <c r="N4" s="2371"/>
      <c r="O4" s="236" t="s">
        <v>166</v>
      </c>
      <c r="P4" s="236" t="s">
        <v>27</v>
      </c>
      <c r="Q4" s="236" t="s">
        <v>63</v>
      </c>
      <c r="R4" s="236" t="s">
        <v>24</v>
      </c>
      <c r="S4" s="454" t="s">
        <v>2</v>
      </c>
      <c r="T4" s="2281" t="s">
        <v>121</v>
      </c>
      <c r="U4" s="491" t="s">
        <v>82</v>
      </c>
      <c r="V4" s="2364" t="s">
        <v>7</v>
      </c>
      <c r="W4" s="2364"/>
      <c r="X4" s="2364"/>
      <c r="Y4" s="2364"/>
      <c r="Z4" s="2364"/>
      <c r="AA4" s="2364"/>
      <c r="AB4" s="2364"/>
      <c r="AC4" s="14"/>
      <c r="AD4" s="14"/>
      <c r="AE4" s="14" t="s">
        <v>310</v>
      </c>
    </row>
    <row r="5" spans="1:146" s="48" customFormat="1" ht="59.25" customHeight="1" thickBot="1" x14ac:dyDescent="0.3">
      <c r="A5" s="2320"/>
      <c r="B5" s="2342"/>
      <c r="C5" s="422" t="s">
        <v>170</v>
      </c>
      <c r="D5" s="1860" t="s">
        <v>117</v>
      </c>
      <c r="E5" s="1869" t="s">
        <v>98</v>
      </c>
      <c r="F5" s="2339"/>
      <c r="G5" s="686" t="s">
        <v>172</v>
      </c>
      <c r="H5" s="335" t="s">
        <v>12</v>
      </c>
      <c r="I5" s="335" t="s">
        <v>34</v>
      </c>
      <c r="J5" s="336" t="s">
        <v>20</v>
      </c>
      <c r="K5" s="335" t="s">
        <v>22</v>
      </c>
      <c r="L5" s="689" t="s">
        <v>3</v>
      </c>
      <c r="M5" s="690" t="s">
        <v>73</v>
      </c>
      <c r="N5" s="690" t="s">
        <v>74</v>
      </c>
      <c r="O5" s="425" t="s">
        <v>3</v>
      </c>
      <c r="P5" s="425" t="s">
        <v>3</v>
      </c>
      <c r="Q5" s="425" t="s">
        <v>16</v>
      </c>
      <c r="R5" s="425" t="s">
        <v>16</v>
      </c>
      <c r="S5" s="691" t="s">
        <v>3</v>
      </c>
      <c r="T5" s="2282"/>
      <c r="U5" s="692"/>
      <c r="V5" s="154" t="s">
        <v>311</v>
      </c>
      <c r="W5" s="151" t="s">
        <v>9</v>
      </c>
      <c r="X5" s="152" t="s">
        <v>10</v>
      </c>
      <c r="Y5" s="153" t="s">
        <v>30</v>
      </c>
      <c r="Z5" s="154" t="s">
        <v>26</v>
      </c>
      <c r="AA5" s="151" t="s">
        <v>65</v>
      </c>
      <c r="AB5" s="155" t="s">
        <v>1</v>
      </c>
      <c r="AC5" s="156" t="s">
        <v>2</v>
      </c>
      <c r="AD5" s="156"/>
      <c r="AE5" s="156"/>
    </row>
    <row r="6" spans="1:146" s="63" customFormat="1" ht="21" hidden="1" customHeight="1" x14ac:dyDescent="0.2">
      <c r="A6" s="709"/>
      <c r="B6" s="1311" t="s">
        <v>177</v>
      </c>
      <c r="C6" s="1306">
        <v>16630.9113</v>
      </c>
      <c r="D6" s="681"/>
      <c r="E6" s="1904"/>
      <c r="F6" s="1865" t="s">
        <v>174</v>
      </c>
      <c r="G6" s="687"/>
      <c r="H6" s="405">
        <v>0</v>
      </c>
      <c r="I6" s="239">
        <f t="shared" ref="I6:I37" si="0">G6*I$171/$G$171</f>
        <v>0</v>
      </c>
      <c r="J6" s="243">
        <f>SUM(I6:I8)</f>
        <v>0</v>
      </c>
      <c r="K6" s="239" t="str">
        <f>IF(J6=0," ",H6/J6)</f>
        <v xml:space="preserve"> </v>
      </c>
      <c r="L6" s="477">
        <v>9.5013000000000005</v>
      </c>
      <c r="M6" s="294">
        <v>41.055</v>
      </c>
      <c r="N6" s="294"/>
      <c r="O6" s="478">
        <v>96.186000000000007</v>
      </c>
      <c r="P6" s="479">
        <v>0.97358999999999996</v>
      </c>
      <c r="Q6" s="240">
        <v>49.265999999999998</v>
      </c>
      <c r="R6" s="240">
        <v>24.632999999999999</v>
      </c>
      <c r="S6" s="497">
        <v>0.46920000000000001</v>
      </c>
      <c r="T6" s="1792"/>
      <c r="U6" s="493">
        <v>4.2227999999999995E-2</v>
      </c>
      <c r="V6" s="252">
        <f t="shared" ref="V6:V37" si="1">(G6*L6/$G$171)</f>
        <v>0</v>
      </c>
      <c r="W6" s="324">
        <f t="shared" ref="W6:W37" si="2">(G6*M6/$G$171)</f>
        <v>0</v>
      </c>
      <c r="X6" s="252" t="e">
        <f>(#REF!*N6/$G$171)</f>
        <v>#REF!</v>
      </c>
      <c r="Y6" s="324">
        <f t="shared" ref="Y6:Y15" si="3">G6*O6/100</f>
        <v>0</v>
      </c>
      <c r="Z6" s="252">
        <f t="shared" ref="Z6:Z15" si="4">(G6*P6/100)</f>
        <v>0</v>
      </c>
      <c r="AA6" s="324">
        <f t="shared" ref="AA6:AA37" si="5">(G6*Q6/$G$171)</f>
        <v>0</v>
      </c>
      <c r="AB6" s="324">
        <f t="shared" ref="AB6:AB37" si="6">(G6*R6/$G$171)</f>
        <v>0</v>
      </c>
      <c r="AC6" s="325">
        <f t="shared" ref="AC6:AC37" si="7">(G6*S6/$G$171)</f>
        <v>0</v>
      </c>
      <c r="AD6" s="325"/>
      <c r="AE6" s="325">
        <f t="shared" ref="AE6:AE37" si="8">(G6*U6/$G$171)</f>
        <v>0</v>
      </c>
    </row>
    <row r="7" spans="1:146" s="48" customFormat="1" ht="21" hidden="1" customHeight="1" x14ac:dyDescent="0.25">
      <c r="A7" s="190"/>
      <c r="B7" s="1312" t="s">
        <v>312</v>
      </c>
      <c r="C7" s="1278">
        <v>16630.9113</v>
      </c>
      <c r="D7" s="669"/>
      <c r="E7" s="1011"/>
      <c r="F7" s="1866" t="s">
        <v>174</v>
      </c>
      <c r="G7" s="688"/>
      <c r="H7" s="647"/>
      <c r="I7" s="242">
        <f t="shared" si="0"/>
        <v>0</v>
      </c>
      <c r="J7" s="648"/>
      <c r="K7" s="649"/>
      <c r="L7" s="241">
        <v>7.5072000000000001</v>
      </c>
      <c r="M7" s="293">
        <v>41.406899999999993</v>
      </c>
      <c r="N7" s="293"/>
      <c r="O7" s="475">
        <v>102.051</v>
      </c>
      <c r="P7" s="476">
        <v>0.98531999999999997</v>
      </c>
      <c r="Q7" s="268">
        <v>52.784999999999997</v>
      </c>
      <c r="R7" s="268">
        <v>25.806000000000001</v>
      </c>
      <c r="S7" s="496">
        <v>0.46920000000000001</v>
      </c>
      <c r="T7" s="1723"/>
      <c r="U7" s="492">
        <v>4.2227999999999995E-2</v>
      </c>
      <c r="V7" s="650">
        <f t="shared" si="1"/>
        <v>0</v>
      </c>
      <c r="W7" s="651">
        <f t="shared" si="2"/>
        <v>0</v>
      </c>
      <c r="X7" s="650" t="e">
        <f>(#REF!*N7/$G$171)</f>
        <v>#REF!</v>
      </c>
      <c r="Y7" s="651">
        <f t="shared" si="3"/>
        <v>0</v>
      </c>
      <c r="Z7" s="650">
        <f t="shared" si="4"/>
        <v>0</v>
      </c>
      <c r="AA7" s="651">
        <f t="shared" si="5"/>
        <v>0</v>
      </c>
      <c r="AB7" s="651">
        <f t="shared" si="6"/>
        <v>0</v>
      </c>
      <c r="AC7" s="652">
        <f t="shared" si="7"/>
        <v>0</v>
      </c>
      <c r="AD7" s="652"/>
      <c r="AE7" s="652">
        <f t="shared" si="8"/>
        <v>0</v>
      </c>
    </row>
    <row r="8" spans="1:146" s="48" customFormat="1" ht="21" hidden="1" customHeight="1" thickBot="1" x14ac:dyDescent="0.3">
      <c r="A8" s="709"/>
      <c r="B8" s="1312" t="s">
        <v>177</v>
      </c>
      <c r="C8" s="1278">
        <v>16630.9113</v>
      </c>
      <c r="D8" s="669"/>
      <c r="E8" s="1011"/>
      <c r="F8" s="1866" t="s">
        <v>174</v>
      </c>
      <c r="G8" s="688"/>
      <c r="H8" s="647"/>
      <c r="I8" s="242">
        <f t="shared" si="0"/>
        <v>0</v>
      </c>
      <c r="J8" s="648"/>
      <c r="K8" s="649"/>
      <c r="L8" s="241">
        <v>10.4397</v>
      </c>
      <c r="M8" s="293">
        <v>41.055</v>
      </c>
      <c r="N8" s="293"/>
      <c r="O8" s="475">
        <v>96.186000000000007</v>
      </c>
      <c r="P8" s="476">
        <v>0.97358999999999996</v>
      </c>
      <c r="Q8" s="268">
        <v>49.265999999999998</v>
      </c>
      <c r="R8" s="268">
        <v>24.632999999999999</v>
      </c>
      <c r="S8" s="496">
        <v>0.46920000000000001</v>
      </c>
      <c r="T8" s="1723"/>
      <c r="U8" s="492">
        <v>4.2227999999999995E-2</v>
      </c>
      <c r="V8" s="653">
        <f t="shared" si="1"/>
        <v>0</v>
      </c>
      <c r="W8" s="322">
        <f t="shared" si="2"/>
        <v>0</v>
      </c>
      <c r="X8" s="653" t="e">
        <f>(#REF!*N8/$G$171)</f>
        <v>#REF!</v>
      </c>
      <c r="Y8" s="322">
        <f t="shared" si="3"/>
        <v>0</v>
      </c>
      <c r="Z8" s="653">
        <f t="shared" si="4"/>
        <v>0</v>
      </c>
      <c r="AA8" s="322">
        <f t="shared" si="5"/>
        <v>0</v>
      </c>
      <c r="AB8" s="322">
        <f t="shared" si="6"/>
        <v>0</v>
      </c>
      <c r="AC8" s="654">
        <f t="shared" si="7"/>
        <v>0</v>
      </c>
      <c r="AD8" s="654"/>
      <c r="AE8" s="654">
        <f t="shared" si="8"/>
        <v>0</v>
      </c>
    </row>
    <row r="9" spans="1:146" s="48" customFormat="1" ht="21" hidden="1" customHeight="1" thickBot="1" x14ac:dyDescent="0.3">
      <c r="A9" s="1083"/>
      <c r="B9" s="1094" t="s">
        <v>175</v>
      </c>
      <c r="C9" s="1115">
        <v>12915.199199999999</v>
      </c>
      <c r="D9" s="1116"/>
      <c r="E9" s="1904"/>
      <c r="F9" s="1200" t="s">
        <v>174</v>
      </c>
      <c r="G9" s="1138"/>
      <c r="H9" s="1222">
        <v>0</v>
      </c>
      <c r="I9" s="1139">
        <f t="shared" si="0"/>
        <v>0</v>
      </c>
      <c r="J9" s="1159">
        <f>SUM(I9:I16)</f>
        <v>0</v>
      </c>
      <c r="K9" s="1307" t="str">
        <f>IF(J9=0," ",H9/J9)</f>
        <v xml:space="preserve"> </v>
      </c>
      <c r="L9" s="1140">
        <v>6.4515000000000002</v>
      </c>
      <c r="M9" s="1141">
        <v>41.2896</v>
      </c>
      <c r="N9" s="1129"/>
      <c r="O9" s="1142">
        <v>98.531999999999996</v>
      </c>
      <c r="P9" s="1143">
        <v>1.02051</v>
      </c>
      <c r="Q9" s="1144">
        <v>49.265999999999998</v>
      </c>
      <c r="R9" s="1144">
        <v>24.632999999999999</v>
      </c>
      <c r="S9" s="1145">
        <v>0.48093000000000002</v>
      </c>
      <c r="T9" s="1793"/>
      <c r="U9" s="1146">
        <v>4.2227999999999995E-2</v>
      </c>
      <c r="V9" s="653">
        <f t="shared" si="1"/>
        <v>0</v>
      </c>
      <c r="W9" s="322">
        <f t="shared" si="2"/>
        <v>0</v>
      </c>
      <c r="X9" s="653" t="e">
        <f>(#REF!*N9/$G$171)</f>
        <v>#REF!</v>
      </c>
      <c r="Y9" s="322">
        <f t="shared" si="3"/>
        <v>0</v>
      </c>
      <c r="Z9" s="653">
        <f t="shared" si="4"/>
        <v>0</v>
      </c>
      <c r="AA9" s="322">
        <f t="shared" si="5"/>
        <v>0</v>
      </c>
      <c r="AB9" s="322">
        <f t="shared" si="6"/>
        <v>0</v>
      </c>
      <c r="AC9" s="654">
        <f t="shared" si="7"/>
        <v>0</v>
      </c>
      <c r="AD9" s="654"/>
      <c r="AE9" s="654">
        <f t="shared" si="8"/>
        <v>0</v>
      </c>
    </row>
    <row r="10" spans="1:146" s="48" customFormat="1" ht="21" hidden="1" customHeight="1" thickBot="1" x14ac:dyDescent="0.25">
      <c r="A10" s="1082"/>
      <c r="B10" s="1095" t="s">
        <v>175</v>
      </c>
      <c r="C10" s="1113"/>
      <c r="D10" s="1308"/>
      <c r="E10" s="1905"/>
      <c r="F10" s="1196" t="s">
        <v>174</v>
      </c>
      <c r="G10" s="1123"/>
      <c r="H10" s="1124"/>
      <c r="I10" s="1125">
        <f t="shared" si="0"/>
        <v>0</v>
      </c>
      <c r="J10" s="1126"/>
      <c r="K10" s="1127"/>
      <c r="L10" s="1128">
        <v>9.8531999999999993</v>
      </c>
      <c r="M10" s="1129">
        <v>41.993399999999994</v>
      </c>
      <c r="N10" s="1129"/>
      <c r="O10" s="1130">
        <v>97.358999999999995</v>
      </c>
      <c r="P10" s="1131">
        <v>1.0439700000000001</v>
      </c>
      <c r="Q10" s="1132">
        <v>45.747</v>
      </c>
      <c r="R10" s="1132">
        <v>23.46</v>
      </c>
      <c r="S10" s="1133">
        <v>0.45746999999999999</v>
      </c>
      <c r="T10" s="1794"/>
      <c r="U10" s="1134">
        <v>4.2227999999999995E-2</v>
      </c>
      <c r="V10" s="653">
        <f t="shared" si="1"/>
        <v>0</v>
      </c>
      <c r="W10" s="322">
        <f t="shared" si="2"/>
        <v>0</v>
      </c>
      <c r="X10" s="653" t="e">
        <f>(#REF!*N10/$G$171)</f>
        <v>#REF!</v>
      </c>
      <c r="Y10" s="322">
        <f t="shared" si="3"/>
        <v>0</v>
      </c>
      <c r="Z10" s="653">
        <f t="shared" si="4"/>
        <v>0</v>
      </c>
      <c r="AA10" s="322">
        <f t="shared" si="5"/>
        <v>0</v>
      </c>
      <c r="AB10" s="322">
        <f t="shared" si="6"/>
        <v>0</v>
      </c>
      <c r="AC10" s="654">
        <f t="shared" si="7"/>
        <v>0</v>
      </c>
      <c r="AD10" s="654"/>
      <c r="AE10" s="654">
        <f t="shared" si="8"/>
        <v>0</v>
      </c>
    </row>
    <row r="11" spans="1:146" s="48" customFormat="1" ht="21" hidden="1" customHeight="1" thickBot="1" x14ac:dyDescent="0.25">
      <c r="A11" s="1082"/>
      <c r="B11" s="1095" t="s">
        <v>175</v>
      </c>
      <c r="C11" s="1113"/>
      <c r="D11" s="1308"/>
      <c r="E11" s="1905"/>
      <c r="F11" s="1196" t="s">
        <v>174</v>
      </c>
      <c r="G11" s="1123"/>
      <c r="H11" s="1124"/>
      <c r="I11" s="1125">
        <f t="shared" si="0"/>
        <v>0</v>
      </c>
      <c r="J11" s="1126"/>
      <c r="K11" s="1127"/>
      <c r="L11" s="1128">
        <v>7.2725999999999997</v>
      </c>
      <c r="M11" s="1129">
        <v>41.758800000000001</v>
      </c>
      <c r="N11" s="1129"/>
      <c r="O11" s="1130">
        <v>97.358999999999995</v>
      </c>
      <c r="P11" s="1131">
        <v>1.03224</v>
      </c>
      <c r="Q11" s="1132">
        <v>51.612000000000002</v>
      </c>
      <c r="R11" s="1132">
        <v>24.632999999999999</v>
      </c>
      <c r="S11" s="1133">
        <v>0.51612000000000002</v>
      </c>
      <c r="T11" s="1794"/>
      <c r="U11" s="1134">
        <v>4.2227999999999995E-2</v>
      </c>
      <c r="V11" s="653">
        <f t="shared" si="1"/>
        <v>0</v>
      </c>
      <c r="W11" s="322">
        <f t="shared" si="2"/>
        <v>0</v>
      </c>
      <c r="X11" s="653" t="e">
        <f>(#REF!*N11/$G$171)</f>
        <v>#REF!</v>
      </c>
      <c r="Y11" s="322">
        <f t="shared" si="3"/>
        <v>0</v>
      </c>
      <c r="Z11" s="653">
        <f t="shared" si="4"/>
        <v>0</v>
      </c>
      <c r="AA11" s="322">
        <f t="shared" si="5"/>
        <v>0</v>
      </c>
      <c r="AB11" s="322">
        <f t="shared" si="6"/>
        <v>0</v>
      </c>
      <c r="AC11" s="654">
        <f t="shared" si="7"/>
        <v>0</v>
      </c>
      <c r="AD11" s="654"/>
      <c r="AE11" s="654">
        <f t="shared" si="8"/>
        <v>0</v>
      </c>
    </row>
    <row r="12" spans="1:146" s="48" customFormat="1" ht="21" hidden="1" customHeight="1" thickBot="1" x14ac:dyDescent="0.25">
      <c r="A12" s="1082"/>
      <c r="B12" s="1095" t="s">
        <v>175</v>
      </c>
      <c r="C12" s="1113"/>
      <c r="D12" s="1308"/>
      <c r="E12" s="1905"/>
      <c r="F12" s="1196" t="s">
        <v>174</v>
      </c>
      <c r="G12" s="1123"/>
      <c r="H12" s="1124"/>
      <c r="I12" s="1125">
        <f t="shared" si="0"/>
        <v>0</v>
      </c>
      <c r="J12" s="1126"/>
      <c r="K12" s="1127"/>
      <c r="L12" s="1128">
        <v>10.557</v>
      </c>
      <c r="M12" s="1129">
        <v>40.468499999999999</v>
      </c>
      <c r="N12" s="1129"/>
      <c r="O12" s="1130">
        <v>97.358999999999995</v>
      </c>
      <c r="P12" s="1131">
        <v>1.0439700000000001</v>
      </c>
      <c r="Q12" s="1132">
        <v>43.401000000000003</v>
      </c>
      <c r="R12" s="1132">
        <v>24.632999999999999</v>
      </c>
      <c r="S12" s="1133">
        <v>0.46920000000000001</v>
      </c>
      <c r="T12" s="1794"/>
      <c r="U12" s="1134">
        <v>4.2227999999999995E-2</v>
      </c>
      <c r="V12" s="653">
        <f t="shared" si="1"/>
        <v>0</v>
      </c>
      <c r="W12" s="322">
        <f t="shared" si="2"/>
        <v>0</v>
      </c>
      <c r="X12" s="653" t="e">
        <f>(#REF!*N12/$G$171)</f>
        <v>#REF!</v>
      </c>
      <c r="Y12" s="322">
        <f t="shared" si="3"/>
        <v>0</v>
      </c>
      <c r="Z12" s="653">
        <f t="shared" si="4"/>
        <v>0</v>
      </c>
      <c r="AA12" s="322">
        <f t="shared" si="5"/>
        <v>0</v>
      </c>
      <c r="AB12" s="322">
        <f t="shared" si="6"/>
        <v>0</v>
      </c>
      <c r="AC12" s="654">
        <f t="shared" si="7"/>
        <v>0</v>
      </c>
      <c r="AD12" s="654"/>
      <c r="AE12" s="654">
        <f t="shared" si="8"/>
        <v>0</v>
      </c>
    </row>
    <row r="13" spans="1:146" s="48" customFormat="1" ht="21" hidden="1" customHeight="1" thickBot="1" x14ac:dyDescent="0.25">
      <c r="A13" s="1082"/>
      <c r="B13" s="1095" t="s">
        <v>175</v>
      </c>
      <c r="C13" s="1113"/>
      <c r="D13" s="1308"/>
      <c r="E13" s="1905"/>
      <c r="F13" s="1196" t="s">
        <v>174</v>
      </c>
      <c r="G13" s="1123"/>
      <c r="H13" s="1124"/>
      <c r="I13" s="1125">
        <f t="shared" si="0"/>
        <v>0</v>
      </c>
      <c r="J13" s="1126"/>
      <c r="K13" s="1127"/>
      <c r="L13" s="1128">
        <v>6.8033999999999999</v>
      </c>
      <c r="M13" s="1129">
        <v>40.703100000000006</v>
      </c>
      <c r="N13" s="1129"/>
      <c r="O13" s="1130">
        <v>97.358999999999995</v>
      </c>
      <c r="P13" s="1131">
        <v>1.0439700000000001</v>
      </c>
      <c r="Q13" s="1132">
        <v>48.093000000000004</v>
      </c>
      <c r="R13" s="1132">
        <v>24.632999999999999</v>
      </c>
      <c r="S13" s="1133">
        <v>0.45746999999999999</v>
      </c>
      <c r="T13" s="1794"/>
      <c r="U13" s="1134">
        <v>4.2227999999999995E-2</v>
      </c>
      <c r="V13" s="653">
        <f t="shared" si="1"/>
        <v>0</v>
      </c>
      <c r="W13" s="322">
        <f t="shared" si="2"/>
        <v>0</v>
      </c>
      <c r="X13" s="653" t="e">
        <f>(#REF!*N13/$G$171)</f>
        <v>#REF!</v>
      </c>
      <c r="Y13" s="322">
        <f t="shared" si="3"/>
        <v>0</v>
      </c>
      <c r="Z13" s="653">
        <f t="shared" si="4"/>
        <v>0</v>
      </c>
      <c r="AA13" s="322">
        <f t="shared" si="5"/>
        <v>0</v>
      </c>
      <c r="AB13" s="322">
        <f t="shared" si="6"/>
        <v>0</v>
      </c>
      <c r="AC13" s="654">
        <f t="shared" si="7"/>
        <v>0</v>
      </c>
      <c r="AD13" s="654"/>
      <c r="AE13" s="654">
        <f t="shared" si="8"/>
        <v>0</v>
      </c>
    </row>
    <row r="14" spans="1:146" s="48" customFormat="1" ht="21" hidden="1" customHeight="1" thickBot="1" x14ac:dyDescent="0.25">
      <c r="A14" s="1082"/>
      <c r="B14" s="1095" t="s">
        <v>175</v>
      </c>
      <c r="C14" s="1113"/>
      <c r="D14" s="1308"/>
      <c r="E14" s="1905"/>
      <c r="F14" s="1196" t="s">
        <v>174</v>
      </c>
      <c r="G14" s="1123"/>
      <c r="H14" s="1124"/>
      <c r="I14" s="1125">
        <f t="shared" si="0"/>
        <v>0</v>
      </c>
      <c r="J14" s="1126"/>
      <c r="K14" s="1127"/>
      <c r="L14" s="1128">
        <v>8.3283000000000005</v>
      </c>
      <c r="M14" s="1129">
        <v>40.820399999999999</v>
      </c>
      <c r="N14" s="1129"/>
      <c r="O14" s="1130">
        <v>97.358999999999995</v>
      </c>
      <c r="P14" s="1131">
        <v>1.0439700000000001</v>
      </c>
      <c r="Q14" s="1132">
        <v>48.093000000000004</v>
      </c>
      <c r="R14" s="1132">
        <v>25.806000000000001</v>
      </c>
      <c r="S14" s="1133">
        <v>0.49265999999999999</v>
      </c>
      <c r="T14" s="1794"/>
      <c r="U14" s="1134">
        <v>4.2227999999999995E-2</v>
      </c>
      <c r="V14" s="653">
        <f t="shared" si="1"/>
        <v>0</v>
      </c>
      <c r="W14" s="322">
        <f t="shared" si="2"/>
        <v>0</v>
      </c>
      <c r="X14" s="653" t="e">
        <f>(#REF!*N14/$G$171)</f>
        <v>#REF!</v>
      </c>
      <c r="Y14" s="322">
        <f t="shared" si="3"/>
        <v>0</v>
      </c>
      <c r="Z14" s="653">
        <f t="shared" si="4"/>
        <v>0</v>
      </c>
      <c r="AA14" s="322">
        <f t="shared" si="5"/>
        <v>0</v>
      </c>
      <c r="AB14" s="322">
        <f t="shared" si="6"/>
        <v>0</v>
      </c>
      <c r="AC14" s="654">
        <f t="shared" si="7"/>
        <v>0</v>
      </c>
      <c r="AD14" s="654"/>
      <c r="AE14" s="654">
        <f t="shared" si="8"/>
        <v>0</v>
      </c>
    </row>
    <row r="15" spans="1:146" s="48" customFormat="1" ht="21" hidden="1" customHeight="1" thickBot="1" x14ac:dyDescent="0.25">
      <c r="A15" s="1082"/>
      <c r="B15" s="1313" t="s">
        <v>175</v>
      </c>
      <c r="C15" s="1113"/>
      <c r="D15" s="1309"/>
      <c r="E15" s="1905"/>
      <c r="F15" s="1867" t="s">
        <v>174</v>
      </c>
      <c r="G15" s="1123"/>
      <c r="H15" s="332"/>
      <c r="I15" s="1125">
        <f t="shared" si="0"/>
        <v>0</v>
      </c>
      <c r="J15" s="1136"/>
      <c r="K15" s="1127"/>
      <c r="L15" s="1128">
        <v>6.4515000000000002</v>
      </c>
      <c r="M15" s="1129">
        <v>41.876100000000001</v>
      </c>
      <c r="N15" s="1129"/>
      <c r="O15" s="1130">
        <v>99.704999999999998</v>
      </c>
      <c r="P15" s="1131">
        <v>1.0557000000000001</v>
      </c>
      <c r="Q15" s="1132">
        <v>59.823</v>
      </c>
      <c r="R15" s="1132">
        <v>22.286999999999999</v>
      </c>
      <c r="S15" s="1133">
        <v>0.48093000000000002</v>
      </c>
      <c r="T15" s="1794"/>
      <c r="U15" s="1134">
        <v>4.2227999999999995E-2</v>
      </c>
      <c r="V15" s="653">
        <f t="shared" si="1"/>
        <v>0</v>
      </c>
      <c r="W15" s="322">
        <f t="shared" si="2"/>
        <v>0</v>
      </c>
      <c r="X15" s="653" t="e">
        <f>(#REF!*N15/$G$171)</f>
        <v>#REF!</v>
      </c>
      <c r="Y15" s="322">
        <f t="shared" si="3"/>
        <v>0</v>
      </c>
      <c r="Z15" s="653">
        <f t="shared" si="4"/>
        <v>0</v>
      </c>
      <c r="AA15" s="322">
        <f t="shared" si="5"/>
        <v>0</v>
      </c>
      <c r="AB15" s="322">
        <f t="shared" si="6"/>
        <v>0</v>
      </c>
      <c r="AC15" s="654">
        <f t="shared" si="7"/>
        <v>0</v>
      </c>
      <c r="AD15" s="654"/>
      <c r="AE15" s="654">
        <f t="shared" si="8"/>
        <v>0</v>
      </c>
    </row>
    <row r="16" spans="1:146" s="48" customFormat="1" ht="21" hidden="1" customHeight="1" thickBot="1" x14ac:dyDescent="0.25">
      <c r="A16" s="1082"/>
      <c r="B16" s="1095" t="s">
        <v>175</v>
      </c>
      <c r="C16" s="1114"/>
      <c r="D16" s="1310"/>
      <c r="E16" s="1906"/>
      <c r="F16" s="1194" t="s">
        <v>174</v>
      </c>
      <c r="G16" s="1147"/>
      <c r="H16" s="1091"/>
      <c r="I16" s="406">
        <f t="shared" si="0"/>
        <v>0</v>
      </c>
      <c r="J16" s="1148"/>
      <c r="K16" s="1149"/>
      <c r="L16" s="1128">
        <v>6.4515000000000002</v>
      </c>
      <c r="M16" s="1129">
        <v>41.33652</v>
      </c>
      <c r="N16" s="1129"/>
      <c r="O16" s="1130">
        <v>98.531999999999996</v>
      </c>
      <c r="P16" s="1131">
        <v>1.02051</v>
      </c>
      <c r="Q16" s="1132">
        <v>49.265999999999998</v>
      </c>
      <c r="R16" s="1132">
        <v>24.632999999999999</v>
      </c>
      <c r="S16" s="1133">
        <v>0.48093000000000002</v>
      </c>
      <c r="T16" s="1794"/>
      <c r="U16" s="1134">
        <v>4.2227999999999995E-2</v>
      </c>
      <c r="V16" s="653">
        <f t="shared" si="1"/>
        <v>0</v>
      </c>
      <c r="W16" s="322">
        <f t="shared" si="2"/>
        <v>0</v>
      </c>
      <c r="X16" s="653" t="e">
        <f>(#REF!*N16/$G$171)</f>
        <v>#REF!</v>
      </c>
      <c r="Y16" s="322">
        <f t="shared" ref="Y16:Y84" si="9">G16*O16/100</f>
        <v>0</v>
      </c>
      <c r="Z16" s="653">
        <f t="shared" ref="Z16:Z84" si="10">(G16*P16/100)</f>
        <v>0</v>
      </c>
      <c r="AA16" s="322">
        <f t="shared" si="5"/>
        <v>0</v>
      </c>
      <c r="AB16" s="322">
        <f t="shared" si="6"/>
        <v>0</v>
      </c>
      <c r="AC16" s="654">
        <f t="shared" si="7"/>
        <v>0</v>
      </c>
      <c r="AD16" s="654"/>
      <c r="AE16" s="654">
        <f t="shared" si="8"/>
        <v>0</v>
      </c>
    </row>
    <row r="17" spans="1:32" s="1481" customFormat="1" ht="21" hidden="1" customHeight="1" thickBot="1" x14ac:dyDescent="0.25">
      <c r="A17" s="1083"/>
      <c r="B17" s="1104" t="s">
        <v>177</v>
      </c>
      <c r="C17" s="1115">
        <v>12915.199199999999</v>
      </c>
      <c r="D17" s="1116"/>
      <c r="E17" s="1907"/>
      <c r="F17" s="1200" t="s">
        <v>174</v>
      </c>
      <c r="G17" s="1083"/>
      <c r="H17" s="1449">
        <v>0</v>
      </c>
      <c r="I17" s="1238">
        <f t="shared" si="0"/>
        <v>0</v>
      </c>
      <c r="J17" s="1237">
        <f>SUM(I17:I20)</f>
        <v>0</v>
      </c>
      <c r="K17" s="1164" t="str">
        <f>IF(J17=0," ",H17/J17)</f>
        <v xml:space="preserve"> </v>
      </c>
      <c r="L17" s="1140">
        <v>9.2667000000000002</v>
      </c>
      <c r="M17" s="1477">
        <v>40.116600000000005</v>
      </c>
      <c r="N17" s="1141"/>
      <c r="O17" s="1142">
        <v>99.704999999999998</v>
      </c>
      <c r="P17" s="1143">
        <v>0.98531999999999997</v>
      </c>
      <c r="Q17" s="1144">
        <v>51.612000000000002</v>
      </c>
      <c r="R17" s="1144">
        <v>23.46</v>
      </c>
      <c r="S17" s="1145">
        <v>0.48093000000000002</v>
      </c>
      <c r="T17" s="1793"/>
      <c r="U17" s="1146">
        <v>4.2227999999999995E-2</v>
      </c>
      <c r="V17" s="1478">
        <f t="shared" si="1"/>
        <v>0</v>
      </c>
      <c r="W17" s="1479">
        <f t="shared" si="2"/>
        <v>0</v>
      </c>
      <c r="X17" s="1478" t="e">
        <f>(#REF!*N17/$G$171)</f>
        <v>#REF!</v>
      </c>
      <c r="Y17" s="1479">
        <f t="shared" si="9"/>
        <v>0</v>
      </c>
      <c r="Z17" s="1478">
        <f t="shared" si="10"/>
        <v>0</v>
      </c>
      <c r="AA17" s="1479">
        <f t="shared" si="5"/>
        <v>0</v>
      </c>
      <c r="AB17" s="1479">
        <f t="shared" si="6"/>
        <v>0</v>
      </c>
      <c r="AC17" s="1480">
        <f t="shared" si="7"/>
        <v>0</v>
      </c>
      <c r="AD17" s="1480"/>
      <c r="AE17" s="1480">
        <f t="shared" si="8"/>
        <v>0</v>
      </c>
    </row>
    <row r="18" spans="1:32" s="28" customFormat="1" ht="21" hidden="1" customHeight="1" thickBot="1" x14ac:dyDescent="0.25">
      <c r="A18" s="1381"/>
      <c r="B18" s="1463" t="s">
        <v>177</v>
      </c>
      <c r="C18" s="878">
        <v>12915.199199999999</v>
      </c>
      <c r="D18" s="1464"/>
      <c r="E18" s="1908"/>
      <c r="F18" s="1868" t="s">
        <v>174</v>
      </c>
      <c r="G18" s="1465"/>
      <c r="H18" s="1466"/>
      <c r="I18" s="1446">
        <f t="shared" si="0"/>
        <v>0</v>
      </c>
      <c r="J18" s="1467"/>
      <c r="K18" s="1468"/>
      <c r="L18" s="1371">
        <v>8.7974999999999994</v>
      </c>
      <c r="M18" s="1214">
        <v>42.228000000000002</v>
      </c>
      <c r="N18" s="1214"/>
      <c r="O18" s="1372">
        <v>99.704999999999998</v>
      </c>
      <c r="P18" s="1373">
        <v>0.98531999999999997</v>
      </c>
      <c r="Q18" s="1374">
        <v>51.612000000000002</v>
      </c>
      <c r="R18" s="1374">
        <v>23.46</v>
      </c>
      <c r="S18" s="1375">
        <v>0.44574000000000003</v>
      </c>
      <c r="T18" s="1795"/>
      <c r="U18" s="1376">
        <v>0.42227999999999999</v>
      </c>
      <c r="V18" s="1377">
        <f t="shared" si="1"/>
        <v>0</v>
      </c>
      <c r="W18" s="1378">
        <f t="shared" si="2"/>
        <v>0</v>
      </c>
      <c r="X18" s="1377" t="e">
        <f>(#REF!*N18/$G$171)</f>
        <v>#REF!</v>
      </c>
      <c r="Y18" s="1378">
        <f t="shared" si="9"/>
        <v>0</v>
      </c>
      <c r="Z18" s="1377">
        <f t="shared" si="10"/>
        <v>0</v>
      </c>
      <c r="AA18" s="1378">
        <f t="shared" si="5"/>
        <v>0</v>
      </c>
      <c r="AB18" s="1378">
        <f t="shared" si="6"/>
        <v>0</v>
      </c>
      <c r="AC18" s="1379">
        <f t="shared" si="7"/>
        <v>0</v>
      </c>
      <c r="AD18" s="1379"/>
      <c r="AE18" s="1379">
        <f t="shared" si="8"/>
        <v>0</v>
      </c>
    </row>
    <row r="19" spans="1:32" s="48" customFormat="1" ht="21" hidden="1" customHeight="1" thickBot="1" x14ac:dyDescent="0.25">
      <c r="A19" s="1381"/>
      <c r="B19" s="1463" t="s">
        <v>177</v>
      </c>
      <c r="C19" s="878">
        <v>12915.199199999999</v>
      </c>
      <c r="D19" s="1464"/>
      <c r="E19" s="1908"/>
      <c r="F19" s="1868" t="s">
        <v>174</v>
      </c>
      <c r="G19" s="1465"/>
      <c r="H19" s="1466"/>
      <c r="I19" s="1446">
        <f t="shared" si="0"/>
        <v>0</v>
      </c>
      <c r="J19" s="1467"/>
      <c r="K19" s="1468"/>
      <c r="L19" s="1371">
        <v>9.2667000000000002</v>
      </c>
      <c r="M19" s="1214">
        <v>40.351199999999999</v>
      </c>
      <c r="N19" s="1214"/>
      <c r="O19" s="1372">
        <v>99.704999999999998</v>
      </c>
      <c r="P19" s="1373">
        <v>0.98531999999999997</v>
      </c>
      <c r="Q19" s="1374">
        <v>51.612000000000002</v>
      </c>
      <c r="R19" s="1374">
        <v>23.46</v>
      </c>
      <c r="S19" s="1375">
        <v>0.44574000000000003</v>
      </c>
      <c r="T19" s="1795"/>
      <c r="U19" s="1376">
        <v>0.42227999999999999</v>
      </c>
      <c r="V19" s="653">
        <f t="shared" si="1"/>
        <v>0</v>
      </c>
      <c r="W19" s="322">
        <f t="shared" si="2"/>
        <v>0</v>
      </c>
      <c r="X19" s="653" t="e">
        <f>(#REF!*N19/$G$171)</f>
        <v>#REF!</v>
      </c>
      <c r="Y19" s="322">
        <f t="shared" si="9"/>
        <v>0</v>
      </c>
      <c r="Z19" s="653">
        <f t="shared" si="10"/>
        <v>0</v>
      </c>
      <c r="AA19" s="322">
        <f t="shared" si="5"/>
        <v>0</v>
      </c>
      <c r="AB19" s="322">
        <f t="shared" si="6"/>
        <v>0</v>
      </c>
      <c r="AC19" s="654">
        <f t="shared" si="7"/>
        <v>0</v>
      </c>
      <c r="AD19" s="654"/>
      <c r="AE19" s="654">
        <f t="shared" si="8"/>
        <v>0</v>
      </c>
    </row>
    <row r="20" spans="1:32" s="48" customFormat="1" ht="21" hidden="1" customHeight="1" thickBot="1" x14ac:dyDescent="0.25">
      <c r="A20" s="1084"/>
      <c r="B20" s="1097" t="s">
        <v>313</v>
      </c>
      <c r="C20" s="1114"/>
      <c r="D20" s="1117"/>
      <c r="E20" s="1909"/>
      <c r="F20" s="1194" t="s">
        <v>174</v>
      </c>
      <c r="G20" s="1147"/>
      <c r="H20" s="1091"/>
      <c r="I20" s="406">
        <f t="shared" si="0"/>
        <v>0</v>
      </c>
      <c r="J20" s="1148"/>
      <c r="K20" s="1149"/>
      <c r="L20" s="1150"/>
      <c r="M20" s="1151"/>
      <c r="N20" s="1151"/>
      <c r="O20" s="1152"/>
      <c r="P20" s="1153"/>
      <c r="Q20" s="1154"/>
      <c r="R20" s="1154"/>
      <c r="S20" s="1155"/>
      <c r="T20" s="1796"/>
      <c r="U20" s="1156">
        <v>4.2227999999999995E-2</v>
      </c>
      <c r="V20" s="653">
        <f t="shared" si="1"/>
        <v>0</v>
      </c>
      <c r="W20" s="322">
        <f t="shared" si="2"/>
        <v>0</v>
      </c>
      <c r="X20" s="653" t="e">
        <f>(#REF!*N20/$G$171)</f>
        <v>#REF!</v>
      </c>
      <c r="Y20" s="322">
        <f t="shared" si="9"/>
        <v>0</v>
      </c>
      <c r="Z20" s="653">
        <f t="shared" si="10"/>
        <v>0</v>
      </c>
      <c r="AA20" s="322">
        <f t="shared" si="5"/>
        <v>0</v>
      </c>
      <c r="AB20" s="322">
        <f t="shared" si="6"/>
        <v>0</v>
      </c>
      <c r="AC20" s="654">
        <f t="shared" si="7"/>
        <v>0</v>
      </c>
      <c r="AD20" s="654"/>
      <c r="AE20" s="654">
        <f t="shared" si="8"/>
        <v>0</v>
      </c>
    </row>
    <row r="21" spans="1:32" s="1336" customFormat="1" ht="20.25" customHeight="1" thickBot="1" x14ac:dyDescent="0.25">
      <c r="A21" s="1848">
        <v>8.2110000000000003</v>
      </c>
      <c r="B21" s="2145" t="s">
        <v>48</v>
      </c>
      <c r="C21" s="1843">
        <v>11436.38637</v>
      </c>
      <c r="D21" s="2183">
        <v>42.228000000000002</v>
      </c>
      <c r="E21" s="1943">
        <v>38.530612244897959</v>
      </c>
      <c r="F21" s="1916" t="s">
        <v>13</v>
      </c>
      <c r="G21" s="1848">
        <v>17.594999999999999</v>
      </c>
      <c r="H21" s="1246">
        <v>7800</v>
      </c>
      <c r="I21" s="2184">
        <f t="shared" si="0"/>
        <v>339.38861002289826</v>
      </c>
      <c r="J21" s="1226">
        <f>SUM(I21:I27)</f>
        <v>927.66220072925535</v>
      </c>
      <c r="K21" s="2185">
        <f>IF(J21=0," ",H21/J21)</f>
        <v>8.4082330765102338</v>
      </c>
      <c r="L21" s="1227">
        <v>7.6245000000000003</v>
      </c>
      <c r="M21" s="1213">
        <v>41.5242</v>
      </c>
      <c r="N21" s="1213"/>
      <c r="O21" s="1886">
        <v>102.051</v>
      </c>
      <c r="P21" s="1887">
        <v>1.0674300000000001</v>
      </c>
      <c r="Q21" s="1228">
        <v>46.92</v>
      </c>
      <c r="R21" s="1228">
        <v>28.152000000000001</v>
      </c>
      <c r="S21" s="1229">
        <v>0.85629</v>
      </c>
      <c r="T21" s="2186">
        <v>0.804678</v>
      </c>
      <c r="U21" s="1230">
        <v>6.1934400000000001E-2</v>
      </c>
      <c r="V21" s="693">
        <f t="shared" si="1"/>
        <v>0.97499999999999998</v>
      </c>
      <c r="W21" s="670">
        <f t="shared" si="2"/>
        <v>5.31</v>
      </c>
      <c r="X21" s="693" t="e">
        <f>(#REF!*N21/$G$171)</f>
        <v>#REF!</v>
      </c>
      <c r="Y21" s="670">
        <f t="shared" si="9"/>
        <v>13.05</v>
      </c>
      <c r="Z21" s="693">
        <f t="shared" si="10"/>
        <v>0.13650000000000001</v>
      </c>
      <c r="AA21" s="670">
        <f t="shared" si="5"/>
        <v>6</v>
      </c>
      <c r="AB21" s="670">
        <f t="shared" si="6"/>
        <v>3.6</v>
      </c>
      <c r="AC21" s="694">
        <f t="shared" si="7"/>
        <v>0.10949999999999999</v>
      </c>
      <c r="AD21" s="694">
        <f t="shared" ref="AD21:AD52" si="11">(G21*T21/$G$171)</f>
        <v>0.10290000000000001</v>
      </c>
      <c r="AE21" s="694">
        <f t="shared" si="8"/>
        <v>7.92E-3</v>
      </c>
    </row>
    <row r="22" spans="1:32" s="1336" customFormat="1" ht="21" customHeight="1" thickBot="1" x14ac:dyDescent="0.25">
      <c r="A22" s="1240">
        <v>10.557</v>
      </c>
      <c r="B22" s="1239" t="s">
        <v>48</v>
      </c>
      <c r="C22" s="1839">
        <v>11436.38637</v>
      </c>
      <c r="D22" s="1861"/>
      <c r="E22" s="1945"/>
      <c r="F22" s="1241" t="s">
        <v>174</v>
      </c>
      <c r="G22" s="1240">
        <v>15.249000000000001</v>
      </c>
      <c r="H22" s="1242"/>
      <c r="I22" s="1243">
        <f t="shared" si="0"/>
        <v>294.13679535317851</v>
      </c>
      <c r="J22" s="1244"/>
      <c r="K22" s="1590"/>
      <c r="L22" s="1231">
        <v>8.3283000000000005</v>
      </c>
      <c r="M22" s="1137">
        <v>41.1723</v>
      </c>
      <c r="N22" s="1137"/>
      <c r="O22" s="1232">
        <v>102.051</v>
      </c>
      <c r="P22" s="1233">
        <v>1.0674300000000001</v>
      </c>
      <c r="Q22" s="1234">
        <v>36.363</v>
      </c>
      <c r="R22" s="1234">
        <v>26.978999999999999</v>
      </c>
      <c r="S22" s="1235">
        <v>0.83282999999999996</v>
      </c>
      <c r="T22" s="1802">
        <v>0.804678</v>
      </c>
      <c r="U22" s="1236">
        <v>6.1934400000000001E-2</v>
      </c>
      <c r="V22" s="693">
        <f t="shared" si="1"/>
        <v>0.92299999999999993</v>
      </c>
      <c r="W22" s="670">
        <f t="shared" si="2"/>
        <v>4.5629999999999997</v>
      </c>
      <c r="X22" s="693" t="e">
        <f>(#REF!*N22/$G$171)</f>
        <v>#REF!</v>
      </c>
      <c r="Y22" s="670">
        <f t="shared" si="9"/>
        <v>11.31</v>
      </c>
      <c r="Z22" s="693">
        <f t="shared" si="10"/>
        <v>0.1183</v>
      </c>
      <c r="AA22" s="670">
        <f t="shared" si="5"/>
        <v>4.03</v>
      </c>
      <c r="AB22" s="670">
        <f t="shared" si="6"/>
        <v>2.99</v>
      </c>
      <c r="AC22" s="694">
        <f t="shared" si="7"/>
        <v>9.2300000000000007E-2</v>
      </c>
      <c r="AD22" s="694">
        <f t="shared" si="11"/>
        <v>8.9180000000000009E-2</v>
      </c>
      <c r="AE22" s="694">
        <f t="shared" si="8"/>
        <v>6.8640000000000003E-3</v>
      </c>
    </row>
    <row r="23" spans="1:32" s="126" customFormat="1" ht="18.75" hidden="1" customHeight="1" thickBot="1" x14ac:dyDescent="0.25">
      <c r="A23" s="332"/>
      <c r="B23" s="1086" t="s">
        <v>314</v>
      </c>
      <c r="C23" s="1278">
        <v>11436.38637</v>
      </c>
      <c r="D23" s="1279"/>
      <c r="E23" s="1944"/>
      <c r="F23" s="1160" t="s">
        <v>174</v>
      </c>
      <c r="G23" s="1135"/>
      <c r="H23" s="1162"/>
      <c r="I23" s="1136">
        <f t="shared" si="0"/>
        <v>0</v>
      </c>
      <c r="J23" s="1125"/>
      <c r="K23" s="1161"/>
      <c r="L23" s="1128">
        <v>9.0320999999999998</v>
      </c>
      <c r="M23" s="1129">
        <v>41.993399999999994</v>
      </c>
      <c r="N23" s="1129"/>
      <c r="O23" s="1510">
        <v>102.051</v>
      </c>
      <c r="P23" s="1511">
        <v>1.0674300000000001</v>
      </c>
      <c r="Q23" s="1132">
        <v>35.19</v>
      </c>
      <c r="R23" s="1132">
        <v>29.324999999999999</v>
      </c>
      <c r="S23" s="1133">
        <v>0.75072000000000005</v>
      </c>
      <c r="T23" s="1801">
        <v>0.804678</v>
      </c>
      <c r="U23" s="1134">
        <v>6.1934400000000001E-2</v>
      </c>
      <c r="V23" s="1917">
        <f t="shared" si="1"/>
        <v>0</v>
      </c>
      <c r="W23" s="1918">
        <f t="shared" si="2"/>
        <v>0</v>
      </c>
      <c r="X23" s="1917" t="e">
        <f>(#REF!*N23/$G$171)</f>
        <v>#REF!</v>
      </c>
      <c r="Y23" s="1918">
        <f t="shared" si="9"/>
        <v>0</v>
      </c>
      <c r="Z23" s="1917">
        <f t="shared" si="10"/>
        <v>0</v>
      </c>
      <c r="AA23" s="1918">
        <f t="shared" si="5"/>
        <v>0</v>
      </c>
      <c r="AB23" s="1918">
        <f t="shared" si="6"/>
        <v>0</v>
      </c>
      <c r="AC23" s="1919">
        <f t="shared" si="7"/>
        <v>0</v>
      </c>
      <c r="AD23" s="1919">
        <f t="shared" si="11"/>
        <v>0</v>
      </c>
      <c r="AE23" s="1919">
        <f t="shared" si="8"/>
        <v>0</v>
      </c>
    </row>
    <row r="24" spans="1:32" s="1336" customFormat="1" ht="19.5" customHeight="1" thickBot="1" x14ac:dyDescent="0.25">
      <c r="A24" s="1240">
        <v>17.594999999999999</v>
      </c>
      <c r="B24" s="1239" t="s">
        <v>48</v>
      </c>
      <c r="C24" s="1839">
        <v>11436.38637</v>
      </c>
      <c r="D24" s="1861"/>
      <c r="E24" s="1945"/>
      <c r="F24" s="1241" t="s">
        <v>174</v>
      </c>
      <c r="G24" s="1240">
        <v>15.249000000000001</v>
      </c>
      <c r="H24" s="1242"/>
      <c r="I24" s="1243">
        <f t="shared" si="0"/>
        <v>294.13679535317851</v>
      </c>
      <c r="J24" s="1244"/>
      <c r="K24" s="1590"/>
      <c r="L24" s="1231">
        <v>7.6245000000000003</v>
      </c>
      <c r="M24" s="1137">
        <v>41.876100000000001</v>
      </c>
      <c r="N24" s="1137"/>
      <c r="O24" s="1232">
        <v>102.051</v>
      </c>
      <c r="P24" s="1233">
        <v>1.0674300000000001</v>
      </c>
      <c r="Q24" s="1234">
        <v>46.92</v>
      </c>
      <c r="R24" s="1234">
        <v>28.152000000000001</v>
      </c>
      <c r="S24" s="1235">
        <v>0.85629</v>
      </c>
      <c r="T24" s="1802">
        <v>0.804678</v>
      </c>
      <c r="U24" s="1236">
        <v>6.1934400000000001E-2</v>
      </c>
      <c r="V24" s="693">
        <f t="shared" si="1"/>
        <v>0.84499999999999997</v>
      </c>
      <c r="W24" s="670">
        <f t="shared" si="2"/>
        <v>4.641</v>
      </c>
      <c r="X24" s="693" t="e">
        <f>(#REF!*N24/$G$171)</f>
        <v>#REF!</v>
      </c>
      <c r="Y24" s="670">
        <f t="shared" si="9"/>
        <v>11.31</v>
      </c>
      <c r="Z24" s="693">
        <f t="shared" si="10"/>
        <v>0.1183</v>
      </c>
      <c r="AA24" s="670">
        <f t="shared" si="5"/>
        <v>5.2</v>
      </c>
      <c r="AB24" s="670">
        <f t="shared" si="6"/>
        <v>3.12</v>
      </c>
      <c r="AC24" s="694">
        <f t="shared" si="7"/>
        <v>9.4899999999999998E-2</v>
      </c>
      <c r="AD24" s="694">
        <f t="shared" si="11"/>
        <v>8.9180000000000009E-2</v>
      </c>
      <c r="AE24" s="694">
        <f t="shared" si="8"/>
        <v>6.8640000000000003E-3</v>
      </c>
    </row>
    <row r="25" spans="1:32" s="63" customFormat="1" ht="18.75" customHeight="1" thickBot="1" x14ac:dyDescent="0.25">
      <c r="A25" s="332">
        <v>18.768000000000001</v>
      </c>
      <c r="B25" s="1086" t="s">
        <v>48</v>
      </c>
      <c r="C25" s="1278">
        <v>11436.38637</v>
      </c>
      <c r="D25" s="1279"/>
      <c r="E25" s="1944"/>
      <c r="F25" s="1160" t="s">
        <v>174</v>
      </c>
      <c r="G25" s="332"/>
      <c r="H25" s="1162"/>
      <c r="I25" s="1136">
        <f t="shared" si="0"/>
        <v>0</v>
      </c>
      <c r="J25" s="1125"/>
      <c r="K25" s="1161"/>
      <c r="L25" s="1128">
        <v>7.9763999999999999</v>
      </c>
      <c r="M25" s="1129">
        <v>41.5242</v>
      </c>
      <c r="N25" s="1163"/>
      <c r="O25" s="1510">
        <v>102.051</v>
      </c>
      <c r="P25" s="1511">
        <v>1.0674300000000001</v>
      </c>
      <c r="Q25" s="1132">
        <v>38.709000000000003</v>
      </c>
      <c r="R25" s="1132">
        <v>29.324999999999999</v>
      </c>
      <c r="S25" s="1133">
        <v>0.77417999999999998</v>
      </c>
      <c r="T25" s="1801">
        <v>0.804678</v>
      </c>
      <c r="U25" s="1134">
        <v>6.1934400000000001E-2</v>
      </c>
      <c r="V25" s="653">
        <f t="shared" si="1"/>
        <v>0</v>
      </c>
      <c r="W25" s="322">
        <f t="shared" si="2"/>
        <v>0</v>
      </c>
      <c r="X25" s="653" t="e">
        <f>(#REF!*N25/$G$171)</f>
        <v>#REF!</v>
      </c>
      <c r="Y25" s="322">
        <f t="shared" si="9"/>
        <v>0</v>
      </c>
      <c r="Z25" s="653">
        <f t="shared" si="10"/>
        <v>0</v>
      </c>
      <c r="AA25" s="322">
        <f t="shared" si="5"/>
        <v>0</v>
      </c>
      <c r="AB25" s="322">
        <f t="shared" si="6"/>
        <v>0</v>
      </c>
      <c r="AC25" s="654">
        <f t="shared" si="7"/>
        <v>0</v>
      </c>
      <c r="AD25" s="654">
        <f t="shared" si="11"/>
        <v>0</v>
      </c>
      <c r="AE25" s="654">
        <f t="shared" si="8"/>
        <v>0</v>
      </c>
    </row>
    <row r="26" spans="1:32" s="63" customFormat="1" ht="18.75" customHeight="1" thickBot="1" x14ac:dyDescent="0.25">
      <c r="A26" s="332">
        <v>23.46</v>
      </c>
      <c r="B26" s="1086" t="s">
        <v>48</v>
      </c>
      <c r="C26" s="1278">
        <v>11436.38637</v>
      </c>
      <c r="D26" s="1279"/>
      <c r="E26" s="1944"/>
      <c r="F26" s="1160" t="s">
        <v>174</v>
      </c>
      <c r="G26" s="332"/>
      <c r="H26" s="1162"/>
      <c r="I26" s="1136">
        <f t="shared" si="0"/>
        <v>0</v>
      </c>
      <c r="J26" s="1125"/>
      <c r="K26" s="1161"/>
      <c r="L26" s="1128">
        <v>8.0937000000000001</v>
      </c>
      <c r="M26" s="1129">
        <v>41.993399999999994</v>
      </c>
      <c r="N26" s="1163"/>
      <c r="O26" s="1510">
        <v>102.051</v>
      </c>
      <c r="P26" s="1511">
        <v>1.0674300000000001</v>
      </c>
      <c r="Q26" s="1132">
        <v>35.19</v>
      </c>
      <c r="R26" s="1132">
        <v>28.152000000000001</v>
      </c>
      <c r="S26" s="1133">
        <v>0.79764000000000002</v>
      </c>
      <c r="T26" s="1801">
        <v>0.804678</v>
      </c>
      <c r="U26" s="1134"/>
      <c r="V26" s="653">
        <f t="shared" si="1"/>
        <v>0</v>
      </c>
      <c r="W26" s="322">
        <f t="shared" si="2"/>
        <v>0</v>
      </c>
      <c r="X26" s="653" t="e">
        <f>(#REF!*N26/$G$171)</f>
        <v>#REF!</v>
      </c>
      <c r="Y26" s="322">
        <f t="shared" si="9"/>
        <v>0</v>
      </c>
      <c r="Z26" s="653">
        <f t="shared" si="10"/>
        <v>0</v>
      </c>
      <c r="AA26" s="322">
        <f t="shared" si="5"/>
        <v>0</v>
      </c>
      <c r="AB26" s="322">
        <f t="shared" si="6"/>
        <v>0</v>
      </c>
      <c r="AC26" s="654">
        <f t="shared" si="7"/>
        <v>0</v>
      </c>
      <c r="AD26" s="654">
        <f t="shared" si="11"/>
        <v>0</v>
      </c>
      <c r="AE26" s="654">
        <f t="shared" si="8"/>
        <v>0</v>
      </c>
    </row>
    <row r="27" spans="1:32" s="63" customFormat="1" ht="21" hidden="1" customHeight="1" thickBot="1" x14ac:dyDescent="0.25">
      <c r="A27" s="332"/>
      <c r="B27" s="1086" t="s">
        <v>314</v>
      </c>
      <c r="C27" s="1278">
        <v>9763.8643200000006</v>
      </c>
      <c r="D27" s="1279"/>
      <c r="E27" s="1944"/>
      <c r="F27" s="1160" t="s">
        <v>174</v>
      </c>
      <c r="G27" s="332"/>
      <c r="H27" s="1162"/>
      <c r="I27" s="1136">
        <f t="shared" si="0"/>
        <v>0</v>
      </c>
      <c r="J27" s="1125"/>
      <c r="K27" s="1161"/>
      <c r="L27" s="1128">
        <v>7.5072000000000001</v>
      </c>
      <c r="M27" s="1129">
        <v>41.758800000000001</v>
      </c>
      <c r="N27" s="1129"/>
      <c r="O27" s="1510">
        <v>99.704999999999998</v>
      </c>
      <c r="P27" s="1511">
        <v>0.93840000000000001</v>
      </c>
      <c r="Q27" s="1132">
        <v>38.709000000000003</v>
      </c>
      <c r="R27" s="1132">
        <v>28.152000000000001</v>
      </c>
      <c r="S27" s="1133">
        <v>0.80937000000000003</v>
      </c>
      <c r="T27" s="1801">
        <v>0.73195200000000005</v>
      </c>
      <c r="U27" s="1134">
        <v>6.1934400000000001E-2</v>
      </c>
      <c r="V27" s="653">
        <f t="shared" si="1"/>
        <v>0</v>
      </c>
      <c r="W27" s="322">
        <f t="shared" si="2"/>
        <v>0</v>
      </c>
      <c r="X27" s="653" t="e">
        <f>(#REF!*N27/$G$171)</f>
        <v>#REF!</v>
      </c>
      <c r="Y27" s="322">
        <f t="shared" si="9"/>
        <v>0</v>
      </c>
      <c r="Z27" s="653">
        <f t="shared" si="10"/>
        <v>0</v>
      </c>
      <c r="AA27" s="322">
        <f t="shared" si="5"/>
        <v>0</v>
      </c>
      <c r="AB27" s="322">
        <f t="shared" si="6"/>
        <v>0</v>
      </c>
      <c r="AC27" s="654">
        <f t="shared" si="7"/>
        <v>0</v>
      </c>
      <c r="AD27" s="654">
        <f t="shared" si="11"/>
        <v>0</v>
      </c>
      <c r="AE27" s="654">
        <f t="shared" si="8"/>
        <v>0</v>
      </c>
    </row>
    <row r="28" spans="1:32" s="63" customFormat="1" ht="24.75" hidden="1" customHeight="1" thickBot="1" x14ac:dyDescent="0.25">
      <c r="A28" s="1085"/>
      <c r="B28" s="1087" t="s">
        <v>181</v>
      </c>
      <c r="C28" s="1306"/>
      <c r="D28" s="1118"/>
      <c r="E28" s="1946"/>
      <c r="F28" s="1157" t="s">
        <v>315</v>
      </c>
      <c r="G28" s="1984"/>
      <c r="H28" s="1158"/>
      <c r="I28" s="1139">
        <f t="shared" si="0"/>
        <v>0</v>
      </c>
      <c r="J28" s="1159">
        <f>+SUM(I28:I34)</f>
        <v>0</v>
      </c>
      <c r="K28" s="1164" t="str">
        <f>IF(J28=0," ",H28/J28)</f>
        <v xml:space="preserve"> </v>
      </c>
      <c r="L28" s="1140">
        <v>9.5013000000000005</v>
      </c>
      <c r="M28" s="1141">
        <v>35.307299999999998</v>
      </c>
      <c r="N28" s="1141"/>
      <c r="O28" s="1512">
        <v>104.39700000000001</v>
      </c>
      <c r="P28" s="1513">
        <v>0.96186000000000005</v>
      </c>
      <c r="Q28" s="1144">
        <v>26.978999999999999</v>
      </c>
      <c r="R28" s="1144">
        <v>31.670999999999999</v>
      </c>
      <c r="S28" s="1145">
        <v>0.58650000000000002</v>
      </c>
      <c r="T28" s="1793"/>
      <c r="U28" s="1146">
        <v>3.2843999999999998E-2</v>
      </c>
      <c r="V28" s="653">
        <f t="shared" si="1"/>
        <v>0</v>
      </c>
      <c r="W28" s="322">
        <f t="shared" si="2"/>
        <v>0</v>
      </c>
      <c r="X28" s="653" t="e">
        <f>(#REF!*N28/$G$171)</f>
        <v>#REF!</v>
      </c>
      <c r="Y28" s="322">
        <f t="shared" si="9"/>
        <v>0</v>
      </c>
      <c r="Z28" s="653">
        <f t="shared" si="10"/>
        <v>0</v>
      </c>
      <c r="AA28" s="322">
        <f t="shared" si="5"/>
        <v>0</v>
      </c>
      <c r="AB28" s="322">
        <f t="shared" si="6"/>
        <v>0</v>
      </c>
      <c r="AC28" s="654">
        <f t="shared" si="7"/>
        <v>0</v>
      </c>
      <c r="AD28" s="694">
        <f t="shared" si="11"/>
        <v>0</v>
      </c>
      <c r="AE28" s="654">
        <f t="shared" si="8"/>
        <v>0</v>
      </c>
      <c r="AF28" s="190"/>
    </row>
    <row r="29" spans="1:32" s="63" customFormat="1" ht="21" hidden="1" customHeight="1" thickBot="1" x14ac:dyDescent="0.25">
      <c r="A29" s="332"/>
      <c r="B29" s="1088" t="s">
        <v>181</v>
      </c>
      <c r="C29" s="1278"/>
      <c r="D29" s="1119"/>
      <c r="E29" s="1947"/>
      <c r="F29" s="1160" t="s">
        <v>315</v>
      </c>
      <c r="G29" s="332"/>
      <c r="H29" s="1162"/>
      <c r="I29" s="1125">
        <f t="shared" si="0"/>
        <v>0</v>
      </c>
      <c r="J29" s="1136"/>
      <c r="K29" s="1165"/>
      <c r="L29" s="1128">
        <v>8.5629000000000008</v>
      </c>
      <c r="M29" s="1129">
        <v>36.011099999999999</v>
      </c>
      <c r="N29" s="1129"/>
      <c r="O29" s="1510">
        <v>96.186000000000007</v>
      </c>
      <c r="P29" s="1511">
        <v>1.0791599999999999</v>
      </c>
      <c r="Q29" s="1132">
        <v>68.034000000000006</v>
      </c>
      <c r="R29" s="1132">
        <v>28.152000000000001</v>
      </c>
      <c r="S29" s="1133">
        <v>0.49265999999999999</v>
      </c>
      <c r="T29" s="1794"/>
      <c r="U29" s="1134">
        <v>3.2843999999999998E-2</v>
      </c>
      <c r="V29" s="653">
        <f t="shared" si="1"/>
        <v>0</v>
      </c>
      <c r="W29" s="322">
        <f t="shared" si="2"/>
        <v>0</v>
      </c>
      <c r="X29" s="653" t="e">
        <f>(#REF!*N29/$G$171)</f>
        <v>#REF!</v>
      </c>
      <c r="Y29" s="322">
        <f t="shared" si="9"/>
        <v>0</v>
      </c>
      <c r="Z29" s="653">
        <f t="shared" si="10"/>
        <v>0</v>
      </c>
      <c r="AA29" s="322">
        <f t="shared" si="5"/>
        <v>0</v>
      </c>
      <c r="AB29" s="322">
        <f t="shared" si="6"/>
        <v>0</v>
      </c>
      <c r="AC29" s="654">
        <f t="shared" si="7"/>
        <v>0</v>
      </c>
      <c r="AD29" s="694">
        <f t="shared" si="11"/>
        <v>0</v>
      </c>
      <c r="AE29" s="654">
        <f t="shared" si="8"/>
        <v>0</v>
      </c>
      <c r="AF29" s="190"/>
    </row>
    <row r="30" spans="1:32" s="63" customFormat="1" ht="21" hidden="1" customHeight="1" thickBot="1" x14ac:dyDescent="0.25">
      <c r="A30" s="332"/>
      <c r="B30" s="1089" t="s">
        <v>183</v>
      </c>
      <c r="C30" s="1278"/>
      <c r="D30" s="1119"/>
      <c r="E30" s="1947"/>
      <c r="F30" s="1166" t="s">
        <v>315</v>
      </c>
      <c r="G30" s="332"/>
      <c r="H30" s="1162"/>
      <c r="I30" s="1125">
        <f t="shared" si="0"/>
        <v>0</v>
      </c>
      <c r="J30" s="1136"/>
      <c r="K30" s="1165"/>
      <c r="L30" s="1128">
        <v>9.0320999999999998</v>
      </c>
      <c r="M30" s="1129">
        <v>37.536000000000001</v>
      </c>
      <c r="N30" s="1163"/>
      <c r="O30" s="1510">
        <v>99.704999999999998</v>
      </c>
      <c r="P30" s="1511">
        <v>1.02051</v>
      </c>
      <c r="Q30" s="1132">
        <v>37.536000000000001</v>
      </c>
      <c r="R30" s="1167">
        <v>29.324999999999999</v>
      </c>
      <c r="S30" s="1168">
        <v>0.56303999999999998</v>
      </c>
      <c r="T30" s="1797"/>
      <c r="U30" s="1169"/>
      <c r="V30" s="653">
        <f t="shared" si="1"/>
        <v>0</v>
      </c>
      <c r="W30" s="322">
        <f t="shared" si="2"/>
        <v>0</v>
      </c>
      <c r="X30" s="653" t="e">
        <f>(#REF!*N30/$G$171)</f>
        <v>#REF!</v>
      </c>
      <c r="Y30" s="322">
        <f t="shared" si="9"/>
        <v>0</v>
      </c>
      <c r="Z30" s="653">
        <f t="shared" si="10"/>
        <v>0</v>
      </c>
      <c r="AA30" s="322">
        <f t="shared" si="5"/>
        <v>0</v>
      </c>
      <c r="AB30" s="322">
        <f t="shared" si="6"/>
        <v>0</v>
      </c>
      <c r="AC30" s="654">
        <f t="shared" si="7"/>
        <v>0</v>
      </c>
      <c r="AD30" s="694">
        <f t="shared" si="11"/>
        <v>0</v>
      </c>
      <c r="AE30" s="654">
        <f t="shared" si="8"/>
        <v>0</v>
      </c>
      <c r="AF30" s="251"/>
    </row>
    <row r="31" spans="1:32" s="63" customFormat="1" ht="21" hidden="1" customHeight="1" thickBot="1" x14ac:dyDescent="0.25">
      <c r="A31" s="332"/>
      <c r="B31" s="1088" t="s">
        <v>184</v>
      </c>
      <c r="C31" s="1278"/>
      <c r="D31" s="1119"/>
      <c r="E31" s="1947"/>
      <c r="F31" s="1160" t="s">
        <v>315</v>
      </c>
      <c r="G31" s="332"/>
      <c r="H31" s="864"/>
      <c r="I31" s="1125">
        <f t="shared" si="0"/>
        <v>0</v>
      </c>
      <c r="J31" s="1136"/>
      <c r="K31" s="1165"/>
      <c r="L31" s="1128">
        <v>9.0320999999999998</v>
      </c>
      <c r="M31" s="1129">
        <v>38.122500000000002</v>
      </c>
      <c r="N31" s="1163"/>
      <c r="O31" s="1510">
        <v>99.704999999999998</v>
      </c>
      <c r="P31" s="1511">
        <v>1.02051</v>
      </c>
      <c r="Q31" s="1132">
        <v>36.363</v>
      </c>
      <c r="R31" s="1132">
        <v>31.670999999999999</v>
      </c>
      <c r="S31" s="1133">
        <v>0.59823000000000004</v>
      </c>
      <c r="T31" s="1794"/>
      <c r="U31" s="1134"/>
      <c r="V31" s="653">
        <f t="shared" si="1"/>
        <v>0</v>
      </c>
      <c r="W31" s="322">
        <f t="shared" si="2"/>
        <v>0</v>
      </c>
      <c r="X31" s="653" t="e">
        <f>(#REF!*N31/$G$171)</f>
        <v>#REF!</v>
      </c>
      <c r="Y31" s="322">
        <f t="shared" si="9"/>
        <v>0</v>
      </c>
      <c r="Z31" s="653">
        <f t="shared" si="10"/>
        <v>0</v>
      </c>
      <c r="AA31" s="322">
        <f t="shared" si="5"/>
        <v>0</v>
      </c>
      <c r="AB31" s="322">
        <f t="shared" si="6"/>
        <v>0</v>
      </c>
      <c r="AC31" s="654">
        <f t="shared" si="7"/>
        <v>0</v>
      </c>
      <c r="AD31" s="694">
        <f t="shared" si="11"/>
        <v>0</v>
      </c>
      <c r="AE31" s="654">
        <f t="shared" si="8"/>
        <v>0</v>
      </c>
      <c r="AF31" s="190"/>
    </row>
    <row r="32" spans="1:32" s="63" customFormat="1" ht="21" hidden="1" customHeight="1" thickBot="1" x14ac:dyDescent="0.25">
      <c r="A32" s="332"/>
      <c r="B32" s="1088" t="s">
        <v>184</v>
      </c>
      <c r="C32" s="1278"/>
      <c r="D32" s="1119"/>
      <c r="E32" s="1947"/>
      <c r="F32" s="1160" t="s">
        <v>315</v>
      </c>
      <c r="G32" s="332"/>
      <c r="H32" s="864"/>
      <c r="I32" s="1125">
        <f t="shared" si="0"/>
        <v>0</v>
      </c>
      <c r="J32" s="1136"/>
      <c r="K32" s="1165"/>
      <c r="L32" s="1128">
        <v>8.6801999999999992</v>
      </c>
      <c r="M32" s="1129"/>
      <c r="N32" s="1163"/>
      <c r="O32" s="1510">
        <v>99.704999999999998</v>
      </c>
      <c r="P32" s="1511">
        <v>1.02051</v>
      </c>
      <c r="Q32" s="1132">
        <v>42.228000000000002</v>
      </c>
      <c r="R32" s="1132">
        <v>29.324999999999999</v>
      </c>
      <c r="S32" s="1133">
        <v>0.58650000000000002</v>
      </c>
      <c r="T32" s="1794"/>
      <c r="U32" s="1134"/>
      <c r="V32" s="653">
        <f t="shared" si="1"/>
        <v>0</v>
      </c>
      <c r="W32" s="322">
        <f t="shared" si="2"/>
        <v>0</v>
      </c>
      <c r="X32" s="653" t="e">
        <f>(#REF!*N32/$G$171)</f>
        <v>#REF!</v>
      </c>
      <c r="Y32" s="322">
        <f t="shared" si="9"/>
        <v>0</v>
      </c>
      <c r="Z32" s="653">
        <f t="shared" si="10"/>
        <v>0</v>
      </c>
      <c r="AA32" s="322">
        <f t="shared" si="5"/>
        <v>0</v>
      </c>
      <c r="AB32" s="322">
        <f t="shared" si="6"/>
        <v>0</v>
      </c>
      <c r="AC32" s="654">
        <f t="shared" si="7"/>
        <v>0</v>
      </c>
      <c r="AD32" s="694">
        <f t="shared" si="11"/>
        <v>0</v>
      </c>
      <c r="AE32" s="654">
        <f t="shared" si="8"/>
        <v>0</v>
      </c>
      <c r="AF32" s="190"/>
    </row>
    <row r="33" spans="1:60" s="270" customFormat="1" ht="21" hidden="1" customHeight="1" thickBot="1" x14ac:dyDescent="0.25">
      <c r="A33" s="332"/>
      <c r="B33" s="1090" t="s">
        <v>184</v>
      </c>
      <c r="C33" s="1838"/>
      <c r="D33" s="1120"/>
      <c r="E33" s="1948"/>
      <c r="F33" s="1170" t="s">
        <v>315</v>
      </c>
      <c r="G33" s="1985"/>
      <c r="H33" s="1171"/>
      <c r="I33" s="1172">
        <f t="shared" si="0"/>
        <v>0</v>
      </c>
      <c r="J33" s="1173"/>
      <c r="K33" s="1174"/>
      <c r="L33" s="1175">
        <v>9.3840000000000003</v>
      </c>
      <c r="M33" s="1176">
        <v>36.9495</v>
      </c>
      <c r="N33" s="1177"/>
      <c r="O33" s="1514">
        <v>99.704999999999998</v>
      </c>
      <c r="P33" s="1515">
        <v>1.02051</v>
      </c>
      <c r="Q33" s="1178">
        <v>23.46</v>
      </c>
      <c r="R33" s="1178">
        <v>29.324999999999999</v>
      </c>
      <c r="S33" s="1179">
        <v>0.63341999999999998</v>
      </c>
      <c r="T33" s="1798"/>
      <c r="U33" s="1180"/>
      <c r="V33" s="653">
        <f t="shared" si="1"/>
        <v>0</v>
      </c>
      <c r="W33" s="322">
        <f t="shared" si="2"/>
        <v>0</v>
      </c>
      <c r="X33" s="653" t="e">
        <f>(#REF!*N33/$G$171)</f>
        <v>#REF!</v>
      </c>
      <c r="Y33" s="322">
        <f t="shared" si="9"/>
        <v>0</v>
      </c>
      <c r="Z33" s="653">
        <f t="shared" si="10"/>
        <v>0</v>
      </c>
      <c r="AA33" s="322">
        <f t="shared" si="5"/>
        <v>0</v>
      </c>
      <c r="AB33" s="322">
        <f t="shared" si="6"/>
        <v>0</v>
      </c>
      <c r="AC33" s="654">
        <f t="shared" si="7"/>
        <v>0</v>
      </c>
      <c r="AD33" s="694">
        <f t="shared" si="11"/>
        <v>0</v>
      </c>
      <c r="AE33" s="654">
        <f t="shared" si="8"/>
        <v>0</v>
      </c>
      <c r="AF33" s="178"/>
      <c r="AG33" s="129"/>
      <c r="AH33" s="129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9"/>
      <c r="AX33" s="129"/>
      <c r="AY33" s="129"/>
      <c r="AZ33" s="129"/>
      <c r="BA33" s="129"/>
      <c r="BB33" s="129"/>
      <c r="BC33" s="129"/>
      <c r="BD33" s="129"/>
      <c r="BE33" s="129"/>
      <c r="BF33" s="129"/>
      <c r="BG33" s="129"/>
      <c r="BH33" s="129"/>
    </row>
    <row r="34" spans="1:60" s="129" customFormat="1" ht="21" hidden="1" customHeight="1" thickBot="1" x14ac:dyDescent="0.25">
      <c r="A34" s="1091"/>
      <c r="B34" s="1092" t="s">
        <v>184</v>
      </c>
      <c r="C34" s="1836"/>
      <c r="D34" s="1121"/>
      <c r="E34" s="1949"/>
      <c r="F34" s="1181" t="s">
        <v>315</v>
      </c>
      <c r="G34" s="1091"/>
      <c r="H34" s="1182"/>
      <c r="I34" s="406">
        <f t="shared" si="0"/>
        <v>0</v>
      </c>
      <c r="J34" s="1148"/>
      <c r="K34" s="1183"/>
      <c r="L34" s="1150">
        <v>7.3898999999999999</v>
      </c>
      <c r="M34" s="1151"/>
      <c r="N34" s="1184"/>
      <c r="O34" s="1516">
        <v>102.051</v>
      </c>
      <c r="P34" s="1517">
        <v>1.0557000000000001</v>
      </c>
      <c r="Q34" s="1154"/>
      <c r="R34" s="1154">
        <v>32.844000000000001</v>
      </c>
      <c r="S34" s="1155">
        <v>0.55130999999999997</v>
      </c>
      <c r="T34" s="1794"/>
      <c r="U34" s="1134"/>
      <c r="V34" s="653">
        <f t="shared" si="1"/>
        <v>0</v>
      </c>
      <c r="W34" s="322">
        <f t="shared" si="2"/>
        <v>0</v>
      </c>
      <c r="X34" s="653" t="e">
        <f>(#REF!*N34/$G$171)</f>
        <v>#REF!</v>
      </c>
      <c r="Y34" s="322">
        <f t="shared" si="9"/>
        <v>0</v>
      </c>
      <c r="Z34" s="653">
        <f t="shared" si="10"/>
        <v>0</v>
      </c>
      <c r="AA34" s="322">
        <f t="shared" si="5"/>
        <v>0</v>
      </c>
      <c r="AB34" s="322">
        <f t="shared" si="6"/>
        <v>0</v>
      </c>
      <c r="AC34" s="654">
        <f t="shared" si="7"/>
        <v>0</v>
      </c>
      <c r="AD34" s="694">
        <f t="shared" si="11"/>
        <v>0</v>
      </c>
      <c r="AE34" s="654">
        <f t="shared" si="8"/>
        <v>0</v>
      </c>
      <c r="AF34" s="178"/>
    </row>
    <row r="35" spans="1:60" s="63" customFormat="1" ht="21" hidden="1" customHeight="1" thickBot="1" x14ac:dyDescent="0.25">
      <c r="A35" s="1093"/>
      <c r="B35" s="1314" t="s">
        <v>187</v>
      </c>
      <c r="C35" s="1482"/>
      <c r="D35" s="1122"/>
      <c r="E35" s="1950"/>
      <c r="F35" s="1483" t="s">
        <v>315</v>
      </c>
      <c r="G35" s="1093"/>
      <c r="H35" s="1185"/>
      <c r="I35" s="1186">
        <f t="shared" si="0"/>
        <v>0</v>
      </c>
      <c r="J35" s="1186">
        <f>SUM(I35:I36)</f>
        <v>0</v>
      </c>
      <c r="K35" s="1187" t="str">
        <f>IF(J35=0," ",H35/J35)</f>
        <v xml:space="preserve"> </v>
      </c>
      <c r="L35" s="1188">
        <v>9.8531999999999993</v>
      </c>
      <c r="M35" s="1189">
        <v>37.536000000000001</v>
      </c>
      <c r="N35" s="1190"/>
      <c r="O35" s="1518">
        <v>103.224</v>
      </c>
      <c r="P35" s="1519">
        <v>0.98531999999999997</v>
      </c>
      <c r="Q35" s="1191">
        <v>51.612000000000002</v>
      </c>
      <c r="R35" s="1191">
        <v>28.152000000000001</v>
      </c>
      <c r="S35" s="1192">
        <v>0.49265999999999999</v>
      </c>
      <c r="T35" s="1799"/>
      <c r="U35" s="1193">
        <v>3.2843999999999998E-2</v>
      </c>
      <c r="V35" s="653">
        <f t="shared" si="1"/>
        <v>0</v>
      </c>
      <c r="W35" s="322">
        <f t="shared" si="2"/>
        <v>0</v>
      </c>
      <c r="X35" s="653" t="e">
        <f>(#REF!*N35/$G$171)</f>
        <v>#REF!</v>
      </c>
      <c r="Y35" s="322">
        <f t="shared" si="9"/>
        <v>0</v>
      </c>
      <c r="Z35" s="653">
        <f t="shared" si="10"/>
        <v>0</v>
      </c>
      <c r="AA35" s="322">
        <f t="shared" si="5"/>
        <v>0</v>
      </c>
      <c r="AB35" s="322">
        <f t="shared" si="6"/>
        <v>0</v>
      </c>
      <c r="AC35" s="654">
        <f t="shared" si="7"/>
        <v>0</v>
      </c>
      <c r="AD35" s="694">
        <f t="shared" si="11"/>
        <v>0</v>
      </c>
      <c r="AE35" s="654">
        <f t="shared" si="8"/>
        <v>0</v>
      </c>
      <c r="AF35" s="190"/>
    </row>
    <row r="36" spans="1:60" s="63" customFormat="1" ht="21" hidden="1" customHeight="1" thickBot="1" x14ac:dyDescent="0.25">
      <c r="A36" s="1091"/>
      <c r="B36" s="1105" t="s">
        <v>316</v>
      </c>
      <c r="C36" s="1836"/>
      <c r="D36" s="1121"/>
      <c r="E36" s="1949"/>
      <c r="F36" s="1181" t="s">
        <v>315</v>
      </c>
      <c r="G36" s="1091"/>
      <c r="H36" s="1182"/>
      <c r="I36" s="406">
        <f t="shared" si="0"/>
        <v>0</v>
      </c>
      <c r="J36" s="406"/>
      <c r="K36" s="1195"/>
      <c r="L36" s="1150">
        <v>9.5013000000000005</v>
      </c>
      <c r="M36" s="1151"/>
      <c r="N36" s="1184"/>
      <c r="O36" s="1516">
        <v>99.704999999999998</v>
      </c>
      <c r="P36" s="1517">
        <v>1.02051</v>
      </c>
      <c r="Q36" s="1154">
        <v>48.093000000000004</v>
      </c>
      <c r="R36" s="1154">
        <v>37.536000000000001</v>
      </c>
      <c r="S36" s="1155">
        <v>0.51612000000000002</v>
      </c>
      <c r="T36" s="1796"/>
      <c r="U36" s="1156"/>
      <c r="V36" s="653">
        <f t="shared" si="1"/>
        <v>0</v>
      </c>
      <c r="W36" s="322">
        <f t="shared" si="2"/>
        <v>0</v>
      </c>
      <c r="X36" s="653" t="e">
        <f>(#REF!*N36/$G$171)</f>
        <v>#REF!</v>
      </c>
      <c r="Y36" s="322">
        <f t="shared" si="9"/>
        <v>0</v>
      </c>
      <c r="Z36" s="653">
        <f t="shared" si="10"/>
        <v>0</v>
      </c>
      <c r="AA36" s="322">
        <f t="shared" si="5"/>
        <v>0</v>
      </c>
      <c r="AB36" s="322">
        <f t="shared" si="6"/>
        <v>0</v>
      </c>
      <c r="AC36" s="654">
        <f t="shared" si="7"/>
        <v>0</v>
      </c>
      <c r="AD36" s="694">
        <f t="shared" si="11"/>
        <v>0</v>
      </c>
      <c r="AE36" s="654">
        <f t="shared" si="8"/>
        <v>0</v>
      </c>
      <c r="AF36" s="190"/>
    </row>
    <row r="37" spans="1:60" s="63" customFormat="1" ht="21" hidden="1" customHeight="1" thickBot="1" x14ac:dyDescent="0.25">
      <c r="A37" s="332"/>
      <c r="B37" s="1111" t="s">
        <v>188</v>
      </c>
      <c r="C37" s="1278"/>
      <c r="D37" s="1119"/>
      <c r="E37" s="1947"/>
      <c r="F37" s="1160" t="s">
        <v>315</v>
      </c>
      <c r="G37" s="332"/>
      <c r="H37" s="1162"/>
      <c r="I37" s="1136">
        <f t="shared" si="0"/>
        <v>0</v>
      </c>
      <c r="J37" s="1125">
        <f>SUM(I37:I38)</f>
        <v>0</v>
      </c>
      <c r="K37" s="1161" t="str">
        <f>IF(J37=0," ",H37/J37)</f>
        <v xml:space="preserve"> </v>
      </c>
      <c r="L37" s="1128"/>
      <c r="M37" s="1129"/>
      <c r="N37" s="1163"/>
      <c r="O37" s="1510"/>
      <c r="P37" s="1511"/>
      <c r="Q37" s="1132"/>
      <c r="R37" s="1132"/>
      <c r="S37" s="1133"/>
      <c r="T37" s="1794"/>
      <c r="U37" s="1134"/>
      <c r="V37" s="653">
        <f t="shared" si="1"/>
        <v>0</v>
      </c>
      <c r="W37" s="322">
        <f t="shared" si="2"/>
        <v>0</v>
      </c>
      <c r="X37" s="653" t="e">
        <f>(#REF!*N37/$G$171)</f>
        <v>#REF!</v>
      </c>
      <c r="Y37" s="322">
        <f t="shared" si="9"/>
        <v>0</v>
      </c>
      <c r="Z37" s="653">
        <f t="shared" si="10"/>
        <v>0</v>
      </c>
      <c r="AA37" s="322">
        <f t="shared" si="5"/>
        <v>0</v>
      </c>
      <c r="AB37" s="322">
        <f t="shared" si="6"/>
        <v>0</v>
      </c>
      <c r="AC37" s="654">
        <f t="shared" si="7"/>
        <v>0</v>
      </c>
      <c r="AD37" s="694">
        <f t="shared" si="11"/>
        <v>0</v>
      </c>
      <c r="AE37" s="654">
        <f t="shared" si="8"/>
        <v>0</v>
      </c>
      <c r="AF37" s="178"/>
    </row>
    <row r="38" spans="1:60" s="63" customFormat="1" ht="21" hidden="1" customHeight="1" thickBot="1" x14ac:dyDescent="0.25">
      <c r="A38" s="332"/>
      <c r="B38" s="1088" t="s">
        <v>188</v>
      </c>
      <c r="C38" s="1278"/>
      <c r="D38" s="1119"/>
      <c r="E38" s="1947"/>
      <c r="F38" s="1160" t="s">
        <v>315</v>
      </c>
      <c r="G38" s="332"/>
      <c r="H38" s="1162"/>
      <c r="I38" s="1136">
        <f t="shared" ref="I38:I69" si="12">G38*I$171/$G$171</f>
        <v>0</v>
      </c>
      <c r="J38" s="1125"/>
      <c r="K38" s="1161"/>
      <c r="L38" s="1128"/>
      <c r="M38" s="1129"/>
      <c r="N38" s="1163"/>
      <c r="O38" s="1510"/>
      <c r="P38" s="1511"/>
      <c r="Q38" s="1132"/>
      <c r="R38" s="1132"/>
      <c r="S38" s="1133"/>
      <c r="T38" s="1794"/>
      <c r="U38" s="1134"/>
      <c r="V38" s="653">
        <f t="shared" ref="V38:V69" si="13">(G38*L38/$G$171)</f>
        <v>0</v>
      </c>
      <c r="W38" s="322">
        <f t="shared" ref="W38:W69" si="14">(G38*M38/$G$171)</f>
        <v>0</v>
      </c>
      <c r="X38" s="653" t="e">
        <f>(#REF!*N38/$G$171)</f>
        <v>#REF!</v>
      </c>
      <c r="Y38" s="322">
        <f t="shared" si="9"/>
        <v>0</v>
      </c>
      <c r="Z38" s="653">
        <f t="shared" si="10"/>
        <v>0</v>
      </c>
      <c r="AA38" s="322">
        <f t="shared" ref="AA38:AA69" si="15">(G38*Q38/$G$171)</f>
        <v>0</v>
      </c>
      <c r="AB38" s="322">
        <f t="shared" ref="AB38:AB69" si="16">(G38*R38/$G$171)</f>
        <v>0</v>
      </c>
      <c r="AC38" s="654">
        <f t="shared" ref="AC38:AC69" si="17">(G38*S38/$G$171)</f>
        <v>0</v>
      </c>
      <c r="AD38" s="694">
        <f t="shared" si="11"/>
        <v>0</v>
      </c>
      <c r="AE38" s="654">
        <f t="shared" ref="AE38:AE69" si="18">(G38*U38/$G$171)</f>
        <v>0</v>
      </c>
      <c r="AF38" s="178"/>
    </row>
    <row r="39" spans="1:60" s="129" customFormat="1" ht="21" hidden="1" customHeight="1" thickBot="1" x14ac:dyDescent="0.25">
      <c r="A39" s="1449">
        <v>16.422000000000001</v>
      </c>
      <c r="B39" s="1697" t="s">
        <v>95</v>
      </c>
      <c r="C39" s="1306">
        <v>16434.199199999999</v>
      </c>
      <c r="D39" s="1118"/>
      <c r="E39" s="1946"/>
      <c r="F39" s="1450" t="s">
        <v>190</v>
      </c>
      <c r="G39" s="1449"/>
      <c r="H39" s="1222">
        <v>0</v>
      </c>
      <c r="I39" s="1238">
        <f t="shared" si="12"/>
        <v>0</v>
      </c>
      <c r="J39" s="1237">
        <f>SUM(I39:I43)</f>
        <v>0</v>
      </c>
      <c r="K39" s="1499" t="str">
        <f>IF(J39=0," ",H39/J39)</f>
        <v xml:space="preserve"> </v>
      </c>
      <c r="L39" s="1698">
        <v>9.2667000000000002</v>
      </c>
      <c r="M39" s="1699">
        <v>37.066800000000001</v>
      </c>
      <c r="N39" s="1700"/>
      <c r="O39" s="1701">
        <v>98.531999999999996</v>
      </c>
      <c r="P39" s="1702">
        <v>1.0908899999999999</v>
      </c>
      <c r="Q39" s="1703">
        <v>16.422000000000001</v>
      </c>
      <c r="R39" s="1703">
        <v>39.881999999999998</v>
      </c>
      <c r="S39" s="1704">
        <v>0.52785000000000004</v>
      </c>
      <c r="T39" s="1800"/>
      <c r="U39" s="1705">
        <v>4.9969800000000002E-2</v>
      </c>
      <c r="V39" s="1377">
        <f t="shared" si="13"/>
        <v>0</v>
      </c>
      <c r="W39" s="1378">
        <f t="shared" si="14"/>
        <v>0</v>
      </c>
      <c r="X39" s="1377" t="e">
        <f>(#REF!*N39/$G$171)</f>
        <v>#REF!</v>
      </c>
      <c r="Y39" s="1378">
        <f t="shared" si="9"/>
        <v>0</v>
      </c>
      <c r="Z39" s="1377">
        <f t="shared" si="10"/>
        <v>0</v>
      </c>
      <c r="AA39" s="1378">
        <f t="shared" si="15"/>
        <v>0</v>
      </c>
      <c r="AB39" s="1378">
        <f t="shared" si="16"/>
        <v>0</v>
      </c>
      <c r="AC39" s="1379">
        <f t="shared" si="17"/>
        <v>0</v>
      </c>
      <c r="AD39" s="694">
        <f t="shared" si="11"/>
        <v>0</v>
      </c>
      <c r="AE39" s="1379">
        <f t="shared" si="18"/>
        <v>0</v>
      </c>
      <c r="AF39" s="1380"/>
    </row>
    <row r="40" spans="1:60" s="63" customFormat="1" ht="21" hidden="1" customHeight="1" thickBot="1" x14ac:dyDescent="0.25">
      <c r="A40" s="332"/>
      <c r="B40" s="1088" t="s">
        <v>317</v>
      </c>
      <c r="C40" s="1278">
        <v>15261.199199999999</v>
      </c>
      <c r="D40" s="1119"/>
      <c r="E40" s="1947"/>
      <c r="F40" s="1160" t="s">
        <v>190</v>
      </c>
      <c r="G40" s="332"/>
      <c r="H40" s="1162"/>
      <c r="I40" s="1125">
        <f t="shared" si="12"/>
        <v>0</v>
      </c>
      <c r="J40" s="1136"/>
      <c r="K40" s="1165"/>
      <c r="L40" s="1128">
        <v>8.2110000000000003</v>
      </c>
      <c r="M40" s="1129">
        <v>36.9495</v>
      </c>
      <c r="N40" s="1163"/>
      <c r="O40" s="1510">
        <v>98.531999999999996</v>
      </c>
      <c r="P40" s="1511">
        <v>1.0908899999999999</v>
      </c>
      <c r="Q40" s="1132">
        <v>16.422000000000001</v>
      </c>
      <c r="R40" s="1132">
        <v>39.881999999999998</v>
      </c>
      <c r="S40" s="1133">
        <v>0.52785000000000004</v>
      </c>
      <c r="T40" s="1794"/>
      <c r="U40" s="1134">
        <v>4.9969800000000002E-2</v>
      </c>
      <c r="V40" s="653">
        <f t="shared" si="13"/>
        <v>0</v>
      </c>
      <c r="W40" s="322">
        <f t="shared" si="14"/>
        <v>0</v>
      </c>
      <c r="X40" s="653" t="e">
        <f>(#REF!*N40/$G$171)</f>
        <v>#REF!</v>
      </c>
      <c r="Y40" s="322">
        <f t="shared" si="9"/>
        <v>0</v>
      </c>
      <c r="Z40" s="653">
        <f t="shared" si="10"/>
        <v>0</v>
      </c>
      <c r="AA40" s="322">
        <f t="shared" si="15"/>
        <v>0</v>
      </c>
      <c r="AB40" s="322">
        <f t="shared" si="16"/>
        <v>0</v>
      </c>
      <c r="AC40" s="654">
        <f t="shared" si="17"/>
        <v>0</v>
      </c>
      <c r="AD40" s="694">
        <f t="shared" si="11"/>
        <v>0</v>
      </c>
      <c r="AE40" s="654">
        <f t="shared" si="18"/>
        <v>0</v>
      </c>
      <c r="AF40" s="190"/>
    </row>
    <row r="41" spans="1:60" s="63" customFormat="1" ht="21" hidden="1" customHeight="1" thickBot="1" x14ac:dyDescent="0.25">
      <c r="A41" s="332"/>
      <c r="B41" s="1088" t="s">
        <v>317</v>
      </c>
      <c r="C41" s="1278">
        <v>15261.199199999999</v>
      </c>
      <c r="D41" s="1279"/>
      <c r="E41" s="1944"/>
      <c r="F41" s="1160" t="s">
        <v>190</v>
      </c>
      <c r="G41" s="332"/>
      <c r="H41" s="1162"/>
      <c r="I41" s="1125">
        <f t="shared" si="12"/>
        <v>0</v>
      </c>
      <c r="J41" s="1136"/>
      <c r="K41" s="1165"/>
      <c r="L41" s="1128">
        <v>7.9763999999999999</v>
      </c>
      <c r="M41" s="1129">
        <v>36.7149</v>
      </c>
      <c r="N41" s="1163"/>
      <c r="O41" s="1510">
        <v>98.531999999999996</v>
      </c>
      <c r="P41" s="1511">
        <v>1.0908899999999999</v>
      </c>
      <c r="Q41" s="1132">
        <v>16.422000000000001</v>
      </c>
      <c r="R41" s="1132">
        <v>39.881999999999998</v>
      </c>
      <c r="S41" s="1133">
        <v>0.52785000000000004</v>
      </c>
      <c r="T41" s="1794"/>
      <c r="U41" s="1134">
        <v>4.9969800000000002E-2</v>
      </c>
      <c r="V41" s="653">
        <f t="shared" si="13"/>
        <v>0</v>
      </c>
      <c r="W41" s="322">
        <f t="shared" si="14"/>
        <v>0</v>
      </c>
      <c r="X41" s="653" t="e">
        <f>(#REF!*N41/$G$171)</f>
        <v>#REF!</v>
      </c>
      <c r="Y41" s="322">
        <f t="shared" si="9"/>
        <v>0</v>
      </c>
      <c r="Z41" s="653">
        <f t="shared" si="10"/>
        <v>0</v>
      </c>
      <c r="AA41" s="322">
        <f t="shared" si="15"/>
        <v>0</v>
      </c>
      <c r="AB41" s="322">
        <f t="shared" si="16"/>
        <v>0</v>
      </c>
      <c r="AC41" s="654">
        <f t="shared" si="17"/>
        <v>0</v>
      </c>
      <c r="AD41" s="694">
        <f t="shared" si="11"/>
        <v>0</v>
      </c>
      <c r="AE41" s="654">
        <f t="shared" si="18"/>
        <v>0</v>
      </c>
      <c r="AF41" s="70"/>
    </row>
    <row r="42" spans="1:60" s="63" customFormat="1" ht="21" hidden="1" customHeight="1" thickBot="1" x14ac:dyDescent="0.25">
      <c r="A42" s="332"/>
      <c r="B42" s="1088" t="s">
        <v>317</v>
      </c>
      <c r="C42" s="1278">
        <v>15261.199199999999</v>
      </c>
      <c r="D42" s="1279"/>
      <c r="E42" s="1944"/>
      <c r="F42" s="1160" t="s">
        <v>190</v>
      </c>
      <c r="G42" s="332"/>
      <c r="H42" s="1162"/>
      <c r="I42" s="1125">
        <f t="shared" si="12"/>
        <v>0</v>
      </c>
      <c r="J42" s="1136"/>
      <c r="K42" s="1165"/>
      <c r="L42" s="1128">
        <v>9.3840000000000003</v>
      </c>
      <c r="M42" s="1129">
        <v>37.653300000000002</v>
      </c>
      <c r="N42" s="1163"/>
      <c r="O42" s="1510">
        <v>98.531999999999996</v>
      </c>
      <c r="P42" s="1511">
        <v>1.13781</v>
      </c>
      <c r="Q42" s="1132">
        <v>19.940999999999999</v>
      </c>
      <c r="R42" s="1132">
        <v>39.881999999999998</v>
      </c>
      <c r="S42" s="1133">
        <v>0.56303999999999998</v>
      </c>
      <c r="T42" s="1794"/>
      <c r="U42" s="1134">
        <v>4.9969800000000002E-2</v>
      </c>
      <c r="V42" s="653">
        <f t="shared" si="13"/>
        <v>0</v>
      </c>
      <c r="W42" s="322">
        <f t="shared" si="14"/>
        <v>0</v>
      </c>
      <c r="X42" s="653" t="e">
        <f>(#REF!*N42/$G$171)</f>
        <v>#REF!</v>
      </c>
      <c r="Y42" s="322">
        <f t="shared" si="9"/>
        <v>0</v>
      </c>
      <c r="Z42" s="653">
        <f t="shared" si="10"/>
        <v>0</v>
      </c>
      <c r="AA42" s="322">
        <f t="shared" si="15"/>
        <v>0</v>
      </c>
      <c r="AB42" s="322">
        <f t="shared" si="16"/>
        <v>0</v>
      </c>
      <c r="AC42" s="654">
        <f t="shared" si="17"/>
        <v>0</v>
      </c>
      <c r="AD42" s="694">
        <f t="shared" si="11"/>
        <v>0</v>
      </c>
      <c r="AE42" s="654">
        <f t="shared" si="18"/>
        <v>0</v>
      </c>
      <c r="AF42" s="70"/>
    </row>
    <row r="43" spans="1:60" s="63" customFormat="1" ht="21" hidden="1" customHeight="1" thickBot="1" x14ac:dyDescent="0.25">
      <c r="A43" s="1091"/>
      <c r="B43" s="1092" t="s">
        <v>317</v>
      </c>
      <c r="C43" s="1278">
        <v>15261.199199999999</v>
      </c>
      <c r="D43" s="1121"/>
      <c r="E43" s="1949"/>
      <c r="F43" s="1181" t="s">
        <v>190</v>
      </c>
      <c r="G43" s="1091"/>
      <c r="H43" s="1182"/>
      <c r="I43" s="406">
        <f t="shared" si="12"/>
        <v>0</v>
      </c>
      <c r="J43" s="1148"/>
      <c r="K43" s="1183"/>
      <c r="L43" s="1150">
        <v>9.8531999999999993</v>
      </c>
      <c r="M43" s="1151"/>
      <c r="N43" s="1184"/>
      <c r="O43" s="1516">
        <v>99.704999999999998</v>
      </c>
      <c r="P43" s="1517">
        <v>1.0439700000000001</v>
      </c>
      <c r="Q43" s="1154"/>
      <c r="R43" s="1154">
        <v>38.709000000000003</v>
      </c>
      <c r="S43" s="1155">
        <v>0.71553</v>
      </c>
      <c r="T43" s="1794"/>
      <c r="U43" s="1134"/>
      <c r="V43" s="653">
        <f t="shared" si="13"/>
        <v>0</v>
      </c>
      <c r="W43" s="322">
        <f t="shared" si="14"/>
        <v>0</v>
      </c>
      <c r="X43" s="653" t="e">
        <f>(#REF!*N43/$G$171)</f>
        <v>#REF!</v>
      </c>
      <c r="Y43" s="322">
        <f t="shared" si="9"/>
        <v>0</v>
      </c>
      <c r="Z43" s="653">
        <f t="shared" si="10"/>
        <v>0</v>
      </c>
      <c r="AA43" s="322">
        <f t="shared" si="15"/>
        <v>0</v>
      </c>
      <c r="AB43" s="322">
        <f t="shared" si="16"/>
        <v>0</v>
      </c>
      <c r="AC43" s="654">
        <f t="shared" si="17"/>
        <v>0</v>
      </c>
      <c r="AD43" s="694">
        <f t="shared" si="11"/>
        <v>0</v>
      </c>
      <c r="AE43" s="654">
        <f t="shared" si="18"/>
        <v>0</v>
      </c>
      <c r="AF43" s="190"/>
    </row>
    <row r="44" spans="1:60" s="126" customFormat="1" ht="21" hidden="1" customHeight="1" thickBot="1" x14ac:dyDescent="0.25">
      <c r="A44" s="1085"/>
      <c r="B44" s="1498" t="s">
        <v>318</v>
      </c>
      <c r="C44" s="1306">
        <v>15261.199199999999</v>
      </c>
      <c r="D44" s="1118"/>
      <c r="E44" s="1946"/>
      <c r="F44" s="1157" t="s">
        <v>190</v>
      </c>
      <c r="G44" s="1085"/>
      <c r="H44" s="1222">
        <v>0</v>
      </c>
      <c r="I44" s="1159">
        <f t="shared" si="12"/>
        <v>0</v>
      </c>
      <c r="J44" s="1139">
        <f>SUM(I44:I47)</f>
        <v>0</v>
      </c>
      <c r="K44" s="1159" t="str">
        <f>IF(J44=0," ",H44/J44)</f>
        <v xml:space="preserve"> </v>
      </c>
      <c r="L44" s="1140">
        <v>8.7974999999999994</v>
      </c>
      <c r="M44" s="1141">
        <v>36.128399999999999</v>
      </c>
      <c r="N44" s="1141"/>
      <c r="O44" s="1512">
        <v>98.531999999999996</v>
      </c>
      <c r="P44" s="1513">
        <v>1.11435</v>
      </c>
      <c r="Q44" s="1144">
        <v>22.286999999999999</v>
      </c>
      <c r="R44" s="1144">
        <v>39.881999999999998</v>
      </c>
      <c r="S44" s="1145">
        <v>0.59823000000000004</v>
      </c>
      <c r="T44" s="1793"/>
      <c r="U44" s="1198">
        <v>4.9969800000000002E-2</v>
      </c>
      <c r="V44" s="653">
        <f t="shared" si="13"/>
        <v>0</v>
      </c>
      <c r="W44" s="322">
        <f t="shared" si="14"/>
        <v>0</v>
      </c>
      <c r="X44" s="653" t="e">
        <f>(#REF!*N44/$G$171)</f>
        <v>#REF!</v>
      </c>
      <c r="Y44" s="322">
        <f t="shared" si="9"/>
        <v>0</v>
      </c>
      <c r="Z44" s="653">
        <f t="shared" si="10"/>
        <v>0</v>
      </c>
      <c r="AA44" s="322">
        <f t="shared" si="15"/>
        <v>0</v>
      </c>
      <c r="AB44" s="322">
        <f t="shared" si="16"/>
        <v>0</v>
      </c>
      <c r="AC44" s="654">
        <f t="shared" si="17"/>
        <v>0</v>
      </c>
      <c r="AD44" s="694">
        <f t="shared" si="11"/>
        <v>0</v>
      </c>
      <c r="AE44" s="654">
        <f t="shared" si="18"/>
        <v>0</v>
      </c>
      <c r="AF44" s="70"/>
    </row>
    <row r="45" spans="1:60" s="126" customFormat="1" ht="21" hidden="1" customHeight="1" thickBot="1" x14ac:dyDescent="0.25">
      <c r="A45" s="332"/>
      <c r="B45" s="1086" t="s">
        <v>318</v>
      </c>
      <c r="C45" s="1278"/>
      <c r="D45" s="1279"/>
      <c r="E45" s="1944"/>
      <c r="F45" s="1160" t="s">
        <v>190</v>
      </c>
      <c r="G45" s="332"/>
      <c r="H45" s="1162"/>
      <c r="I45" s="1136">
        <f t="shared" si="12"/>
        <v>0</v>
      </c>
      <c r="J45" s="1125"/>
      <c r="K45" s="1136"/>
      <c r="L45" s="1128">
        <v>8.7974999999999994</v>
      </c>
      <c r="M45" s="1129">
        <v>36.5976</v>
      </c>
      <c r="N45" s="1163"/>
      <c r="O45" s="1510">
        <v>98.531999999999996</v>
      </c>
      <c r="P45" s="1511">
        <v>1.11435</v>
      </c>
      <c r="Q45" s="1132">
        <v>18.768000000000001</v>
      </c>
      <c r="R45" s="1132">
        <v>39.881999999999998</v>
      </c>
      <c r="S45" s="1133">
        <v>0.57477</v>
      </c>
      <c r="T45" s="1794"/>
      <c r="U45" s="1303">
        <v>4.9969800000000002E-2</v>
      </c>
      <c r="V45" s="653">
        <f t="shared" si="13"/>
        <v>0</v>
      </c>
      <c r="W45" s="322">
        <f t="shared" si="14"/>
        <v>0</v>
      </c>
      <c r="X45" s="653" t="e">
        <f>(#REF!*N45/$G$171)</f>
        <v>#REF!</v>
      </c>
      <c r="Y45" s="322">
        <f t="shared" si="9"/>
        <v>0</v>
      </c>
      <c r="Z45" s="653">
        <f t="shared" si="10"/>
        <v>0</v>
      </c>
      <c r="AA45" s="322">
        <f t="shared" si="15"/>
        <v>0</v>
      </c>
      <c r="AB45" s="322">
        <f t="shared" si="16"/>
        <v>0</v>
      </c>
      <c r="AC45" s="654">
        <f t="shared" si="17"/>
        <v>0</v>
      </c>
      <c r="AD45" s="694">
        <f t="shared" si="11"/>
        <v>0</v>
      </c>
      <c r="AE45" s="654">
        <f t="shared" si="18"/>
        <v>0</v>
      </c>
      <c r="AF45" s="70"/>
    </row>
    <row r="46" spans="1:60" s="126" customFormat="1" ht="21" hidden="1" customHeight="1" thickBot="1" x14ac:dyDescent="0.25">
      <c r="A46" s="332"/>
      <c r="B46" s="1086" t="s">
        <v>318</v>
      </c>
      <c r="C46" s="1278"/>
      <c r="D46" s="1279"/>
      <c r="E46" s="1944"/>
      <c r="F46" s="1160" t="s">
        <v>190</v>
      </c>
      <c r="G46" s="332"/>
      <c r="H46" s="1162"/>
      <c r="I46" s="1136">
        <f t="shared" si="12"/>
        <v>0</v>
      </c>
      <c r="J46" s="1125"/>
      <c r="K46" s="1136"/>
      <c r="L46" s="1128">
        <v>8.2110000000000003</v>
      </c>
      <c r="M46" s="1129">
        <v>36.9495</v>
      </c>
      <c r="N46" s="1163"/>
      <c r="O46" s="1510">
        <v>98.531999999999996</v>
      </c>
      <c r="P46" s="1511">
        <v>1.11435</v>
      </c>
      <c r="Q46" s="1132">
        <v>18.768000000000001</v>
      </c>
      <c r="R46" s="1132">
        <v>39.881999999999998</v>
      </c>
      <c r="S46" s="1133">
        <v>0.57477</v>
      </c>
      <c r="T46" s="1794"/>
      <c r="U46" s="1303">
        <v>4.9969800000000002E-2</v>
      </c>
      <c r="V46" s="653">
        <f t="shared" si="13"/>
        <v>0</v>
      </c>
      <c r="W46" s="322">
        <f t="shared" si="14"/>
        <v>0</v>
      </c>
      <c r="X46" s="653" t="e">
        <f>(#REF!*N46/$G$171)</f>
        <v>#REF!</v>
      </c>
      <c r="Y46" s="322">
        <f t="shared" si="9"/>
        <v>0</v>
      </c>
      <c r="Z46" s="653">
        <f t="shared" si="10"/>
        <v>0</v>
      </c>
      <c r="AA46" s="322">
        <f t="shared" si="15"/>
        <v>0</v>
      </c>
      <c r="AB46" s="322">
        <f t="shared" si="16"/>
        <v>0</v>
      </c>
      <c r="AC46" s="654">
        <f t="shared" si="17"/>
        <v>0</v>
      </c>
      <c r="AD46" s="694">
        <f t="shared" si="11"/>
        <v>0</v>
      </c>
      <c r="AE46" s="654">
        <f t="shared" si="18"/>
        <v>0</v>
      </c>
      <c r="AF46" s="70"/>
    </row>
    <row r="47" spans="1:60" s="126" customFormat="1" ht="21" hidden="1" customHeight="1" thickBot="1" x14ac:dyDescent="0.25">
      <c r="A47" s="1091"/>
      <c r="B47" s="1086" t="s">
        <v>318</v>
      </c>
      <c r="C47" s="1278"/>
      <c r="D47" s="1279"/>
      <c r="E47" s="1944"/>
      <c r="F47" s="1160" t="s">
        <v>190</v>
      </c>
      <c r="G47" s="332"/>
      <c r="H47" s="1162"/>
      <c r="I47" s="1136">
        <f t="shared" si="12"/>
        <v>0</v>
      </c>
      <c r="J47" s="1125"/>
      <c r="K47" s="1136"/>
      <c r="L47" s="1128">
        <v>8.6801999999999992</v>
      </c>
      <c r="M47" s="1129">
        <v>36.4803</v>
      </c>
      <c r="N47" s="1163"/>
      <c r="O47" s="1510">
        <v>98.531999999999996</v>
      </c>
      <c r="P47" s="1511">
        <v>1.11435</v>
      </c>
      <c r="Q47" s="1132">
        <v>18.768000000000001</v>
      </c>
      <c r="R47" s="1132">
        <v>39.881999999999998</v>
      </c>
      <c r="S47" s="1133">
        <v>0.57477</v>
      </c>
      <c r="T47" s="1794"/>
      <c r="U47" s="1202">
        <v>4.9969800000000002E-2</v>
      </c>
      <c r="V47" s="653">
        <f t="shared" si="13"/>
        <v>0</v>
      </c>
      <c r="W47" s="322">
        <f t="shared" si="14"/>
        <v>0</v>
      </c>
      <c r="X47" s="653" t="e">
        <f>(#REF!*N47/$G$171)</f>
        <v>#REF!</v>
      </c>
      <c r="Y47" s="322">
        <f t="shared" si="9"/>
        <v>0</v>
      </c>
      <c r="Z47" s="653">
        <f t="shared" si="10"/>
        <v>0</v>
      </c>
      <c r="AA47" s="322">
        <f t="shared" si="15"/>
        <v>0</v>
      </c>
      <c r="AB47" s="322">
        <f t="shared" si="16"/>
        <v>0</v>
      </c>
      <c r="AC47" s="654">
        <f t="shared" si="17"/>
        <v>0</v>
      </c>
      <c r="AD47" s="694">
        <f t="shared" si="11"/>
        <v>0</v>
      </c>
      <c r="AE47" s="654">
        <f t="shared" si="18"/>
        <v>0</v>
      </c>
      <c r="AF47" s="70"/>
    </row>
    <row r="48" spans="1:60" s="126" customFormat="1" ht="20.25" hidden="1" customHeight="1" thickBot="1" x14ac:dyDescent="0.25">
      <c r="A48" s="1083"/>
      <c r="B48" s="1094" t="s">
        <v>319</v>
      </c>
      <c r="C48" s="1306">
        <v>14261.8032</v>
      </c>
      <c r="D48" s="1118"/>
      <c r="E48" s="1946">
        <v>0</v>
      </c>
      <c r="F48" s="1157" t="s">
        <v>4</v>
      </c>
      <c r="G48" s="1085"/>
      <c r="H48" s="1222">
        <v>0</v>
      </c>
      <c r="I48" s="1139">
        <f t="shared" si="12"/>
        <v>0</v>
      </c>
      <c r="J48" s="1139">
        <f>SUM(I48:I50)</f>
        <v>0</v>
      </c>
      <c r="K48" s="1139" t="str">
        <f>IF(J48=0," ",H48/J48)</f>
        <v xml:space="preserve"> </v>
      </c>
      <c r="L48" s="1140">
        <v>9.3840000000000003</v>
      </c>
      <c r="M48" s="1141">
        <v>38.357100000000003</v>
      </c>
      <c r="N48" s="1141"/>
      <c r="O48" s="1512">
        <v>97.358999999999995</v>
      </c>
      <c r="P48" s="1513">
        <v>1.11435</v>
      </c>
      <c r="Q48" s="1144">
        <v>21.114000000000001</v>
      </c>
      <c r="R48" s="1144">
        <v>36.363</v>
      </c>
      <c r="S48" s="1145">
        <v>0.80937000000000003</v>
      </c>
      <c r="T48" s="1804">
        <v>0.64749600000000007</v>
      </c>
      <c r="U48" s="1146">
        <v>5.5013699999999999E-2</v>
      </c>
      <c r="V48" s="653">
        <f t="shared" si="13"/>
        <v>0</v>
      </c>
      <c r="W48" s="322">
        <f t="shared" si="14"/>
        <v>0</v>
      </c>
      <c r="X48" s="653" t="e">
        <f>(#REF!*N48/$G$171)</f>
        <v>#REF!</v>
      </c>
      <c r="Y48" s="322">
        <f t="shared" si="9"/>
        <v>0</v>
      </c>
      <c r="Z48" s="653">
        <f t="shared" si="10"/>
        <v>0</v>
      </c>
      <c r="AA48" s="322">
        <f t="shared" si="15"/>
        <v>0</v>
      </c>
      <c r="AB48" s="322">
        <f t="shared" si="16"/>
        <v>0</v>
      </c>
      <c r="AC48" s="654">
        <f t="shared" si="17"/>
        <v>0</v>
      </c>
      <c r="AD48" s="654">
        <f t="shared" si="11"/>
        <v>0</v>
      </c>
      <c r="AE48" s="654">
        <f t="shared" si="18"/>
        <v>0</v>
      </c>
      <c r="AF48" s="70"/>
    </row>
    <row r="49" spans="1:45" s="126" customFormat="1" ht="20.25" hidden="1" customHeight="1" thickBot="1" x14ac:dyDescent="0.25">
      <c r="A49" s="1082"/>
      <c r="B49" s="1095" t="s">
        <v>319</v>
      </c>
      <c r="C49" s="1278">
        <v>14261.8032</v>
      </c>
      <c r="D49" s="1119"/>
      <c r="E49" s="1947"/>
      <c r="F49" s="1160" t="s">
        <v>190</v>
      </c>
      <c r="G49" s="332"/>
      <c r="H49" s="1162"/>
      <c r="I49" s="1125">
        <f t="shared" si="12"/>
        <v>0</v>
      </c>
      <c r="J49" s="1125"/>
      <c r="K49" s="1125"/>
      <c r="L49" s="1128">
        <v>9.7359000000000009</v>
      </c>
      <c r="M49" s="1129">
        <v>39.060899999999997</v>
      </c>
      <c r="N49" s="1129"/>
      <c r="O49" s="1510">
        <v>97.358999999999995</v>
      </c>
      <c r="P49" s="1511">
        <v>1.11435</v>
      </c>
      <c r="Q49" s="1132">
        <v>21.114000000000001</v>
      </c>
      <c r="R49" s="1132">
        <v>36.363</v>
      </c>
      <c r="S49" s="1133">
        <v>0.80937000000000003</v>
      </c>
      <c r="T49" s="1801">
        <v>0.64749600000000007</v>
      </c>
      <c r="U49" s="1134">
        <v>5.5013699999999999E-2</v>
      </c>
      <c r="V49" s="653">
        <f t="shared" si="13"/>
        <v>0</v>
      </c>
      <c r="W49" s="322">
        <f t="shared" si="14"/>
        <v>0</v>
      </c>
      <c r="X49" s="653" t="e">
        <f>(#REF!*N49/$G$171)</f>
        <v>#REF!</v>
      </c>
      <c r="Y49" s="322">
        <f t="shared" si="9"/>
        <v>0</v>
      </c>
      <c r="Z49" s="653">
        <f t="shared" si="10"/>
        <v>0</v>
      </c>
      <c r="AA49" s="322">
        <f t="shared" si="15"/>
        <v>0</v>
      </c>
      <c r="AB49" s="322">
        <f t="shared" si="16"/>
        <v>0</v>
      </c>
      <c r="AC49" s="654">
        <f t="shared" si="17"/>
        <v>0</v>
      </c>
      <c r="AD49" s="654">
        <f t="shared" si="11"/>
        <v>0</v>
      </c>
      <c r="AE49" s="654">
        <f t="shared" si="18"/>
        <v>0</v>
      </c>
      <c r="AF49" s="70"/>
    </row>
    <row r="50" spans="1:45" s="126" customFormat="1" ht="21" hidden="1" customHeight="1" thickBot="1" x14ac:dyDescent="0.25">
      <c r="A50" s="1592"/>
      <c r="B50" s="1095" t="s">
        <v>319</v>
      </c>
      <c r="C50" s="1278">
        <v>14261.8032</v>
      </c>
      <c r="D50" s="1119"/>
      <c r="E50" s="1947"/>
      <c r="F50" s="1160" t="s">
        <v>190</v>
      </c>
      <c r="G50" s="332"/>
      <c r="H50" s="1162"/>
      <c r="I50" s="1125">
        <f t="shared" si="12"/>
        <v>0</v>
      </c>
      <c r="J50" s="1125"/>
      <c r="K50" s="1125"/>
      <c r="L50" s="1128">
        <v>9.2667000000000002</v>
      </c>
      <c r="M50" s="1129">
        <v>37.418700000000001</v>
      </c>
      <c r="N50" s="1129"/>
      <c r="O50" s="1510">
        <v>100.878</v>
      </c>
      <c r="P50" s="1511">
        <v>1.14954</v>
      </c>
      <c r="Q50" s="1132">
        <v>17.594999999999999</v>
      </c>
      <c r="R50" s="1132">
        <v>39.881999999999998</v>
      </c>
      <c r="S50" s="1133">
        <v>0.64515</v>
      </c>
      <c r="T50" s="1794"/>
      <c r="U50" s="1134">
        <v>5.5013699999999999E-2</v>
      </c>
      <c r="V50" s="653">
        <f t="shared" si="13"/>
        <v>0</v>
      </c>
      <c r="W50" s="322">
        <f t="shared" si="14"/>
        <v>0</v>
      </c>
      <c r="X50" s="653" t="e">
        <f>(#REF!*N50/$G$171)</f>
        <v>#REF!</v>
      </c>
      <c r="Y50" s="322">
        <f t="shared" si="9"/>
        <v>0</v>
      </c>
      <c r="Z50" s="653">
        <f t="shared" si="10"/>
        <v>0</v>
      </c>
      <c r="AA50" s="322">
        <f t="shared" si="15"/>
        <v>0</v>
      </c>
      <c r="AB50" s="322">
        <f t="shared" si="16"/>
        <v>0</v>
      </c>
      <c r="AC50" s="654">
        <f t="shared" si="17"/>
        <v>0</v>
      </c>
      <c r="AD50" s="694">
        <f t="shared" si="11"/>
        <v>0</v>
      </c>
      <c r="AE50" s="654">
        <f t="shared" si="18"/>
        <v>0</v>
      </c>
      <c r="AF50" s="70"/>
    </row>
    <row r="51" spans="1:45" s="126" customFormat="1" ht="21" customHeight="1" thickBot="1" x14ac:dyDescent="0.25">
      <c r="A51" s="1085">
        <v>4.6920000000000002</v>
      </c>
      <c r="B51" s="1094" t="s">
        <v>95</v>
      </c>
      <c r="C51" s="1306">
        <v>14368.88637</v>
      </c>
      <c r="D51" s="1118">
        <v>3.5190000000000001</v>
      </c>
      <c r="E51" s="1946">
        <v>0.81632653061224492</v>
      </c>
      <c r="F51" s="1157" t="s">
        <v>4</v>
      </c>
      <c r="G51" s="1085"/>
      <c r="H51" s="1222">
        <v>4800</v>
      </c>
      <c r="I51" s="1238">
        <f t="shared" si="12"/>
        <v>0</v>
      </c>
      <c r="J51" s="1238">
        <f>SUM(I51:I54)</f>
        <v>0</v>
      </c>
      <c r="K51" s="1164" t="str">
        <f>IF(J51=0," ",H51/J51)</f>
        <v xml:space="preserve"> </v>
      </c>
      <c r="L51" s="1140">
        <v>9.9704999999999995</v>
      </c>
      <c r="M51" s="1141">
        <v>38.474399999999996</v>
      </c>
      <c r="N51" s="1141"/>
      <c r="O51" s="1512">
        <v>97.358999999999995</v>
      </c>
      <c r="P51" s="1513">
        <v>1.13781</v>
      </c>
      <c r="Q51" s="1144">
        <v>19.940999999999999</v>
      </c>
      <c r="R51" s="1144">
        <v>37.536000000000001</v>
      </c>
      <c r="S51" s="1145">
        <v>0.75072000000000005</v>
      </c>
      <c r="T51" s="2023">
        <v>0.73312500000000003</v>
      </c>
      <c r="U51" s="1146">
        <v>5.5013699999999999E-2</v>
      </c>
      <c r="V51" s="653">
        <f t="shared" si="13"/>
        <v>0</v>
      </c>
      <c r="W51" s="322">
        <f t="shared" si="14"/>
        <v>0</v>
      </c>
      <c r="X51" s="653" t="e">
        <f>(#REF!*N51/$G$171)</f>
        <v>#REF!</v>
      </c>
      <c r="Y51" s="322">
        <f t="shared" si="9"/>
        <v>0</v>
      </c>
      <c r="Z51" s="653">
        <f t="shared" si="10"/>
        <v>0</v>
      </c>
      <c r="AA51" s="322">
        <f t="shared" si="15"/>
        <v>0</v>
      </c>
      <c r="AB51" s="322">
        <f t="shared" si="16"/>
        <v>0</v>
      </c>
      <c r="AC51" s="654">
        <f t="shared" si="17"/>
        <v>0</v>
      </c>
      <c r="AD51" s="654">
        <f t="shared" si="11"/>
        <v>0</v>
      </c>
      <c r="AE51" s="654">
        <f t="shared" si="18"/>
        <v>0</v>
      </c>
      <c r="AF51" s="70"/>
    </row>
    <row r="52" spans="1:45" s="126" customFormat="1" ht="21" customHeight="1" thickBot="1" x14ac:dyDescent="0.25">
      <c r="A52" s="332">
        <v>12.903</v>
      </c>
      <c r="B52" s="1095" t="s">
        <v>95</v>
      </c>
      <c r="C52" s="1278">
        <v>14368.88637</v>
      </c>
      <c r="D52" s="1279"/>
      <c r="E52" s="1944"/>
      <c r="F52" s="1160" t="s">
        <v>190</v>
      </c>
      <c r="G52" s="332"/>
      <c r="H52" s="1162"/>
      <c r="I52" s="1125">
        <f t="shared" si="12"/>
        <v>0</v>
      </c>
      <c r="J52" s="1086"/>
      <c r="K52" s="1125"/>
      <c r="L52" s="1128">
        <v>10.0878</v>
      </c>
      <c r="M52" s="1129">
        <v>37.536000000000001</v>
      </c>
      <c r="N52" s="1163"/>
      <c r="O52" s="1510">
        <v>97.358999999999995</v>
      </c>
      <c r="P52" s="1511">
        <v>1.13781</v>
      </c>
      <c r="Q52" s="1132">
        <v>21.114000000000001</v>
      </c>
      <c r="R52" s="1132">
        <v>37.536000000000001</v>
      </c>
      <c r="S52" s="1133">
        <v>0.75072000000000005</v>
      </c>
      <c r="T52" s="2025">
        <v>0.73312500000000003</v>
      </c>
      <c r="U52" s="1134">
        <v>5.5013699999999999E-2</v>
      </c>
      <c r="V52" s="1917">
        <f t="shared" si="13"/>
        <v>0</v>
      </c>
      <c r="W52" s="1918">
        <f t="shared" si="14"/>
        <v>0</v>
      </c>
      <c r="X52" s="1917" t="e">
        <f>(#REF!*N52/$G$171)</f>
        <v>#REF!</v>
      </c>
      <c r="Y52" s="1918">
        <f t="shared" si="9"/>
        <v>0</v>
      </c>
      <c r="Z52" s="1917">
        <f t="shared" si="10"/>
        <v>0</v>
      </c>
      <c r="AA52" s="1918">
        <f t="shared" si="15"/>
        <v>0</v>
      </c>
      <c r="AB52" s="1918">
        <f t="shared" si="16"/>
        <v>0</v>
      </c>
      <c r="AC52" s="1919">
        <f t="shared" si="17"/>
        <v>0</v>
      </c>
      <c r="AD52" s="654">
        <f t="shared" si="11"/>
        <v>0</v>
      </c>
      <c r="AE52" s="1919">
        <f t="shared" si="18"/>
        <v>0</v>
      </c>
      <c r="AF52" s="2162"/>
    </row>
    <row r="53" spans="1:45" s="2149" customFormat="1" ht="21" hidden="1" customHeight="1" thickBot="1" x14ac:dyDescent="0.25">
      <c r="A53" s="1082"/>
      <c r="B53" s="1095" t="s">
        <v>320</v>
      </c>
      <c r="C53" s="1278">
        <v>14368.88637</v>
      </c>
      <c r="D53" s="1279"/>
      <c r="E53" s="1944"/>
      <c r="F53" s="1160" t="s">
        <v>190</v>
      </c>
      <c r="G53" s="2147"/>
      <c r="H53" s="1162"/>
      <c r="I53" s="1125">
        <f t="shared" si="12"/>
        <v>0</v>
      </c>
      <c r="J53" s="1086"/>
      <c r="K53" s="1125"/>
      <c r="L53" s="1128">
        <v>9.8531999999999993</v>
      </c>
      <c r="M53" s="1129">
        <v>38.239800000000002</v>
      </c>
      <c r="N53" s="1163"/>
      <c r="O53" s="1510">
        <v>100.878</v>
      </c>
      <c r="P53" s="1511">
        <v>1.1026199999999999</v>
      </c>
      <c r="Q53" s="1132">
        <v>24.632999999999999</v>
      </c>
      <c r="R53" s="1132">
        <v>35.19</v>
      </c>
      <c r="S53" s="1133">
        <v>0.72726000000000002</v>
      </c>
      <c r="T53" s="1997">
        <v>0.76479600000000003</v>
      </c>
      <c r="U53" s="1134">
        <v>5.5013699999999999E-2</v>
      </c>
      <c r="V53" s="1917">
        <f t="shared" si="13"/>
        <v>0</v>
      </c>
      <c r="W53" s="1918">
        <f t="shared" si="14"/>
        <v>0</v>
      </c>
      <c r="X53" s="1917" t="e">
        <f>(#REF!*N53/$G$171)</f>
        <v>#REF!</v>
      </c>
      <c r="Y53" s="1918">
        <f t="shared" si="9"/>
        <v>0</v>
      </c>
      <c r="Z53" s="1917">
        <f t="shared" si="10"/>
        <v>0</v>
      </c>
      <c r="AA53" s="1918">
        <f t="shared" si="15"/>
        <v>0</v>
      </c>
      <c r="AB53" s="1918">
        <f t="shared" si="16"/>
        <v>0</v>
      </c>
      <c r="AC53" s="1919">
        <f t="shared" si="17"/>
        <v>0</v>
      </c>
      <c r="AD53" s="1919">
        <f t="shared" ref="AD53:AD84" si="19">(G53*T53/$G$171)</f>
        <v>0</v>
      </c>
      <c r="AE53" s="1919">
        <f t="shared" si="18"/>
        <v>0</v>
      </c>
      <c r="AF53" s="2148"/>
    </row>
    <row r="54" spans="1:45" s="126" customFormat="1" ht="21" customHeight="1" thickBot="1" x14ac:dyDescent="0.25">
      <c r="A54" s="1096">
        <v>32.844000000000001</v>
      </c>
      <c r="B54" s="1097" t="s">
        <v>95</v>
      </c>
      <c r="C54" s="1836">
        <v>14368.88637</v>
      </c>
      <c r="D54" s="1121"/>
      <c r="E54" s="1949"/>
      <c r="F54" s="1181" t="s">
        <v>190</v>
      </c>
      <c r="G54" s="2150"/>
      <c r="H54" s="1216"/>
      <c r="I54" s="406">
        <f t="shared" si="12"/>
        <v>0</v>
      </c>
      <c r="J54" s="1100"/>
      <c r="K54" s="406"/>
      <c r="L54" s="1150">
        <v>10.674300000000001</v>
      </c>
      <c r="M54" s="1151">
        <v>37.887899999999995</v>
      </c>
      <c r="N54" s="1151"/>
      <c r="O54" s="1516">
        <v>97.358999999999995</v>
      </c>
      <c r="P54" s="1517">
        <v>1.13781</v>
      </c>
      <c r="Q54" s="1154">
        <v>10.557</v>
      </c>
      <c r="R54" s="1154">
        <v>37.536000000000001</v>
      </c>
      <c r="S54" s="1155">
        <v>0.73899000000000004</v>
      </c>
      <c r="T54" s="1803">
        <v>0.73312500000000003</v>
      </c>
      <c r="U54" s="1156">
        <v>5.5013699999999999E-2</v>
      </c>
      <c r="V54" s="653">
        <f t="shared" si="13"/>
        <v>0</v>
      </c>
      <c r="W54" s="322">
        <f t="shared" si="14"/>
        <v>0</v>
      </c>
      <c r="X54" s="653" t="e">
        <f>(#REF!*N54/$G$171)</f>
        <v>#REF!</v>
      </c>
      <c r="Y54" s="322">
        <f t="shared" si="9"/>
        <v>0</v>
      </c>
      <c r="Z54" s="653">
        <f t="shared" si="10"/>
        <v>0</v>
      </c>
      <c r="AA54" s="322">
        <f t="shared" si="15"/>
        <v>0</v>
      </c>
      <c r="AB54" s="322">
        <f t="shared" si="16"/>
        <v>0</v>
      </c>
      <c r="AC54" s="654">
        <f t="shared" si="17"/>
        <v>0</v>
      </c>
      <c r="AD54" s="1379">
        <f t="shared" si="19"/>
        <v>0</v>
      </c>
      <c r="AE54" s="654">
        <f t="shared" si="18"/>
        <v>0</v>
      </c>
      <c r="AF54" s="190"/>
    </row>
    <row r="55" spans="1:45" s="126" customFormat="1" ht="20.25" hidden="1" customHeight="1" thickBot="1" x14ac:dyDescent="0.25">
      <c r="A55" s="1085"/>
      <c r="B55" s="1104" t="s">
        <v>321</v>
      </c>
      <c r="C55" s="1306">
        <v>14261.8032</v>
      </c>
      <c r="D55" s="1118"/>
      <c r="E55" s="1946">
        <v>0</v>
      </c>
      <c r="F55" s="1157" t="s">
        <v>4</v>
      </c>
      <c r="G55" s="1085"/>
      <c r="H55" s="1222">
        <v>0</v>
      </c>
      <c r="I55" s="1139">
        <f t="shared" si="12"/>
        <v>0</v>
      </c>
      <c r="J55" s="1159">
        <f>SUM(I55:I61)</f>
        <v>0</v>
      </c>
      <c r="K55" s="1139" t="str">
        <f>IF(J55=0," ",H55/J55)</f>
        <v xml:space="preserve"> </v>
      </c>
      <c r="L55" s="1140">
        <v>9.9704999999999995</v>
      </c>
      <c r="M55" s="1141">
        <v>37.770600000000002</v>
      </c>
      <c r="N55" s="1141"/>
      <c r="O55" s="1512">
        <v>99.704999999999998</v>
      </c>
      <c r="P55" s="1513">
        <v>1.0908899999999999</v>
      </c>
      <c r="Q55" s="1144">
        <v>31.670999999999999</v>
      </c>
      <c r="R55" s="1144">
        <v>36.363</v>
      </c>
      <c r="S55" s="1145">
        <v>0.69206999999999996</v>
      </c>
      <c r="T55" s="1804">
        <v>0.64749600000000007</v>
      </c>
      <c r="U55" s="1146">
        <v>5.5013699999999999E-2</v>
      </c>
      <c r="V55" s="653">
        <f t="shared" si="13"/>
        <v>0</v>
      </c>
      <c r="W55" s="322">
        <f t="shared" si="14"/>
        <v>0</v>
      </c>
      <c r="X55" s="653" t="e">
        <f>(#REF!*N55/$G$171)</f>
        <v>#REF!</v>
      </c>
      <c r="Y55" s="322">
        <f t="shared" si="9"/>
        <v>0</v>
      </c>
      <c r="Z55" s="653">
        <f t="shared" si="10"/>
        <v>0</v>
      </c>
      <c r="AA55" s="322">
        <f t="shared" si="15"/>
        <v>0</v>
      </c>
      <c r="AB55" s="322">
        <f t="shared" si="16"/>
        <v>0</v>
      </c>
      <c r="AC55" s="654">
        <f t="shared" si="17"/>
        <v>0</v>
      </c>
      <c r="AD55" s="654">
        <f t="shared" si="19"/>
        <v>0</v>
      </c>
      <c r="AE55" s="654">
        <f t="shared" si="18"/>
        <v>0</v>
      </c>
      <c r="AF55" s="70"/>
    </row>
    <row r="56" spans="1:45" s="126" customFormat="1" ht="21" hidden="1" customHeight="1" thickBot="1" x14ac:dyDescent="0.25">
      <c r="A56" s="332"/>
      <c r="B56" s="1095" t="s">
        <v>322</v>
      </c>
      <c r="C56" s="1278">
        <v>14322.49422</v>
      </c>
      <c r="D56" s="1279"/>
      <c r="E56" s="1944"/>
      <c r="F56" s="1160" t="s">
        <v>190</v>
      </c>
      <c r="G56" s="332"/>
      <c r="H56" s="1162"/>
      <c r="I56" s="1125">
        <f t="shared" si="12"/>
        <v>0</v>
      </c>
      <c r="J56" s="1136"/>
      <c r="K56" s="1125"/>
      <c r="L56" s="1128">
        <v>10.2051</v>
      </c>
      <c r="M56" s="1129">
        <v>37.887899999999995</v>
      </c>
      <c r="N56" s="1129"/>
      <c r="O56" s="1510">
        <v>99.704999999999998</v>
      </c>
      <c r="P56" s="1511">
        <v>1.0908899999999999</v>
      </c>
      <c r="Q56" s="1132"/>
      <c r="R56" s="1132"/>
      <c r="S56" s="1133">
        <v>0.66860999999999993</v>
      </c>
      <c r="T56" s="1801">
        <v>0.64749600000000007</v>
      </c>
      <c r="U56" s="1134">
        <v>5.5013699999999999E-2</v>
      </c>
      <c r="V56" s="653">
        <f t="shared" si="13"/>
        <v>0</v>
      </c>
      <c r="W56" s="322">
        <f t="shared" si="14"/>
        <v>0</v>
      </c>
      <c r="X56" s="653" t="e">
        <f>(#REF!*N56/$G$171)</f>
        <v>#REF!</v>
      </c>
      <c r="Y56" s="322">
        <f t="shared" si="9"/>
        <v>0</v>
      </c>
      <c r="Z56" s="653">
        <f t="shared" si="10"/>
        <v>0</v>
      </c>
      <c r="AA56" s="322">
        <f t="shared" si="15"/>
        <v>0</v>
      </c>
      <c r="AB56" s="322">
        <f t="shared" si="16"/>
        <v>0</v>
      </c>
      <c r="AC56" s="654">
        <f t="shared" si="17"/>
        <v>0</v>
      </c>
      <c r="AD56" s="654">
        <f t="shared" si="19"/>
        <v>0</v>
      </c>
      <c r="AE56" s="654">
        <f t="shared" si="18"/>
        <v>0</v>
      </c>
      <c r="AF56" s="70"/>
    </row>
    <row r="57" spans="1:45" s="126" customFormat="1" ht="21.75" hidden="1" customHeight="1" thickBot="1" x14ac:dyDescent="0.25">
      <c r="A57" s="332"/>
      <c r="B57" s="1086" t="s">
        <v>322</v>
      </c>
      <c r="C57" s="1278"/>
      <c r="D57" s="1119"/>
      <c r="E57" s="1947"/>
      <c r="F57" s="1160" t="s">
        <v>190</v>
      </c>
      <c r="G57" s="1011"/>
      <c r="H57" s="2151"/>
      <c r="I57" s="1125">
        <f t="shared" si="12"/>
        <v>0</v>
      </c>
      <c r="J57" s="1136"/>
      <c r="K57" s="1125"/>
      <c r="L57" s="1128">
        <v>9.8531999999999993</v>
      </c>
      <c r="M57" s="1129">
        <v>38.826300000000003</v>
      </c>
      <c r="N57" s="1129"/>
      <c r="O57" s="1510">
        <v>98.531999999999996</v>
      </c>
      <c r="P57" s="1511">
        <v>1.1026199999999999</v>
      </c>
      <c r="Q57" s="1132">
        <v>22.286999999999999</v>
      </c>
      <c r="R57" s="1132">
        <v>37.536000000000001</v>
      </c>
      <c r="S57" s="1133">
        <v>0.60995999999999995</v>
      </c>
      <c r="T57" s="1801"/>
      <c r="U57" s="1134">
        <v>5.5013699999999999E-2</v>
      </c>
      <c r="V57" s="653">
        <f t="shared" si="13"/>
        <v>0</v>
      </c>
      <c r="W57" s="322">
        <f t="shared" si="14"/>
        <v>0</v>
      </c>
      <c r="X57" s="653" t="e">
        <f>(#REF!*N57/$G$171)</f>
        <v>#REF!</v>
      </c>
      <c r="Y57" s="322">
        <f t="shared" si="9"/>
        <v>0</v>
      </c>
      <c r="Z57" s="653">
        <f t="shared" si="10"/>
        <v>0</v>
      </c>
      <c r="AA57" s="322">
        <f t="shared" si="15"/>
        <v>0</v>
      </c>
      <c r="AB57" s="322">
        <f t="shared" si="16"/>
        <v>0</v>
      </c>
      <c r="AC57" s="654">
        <f t="shared" si="17"/>
        <v>0</v>
      </c>
      <c r="AD57" s="1379">
        <f t="shared" si="19"/>
        <v>0</v>
      </c>
      <c r="AE57" s="654">
        <f t="shared" si="18"/>
        <v>0</v>
      </c>
      <c r="AF57" s="190"/>
    </row>
    <row r="58" spans="1:45" s="126" customFormat="1" ht="21" hidden="1" customHeight="1" thickBot="1" x14ac:dyDescent="0.25">
      <c r="A58" s="332"/>
      <c r="B58" s="1086" t="s">
        <v>323</v>
      </c>
      <c r="C58" s="1278"/>
      <c r="D58" s="1119"/>
      <c r="E58" s="1947"/>
      <c r="F58" s="1160" t="s">
        <v>190</v>
      </c>
      <c r="G58" s="1011"/>
      <c r="H58" s="2151"/>
      <c r="I58" s="1125">
        <f t="shared" si="12"/>
        <v>0</v>
      </c>
      <c r="J58" s="1136"/>
      <c r="K58" s="1125"/>
      <c r="L58" s="1128">
        <v>8.2110000000000003</v>
      </c>
      <c r="M58" s="1129">
        <v>36.7149</v>
      </c>
      <c r="N58" s="1129"/>
      <c r="O58" s="1510">
        <v>98.531999999999996</v>
      </c>
      <c r="P58" s="1511">
        <v>1.1026199999999999</v>
      </c>
      <c r="Q58" s="1132">
        <v>30.498000000000001</v>
      </c>
      <c r="R58" s="1132">
        <v>35.19</v>
      </c>
      <c r="S58" s="1133">
        <v>0.69206999999999996</v>
      </c>
      <c r="T58" s="1801"/>
      <c r="U58" s="1134">
        <v>3.6949500000000003E-2</v>
      </c>
      <c r="V58" s="653">
        <f t="shared" si="13"/>
        <v>0</v>
      </c>
      <c r="W58" s="322">
        <f t="shared" si="14"/>
        <v>0</v>
      </c>
      <c r="X58" s="653" t="e">
        <f>(#REF!*N58/$G$171)</f>
        <v>#REF!</v>
      </c>
      <c r="Y58" s="322">
        <f t="shared" si="9"/>
        <v>0</v>
      </c>
      <c r="Z58" s="653">
        <f t="shared" si="10"/>
        <v>0</v>
      </c>
      <c r="AA58" s="322">
        <f t="shared" si="15"/>
        <v>0</v>
      </c>
      <c r="AB58" s="322">
        <f t="shared" si="16"/>
        <v>0</v>
      </c>
      <c r="AC58" s="654">
        <f t="shared" si="17"/>
        <v>0</v>
      </c>
      <c r="AD58" s="1379">
        <f t="shared" si="19"/>
        <v>0</v>
      </c>
      <c r="AE58" s="654">
        <f t="shared" si="18"/>
        <v>0</v>
      </c>
      <c r="AF58" s="2152"/>
    </row>
    <row r="59" spans="1:45" s="126" customFormat="1" ht="21" hidden="1" customHeight="1" thickBot="1" x14ac:dyDescent="0.25">
      <c r="A59" s="332"/>
      <c r="B59" s="1086" t="s">
        <v>323</v>
      </c>
      <c r="C59" s="1278"/>
      <c r="D59" s="1119"/>
      <c r="E59" s="1947"/>
      <c r="F59" s="1160" t="s">
        <v>190</v>
      </c>
      <c r="G59" s="1011"/>
      <c r="H59" s="2151"/>
      <c r="I59" s="1125">
        <f t="shared" si="12"/>
        <v>0</v>
      </c>
      <c r="J59" s="1136"/>
      <c r="K59" s="1125"/>
      <c r="L59" s="1128">
        <v>10.2051</v>
      </c>
      <c r="M59" s="1129">
        <v>34.251600000000003</v>
      </c>
      <c r="N59" s="1129"/>
      <c r="O59" s="1510">
        <v>97.358999999999995</v>
      </c>
      <c r="P59" s="1511">
        <v>1.11435</v>
      </c>
      <c r="Q59" s="1132">
        <v>38.709000000000003</v>
      </c>
      <c r="R59" s="1132">
        <v>32.844000000000001</v>
      </c>
      <c r="S59" s="1133">
        <v>0.51612000000000002</v>
      </c>
      <c r="T59" s="1801"/>
      <c r="U59" s="1134"/>
      <c r="V59" s="653">
        <f t="shared" si="13"/>
        <v>0</v>
      </c>
      <c r="W59" s="322">
        <f t="shared" si="14"/>
        <v>0</v>
      </c>
      <c r="X59" s="653" t="e">
        <f>(#REF!*N59/$G$171)</f>
        <v>#REF!</v>
      </c>
      <c r="Y59" s="322">
        <f t="shared" si="9"/>
        <v>0</v>
      </c>
      <c r="Z59" s="653">
        <f t="shared" si="10"/>
        <v>0</v>
      </c>
      <c r="AA59" s="322">
        <f t="shared" si="15"/>
        <v>0</v>
      </c>
      <c r="AB59" s="322">
        <f t="shared" si="16"/>
        <v>0</v>
      </c>
      <c r="AC59" s="654">
        <f t="shared" si="17"/>
        <v>0</v>
      </c>
      <c r="AD59" s="1379">
        <f t="shared" si="19"/>
        <v>0</v>
      </c>
      <c r="AE59" s="654">
        <f t="shared" si="18"/>
        <v>0</v>
      </c>
      <c r="AF59" s="2152"/>
    </row>
    <row r="60" spans="1:45" s="126" customFormat="1" ht="21" hidden="1" customHeight="1" thickBot="1" x14ac:dyDescent="0.25">
      <c r="A60" s="332"/>
      <c r="B60" s="1086" t="s">
        <v>323</v>
      </c>
      <c r="C60" s="1278"/>
      <c r="D60" s="1119"/>
      <c r="E60" s="1947"/>
      <c r="F60" s="1160" t="s">
        <v>190</v>
      </c>
      <c r="G60" s="1011"/>
      <c r="H60" s="2151"/>
      <c r="I60" s="1125">
        <f t="shared" si="12"/>
        <v>0</v>
      </c>
      <c r="J60" s="1136"/>
      <c r="K60" s="1125"/>
      <c r="L60" s="1128">
        <v>10.3224</v>
      </c>
      <c r="M60" s="1129">
        <v>34.838099999999997</v>
      </c>
      <c r="N60" s="1129"/>
      <c r="O60" s="1510">
        <v>97.358999999999995</v>
      </c>
      <c r="P60" s="1511">
        <v>1.11435</v>
      </c>
      <c r="Q60" s="1132">
        <v>39.881999999999998</v>
      </c>
      <c r="R60" s="1132">
        <v>30.498000000000001</v>
      </c>
      <c r="S60" s="1133">
        <v>0.63341999999999998</v>
      </c>
      <c r="T60" s="1801"/>
      <c r="U60" s="1134">
        <v>3.6949500000000003E-2</v>
      </c>
      <c r="V60" s="653">
        <f t="shared" si="13"/>
        <v>0</v>
      </c>
      <c r="W60" s="322">
        <f t="shared" si="14"/>
        <v>0</v>
      </c>
      <c r="X60" s="653" t="e">
        <f>(#REF!*N60/$G$171)</f>
        <v>#REF!</v>
      </c>
      <c r="Y60" s="322">
        <f t="shared" si="9"/>
        <v>0</v>
      </c>
      <c r="Z60" s="653">
        <f t="shared" si="10"/>
        <v>0</v>
      </c>
      <c r="AA60" s="322">
        <f t="shared" si="15"/>
        <v>0</v>
      </c>
      <c r="AB60" s="322">
        <f t="shared" si="16"/>
        <v>0</v>
      </c>
      <c r="AC60" s="654">
        <f t="shared" si="17"/>
        <v>0</v>
      </c>
      <c r="AD60" s="1379">
        <f t="shared" si="19"/>
        <v>0</v>
      </c>
      <c r="AE60" s="654">
        <f t="shared" si="18"/>
        <v>0</v>
      </c>
      <c r="AF60" s="2152"/>
    </row>
    <row r="61" spans="1:45" s="126" customFormat="1" ht="21" hidden="1" customHeight="1" thickBot="1" x14ac:dyDescent="0.25">
      <c r="A61" s="2153"/>
      <c r="B61" s="1086" t="s">
        <v>323</v>
      </c>
      <c r="C61" s="1278"/>
      <c r="D61" s="1121"/>
      <c r="E61" s="1949"/>
      <c r="F61" s="1160" t="s">
        <v>190</v>
      </c>
      <c r="G61" s="260"/>
      <c r="H61" s="2151"/>
      <c r="I61" s="1125">
        <f t="shared" si="12"/>
        <v>0</v>
      </c>
      <c r="J61" s="1136"/>
      <c r="K61" s="1125"/>
      <c r="L61" s="1128">
        <v>10.674300000000001</v>
      </c>
      <c r="M61" s="1129">
        <v>38.826300000000003</v>
      </c>
      <c r="N61" s="1129"/>
      <c r="O61" s="1510">
        <v>98.531999999999996</v>
      </c>
      <c r="P61" s="1511">
        <v>1.1026199999999999</v>
      </c>
      <c r="Q61" s="2154">
        <v>19.940999999999999</v>
      </c>
      <c r="R61" s="2154">
        <v>38.709000000000003</v>
      </c>
      <c r="S61" s="2155">
        <v>0.92666999999999999</v>
      </c>
      <c r="T61" s="2156"/>
      <c r="U61" s="2157"/>
      <c r="V61" s="653">
        <f t="shared" si="13"/>
        <v>0</v>
      </c>
      <c r="W61" s="322">
        <f t="shared" si="14"/>
        <v>0</v>
      </c>
      <c r="X61" s="653" t="e">
        <f>(#REF!*N61/$G$171)</f>
        <v>#REF!</v>
      </c>
      <c r="Y61" s="322">
        <f t="shared" si="9"/>
        <v>0</v>
      </c>
      <c r="Z61" s="653">
        <f t="shared" si="10"/>
        <v>0</v>
      </c>
      <c r="AA61" s="322">
        <f t="shared" si="15"/>
        <v>0</v>
      </c>
      <c r="AB61" s="322">
        <f t="shared" si="16"/>
        <v>0</v>
      </c>
      <c r="AC61" s="654">
        <f t="shared" si="17"/>
        <v>0</v>
      </c>
      <c r="AD61" s="1379">
        <f t="shared" si="19"/>
        <v>0</v>
      </c>
      <c r="AE61" s="654">
        <f t="shared" si="18"/>
        <v>0</v>
      </c>
      <c r="AF61" s="190"/>
    </row>
    <row r="62" spans="1:45" s="126" customFormat="1" ht="21" hidden="1" customHeight="1" thickBot="1" x14ac:dyDescent="0.25">
      <c r="A62" s="1098"/>
      <c r="B62" s="1099" t="s">
        <v>324</v>
      </c>
      <c r="C62" s="1306"/>
      <c r="D62" s="1118"/>
      <c r="E62" s="1946"/>
      <c r="F62" s="1157" t="s">
        <v>190</v>
      </c>
      <c r="G62" s="1449"/>
      <c r="H62" s="2158"/>
      <c r="I62" s="1139">
        <f t="shared" si="12"/>
        <v>0</v>
      </c>
      <c r="J62" s="1159">
        <f>SUM(I62:I67)</f>
        <v>0</v>
      </c>
      <c r="K62" s="1139" t="str">
        <f>IF(J62=0," ",H62/J62)</f>
        <v xml:space="preserve"> </v>
      </c>
      <c r="L62" s="1140">
        <v>10.674300000000001</v>
      </c>
      <c r="M62" s="1141">
        <v>38.826300000000003</v>
      </c>
      <c r="N62" s="1197"/>
      <c r="O62" s="1512">
        <v>96.186000000000007</v>
      </c>
      <c r="P62" s="1513">
        <v>1.13781</v>
      </c>
      <c r="Q62" s="1144">
        <v>34.017000000000003</v>
      </c>
      <c r="R62" s="1144">
        <v>34.017000000000003</v>
      </c>
      <c r="S62" s="1145">
        <v>0.92666999999999999</v>
      </c>
      <c r="T62" s="1801"/>
      <c r="U62" s="1134"/>
      <c r="V62" s="653">
        <f t="shared" si="13"/>
        <v>0</v>
      </c>
      <c r="W62" s="322">
        <f t="shared" si="14"/>
        <v>0</v>
      </c>
      <c r="X62" s="653" t="e">
        <f>(#REF!*N62/$G$171)</f>
        <v>#REF!</v>
      </c>
      <c r="Y62" s="322">
        <f t="shared" si="9"/>
        <v>0</v>
      </c>
      <c r="Z62" s="653">
        <f t="shared" si="10"/>
        <v>0</v>
      </c>
      <c r="AA62" s="322">
        <f t="shared" si="15"/>
        <v>0</v>
      </c>
      <c r="AB62" s="322">
        <f t="shared" si="16"/>
        <v>0</v>
      </c>
      <c r="AC62" s="654">
        <f t="shared" si="17"/>
        <v>0</v>
      </c>
      <c r="AD62" s="1379">
        <f t="shared" si="19"/>
        <v>0</v>
      </c>
      <c r="AE62" s="654">
        <f t="shared" si="18"/>
        <v>0</v>
      </c>
      <c r="AF62" s="190"/>
    </row>
    <row r="63" spans="1:45" s="126" customFormat="1" ht="21" hidden="1" customHeight="1" thickBot="1" x14ac:dyDescent="0.25">
      <c r="A63" s="332"/>
      <c r="B63" s="1086" t="s">
        <v>324</v>
      </c>
      <c r="C63" s="1278"/>
      <c r="D63" s="1119"/>
      <c r="E63" s="1947"/>
      <c r="F63" s="1160" t="s">
        <v>190</v>
      </c>
      <c r="G63" s="1011"/>
      <c r="H63" s="2151"/>
      <c r="I63" s="1125">
        <f t="shared" si="12"/>
        <v>0</v>
      </c>
      <c r="J63" s="1136"/>
      <c r="K63" s="1125"/>
      <c r="L63" s="1128">
        <v>8.0937000000000001</v>
      </c>
      <c r="M63" s="1129">
        <v>34.251600000000003</v>
      </c>
      <c r="N63" s="1129"/>
      <c r="O63" s="1510">
        <v>91.494</v>
      </c>
      <c r="P63" s="1511">
        <v>1.13781</v>
      </c>
      <c r="Q63" s="1132">
        <v>9.3840000000000003</v>
      </c>
      <c r="R63" s="1132">
        <v>41.055</v>
      </c>
      <c r="S63" s="1133">
        <v>0.56303999999999998</v>
      </c>
      <c r="T63" s="1801"/>
      <c r="U63" s="1134"/>
      <c r="V63" s="653">
        <f t="shared" si="13"/>
        <v>0</v>
      </c>
      <c r="W63" s="322">
        <f t="shared" si="14"/>
        <v>0</v>
      </c>
      <c r="X63" s="653" t="e">
        <f>(#REF!*N63/$G$171)</f>
        <v>#REF!</v>
      </c>
      <c r="Y63" s="322">
        <f t="shared" si="9"/>
        <v>0</v>
      </c>
      <c r="Z63" s="653">
        <f t="shared" si="10"/>
        <v>0</v>
      </c>
      <c r="AA63" s="322">
        <f t="shared" si="15"/>
        <v>0</v>
      </c>
      <c r="AB63" s="322">
        <f t="shared" si="16"/>
        <v>0</v>
      </c>
      <c r="AC63" s="654">
        <f t="shared" si="17"/>
        <v>0</v>
      </c>
      <c r="AD63" s="1379">
        <f t="shared" si="19"/>
        <v>0</v>
      </c>
      <c r="AE63" s="654">
        <f t="shared" si="18"/>
        <v>0</v>
      </c>
      <c r="AF63" s="190"/>
    </row>
    <row r="64" spans="1:45" s="130" customFormat="1" ht="21" hidden="1" customHeight="1" thickBot="1" x14ac:dyDescent="0.25">
      <c r="A64" s="2153"/>
      <c r="B64" s="1086" t="s">
        <v>324</v>
      </c>
      <c r="C64" s="1278"/>
      <c r="D64" s="1119"/>
      <c r="E64" s="1947"/>
      <c r="F64" s="1160" t="s">
        <v>190</v>
      </c>
      <c r="G64" s="1011"/>
      <c r="H64" s="2151"/>
      <c r="I64" s="1125">
        <f t="shared" si="12"/>
        <v>0</v>
      </c>
      <c r="J64" s="1136"/>
      <c r="K64" s="1125"/>
      <c r="L64" s="1128">
        <v>9.0320999999999998</v>
      </c>
      <c r="M64" s="1129">
        <v>34.251600000000003</v>
      </c>
      <c r="N64" s="1163"/>
      <c r="O64" s="1510">
        <v>91.494</v>
      </c>
      <c r="P64" s="1511">
        <v>1.13781</v>
      </c>
      <c r="Q64" s="1132">
        <v>24.632999999999999</v>
      </c>
      <c r="R64" s="1132">
        <v>37.536000000000001</v>
      </c>
      <c r="S64" s="1133">
        <v>0.56303999999999998</v>
      </c>
      <c r="T64" s="1801"/>
      <c r="U64" s="1134"/>
      <c r="V64" s="653">
        <f t="shared" si="13"/>
        <v>0</v>
      </c>
      <c r="W64" s="322">
        <f t="shared" si="14"/>
        <v>0</v>
      </c>
      <c r="X64" s="653" t="e">
        <f>(#REF!*N64/$G$171)</f>
        <v>#REF!</v>
      </c>
      <c r="Y64" s="322">
        <f t="shared" si="9"/>
        <v>0</v>
      </c>
      <c r="Z64" s="653">
        <f t="shared" si="10"/>
        <v>0</v>
      </c>
      <c r="AA64" s="322">
        <f t="shared" si="15"/>
        <v>0</v>
      </c>
      <c r="AB64" s="322">
        <f t="shared" si="16"/>
        <v>0</v>
      </c>
      <c r="AC64" s="654">
        <f t="shared" si="17"/>
        <v>0</v>
      </c>
      <c r="AD64" s="1379">
        <f t="shared" si="19"/>
        <v>0</v>
      </c>
      <c r="AE64" s="654">
        <f t="shared" si="18"/>
        <v>0</v>
      </c>
      <c r="AF64" s="190"/>
      <c r="AG64" s="126"/>
      <c r="AH64" s="126"/>
      <c r="AI64" s="126"/>
      <c r="AJ64" s="126"/>
      <c r="AK64" s="126"/>
      <c r="AL64" s="126"/>
      <c r="AM64" s="126"/>
      <c r="AN64" s="126"/>
      <c r="AO64" s="126"/>
      <c r="AP64" s="126"/>
      <c r="AQ64" s="126"/>
      <c r="AR64" s="126"/>
      <c r="AS64" s="126"/>
    </row>
    <row r="65" spans="1:36" s="130" customFormat="1" ht="19.5" hidden="1" customHeight="1" thickBot="1" x14ac:dyDescent="0.25">
      <c r="A65" s="2153"/>
      <c r="B65" s="1086" t="s">
        <v>324</v>
      </c>
      <c r="C65" s="1278"/>
      <c r="D65" s="1119"/>
      <c r="E65" s="1947"/>
      <c r="F65" s="1160" t="s">
        <v>190</v>
      </c>
      <c r="G65" s="1011"/>
      <c r="H65" s="2151"/>
      <c r="I65" s="1125">
        <f t="shared" si="12"/>
        <v>0</v>
      </c>
      <c r="J65" s="1136"/>
      <c r="K65" s="1125"/>
      <c r="L65" s="1128">
        <v>9.8531999999999993</v>
      </c>
      <c r="M65" s="1129"/>
      <c r="N65" s="1163"/>
      <c r="O65" s="1510">
        <v>97.358999999999995</v>
      </c>
      <c r="P65" s="1511">
        <v>1.12608</v>
      </c>
      <c r="Q65" s="1132">
        <v>1.173</v>
      </c>
      <c r="R65" s="1132">
        <v>42.228000000000002</v>
      </c>
      <c r="S65" s="1133">
        <v>0.52785000000000004</v>
      </c>
      <c r="T65" s="1801"/>
      <c r="U65" s="1134"/>
      <c r="V65" s="653">
        <f t="shared" si="13"/>
        <v>0</v>
      </c>
      <c r="W65" s="322">
        <f t="shared" si="14"/>
        <v>0</v>
      </c>
      <c r="X65" s="653" t="e">
        <f>(#REF!*N65/$G$171)</f>
        <v>#REF!</v>
      </c>
      <c r="Y65" s="322">
        <f t="shared" si="9"/>
        <v>0</v>
      </c>
      <c r="Z65" s="653">
        <f t="shared" si="10"/>
        <v>0</v>
      </c>
      <c r="AA65" s="322">
        <f t="shared" si="15"/>
        <v>0</v>
      </c>
      <c r="AB65" s="322">
        <f t="shared" si="16"/>
        <v>0</v>
      </c>
      <c r="AC65" s="654">
        <f t="shared" si="17"/>
        <v>0</v>
      </c>
      <c r="AD65" s="1379">
        <f t="shared" si="19"/>
        <v>0</v>
      </c>
      <c r="AE65" s="654">
        <f t="shared" si="18"/>
        <v>0</v>
      </c>
      <c r="AF65" s="178"/>
    </row>
    <row r="66" spans="1:36" s="126" customFormat="1" ht="19.5" hidden="1" customHeight="1" thickBot="1" x14ac:dyDescent="0.25">
      <c r="A66" s="332"/>
      <c r="B66" s="1086" t="s">
        <v>324</v>
      </c>
      <c r="C66" s="1278"/>
      <c r="D66" s="1119"/>
      <c r="E66" s="1947"/>
      <c r="F66" s="1160" t="s">
        <v>190</v>
      </c>
      <c r="G66" s="1011"/>
      <c r="H66" s="2151"/>
      <c r="I66" s="1125">
        <f t="shared" si="12"/>
        <v>0</v>
      </c>
      <c r="J66" s="1136"/>
      <c r="K66" s="1125"/>
      <c r="L66" s="1128">
        <v>8.4456000000000007</v>
      </c>
      <c r="M66" s="1129"/>
      <c r="N66" s="1163"/>
      <c r="O66" s="1510">
        <v>97.358999999999995</v>
      </c>
      <c r="P66" s="1511">
        <v>1.12608</v>
      </c>
      <c r="Q66" s="1132">
        <v>17.594999999999999</v>
      </c>
      <c r="R66" s="1132">
        <v>37.536000000000001</v>
      </c>
      <c r="S66" s="1133">
        <v>0.57477</v>
      </c>
      <c r="T66" s="1801"/>
      <c r="U66" s="1134"/>
      <c r="V66" s="653">
        <f t="shared" si="13"/>
        <v>0</v>
      </c>
      <c r="W66" s="322">
        <f t="shared" si="14"/>
        <v>0</v>
      </c>
      <c r="X66" s="653" t="e">
        <f>(#REF!*N66/$G$171)</f>
        <v>#REF!</v>
      </c>
      <c r="Y66" s="322">
        <f t="shared" si="9"/>
        <v>0</v>
      </c>
      <c r="Z66" s="653">
        <f t="shared" si="10"/>
        <v>0</v>
      </c>
      <c r="AA66" s="322">
        <f t="shared" si="15"/>
        <v>0</v>
      </c>
      <c r="AB66" s="322">
        <f t="shared" si="16"/>
        <v>0</v>
      </c>
      <c r="AC66" s="654">
        <f t="shared" si="17"/>
        <v>0</v>
      </c>
      <c r="AD66" s="1379">
        <f t="shared" si="19"/>
        <v>0</v>
      </c>
      <c r="AE66" s="654">
        <f t="shared" si="18"/>
        <v>0</v>
      </c>
      <c r="AF66" s="190"/>
    </row>
    <row r="67" spans="1:36" s="126" customFormat="1" ht="19.5" hidden="1" customHeight="1" thickBot="1" x14ac:dyDescent="0.25">
      <c r="A67" s="1091"/>
      <c r="B67" s="1100" t="s">
        <v>324</v>
      </c>
      <c r="C67" s="1278"/>
      <c r="D67" s="1121"/>
      <c r="E67" s="1949"/>
      <c r="F67" s="1181" t="s">
        <v>190</v>
      </c>
      <c r="G67" s="2150"/>
      <c r="H67" s="2159"/>
      <c r="I67" s="406">
        <f t="shared" si="12"/>
        <v>0</v>
      </c>
      <c r="J67" s="1148"/>
      <c r="K67" s="406"/>
      <c r="L67" s="1150">
        <v>9.3840000000000003</v>
      </c>
      <c r="M67" s="1151"/>
      <c r="N67" s="1184"/>
      <c r="O67" s="1516">
        <v>97.358999999999995</v>
      </c>
      <c r="P67" s="1517">
        <v>1.12608</v>
      </c>
      <c r="Q67" s="1154"/>
      <c r="R67" s="1154">
        <v>35.19</v>
      </c>
      <c r="S67" s="1155">
        <v>0.59823000000000004</v>
      </c>
      <c r="T67" s="1801"/>
      <c r="U67" s="1134"/>
      <c r="V67" s="653">
        <f t="shared" si="13"/>
        <v>0</v>
      </c>
      <c r="W67" s="322">
        <f t="shared" si="14"/>
        <v>0</v>
      </c>
      <c r="X67" s="653" t="e">
        <f>(#REF!*N67/$G$171)</f>
        <v>#REF!</v>
      </c>
      <c r="Y67" s="322">
        <f t="shared" si="9"/>
        <v>0</v>
      </c>
      <c r="Z67" s="653">
        <f t="shared" si="10"/>
        <v>0</v>
      </c>
      <c r="AA67" s="322">
        <f t="shared" si="15"/>
        <v>0</v>
      </c>
      <c r="AB67" s="322">
        <f t="shared" si="16"/>
        <v>0</v>
      </c>
      <c r="AC67" s="654">
        <f t="shared" si="17"/>
        <v>0</v>
      </c>
      <c r="AD67" s="1379">
        <f t="shared" si="19"/>
        <v>0</v>
      </c>
      <c r="AE67" s="654">
        <f t="shared" si="18"/>
        <v>0</v>
      </c>
      <c r="AF67" s="190"/>
    </row>
    <row r="68" spans="1:36" s="126" customFormat="1" ht="18.75" hidden="1" customHeight="1" thickBot="1" x14ac:dyDescent="0.25">
      <c r="A68" s="1085"/>
      <c r="B68" s="1094" t="s">
        <v>323</v>
      </c>
      <c r="C68" s="1306"/>
      <c r="D68" s="1118"/>
      <c r="E68" s="1946"/>
      <c r="F68" s="1157" t="s">
        <v>190</v>
      </c>
      <c r="G68" s="1085"/>
      <c r="H68" s="2160">
        <v>0</v>
      </c>
      <c r="I68" s="1238">
        <f t="shared" si="12"/>
        <v>0</v>
      </c>
      <c r="J68" s="1237">
        <f>SUM(I68:I70)</f>
        <v>0</v>
      </c>
      <c r="K68" s="1139" t="str">
        <f>IF(J68=0," ",H68/J68)</f>
        <v xml:space="preserve"> </v>
      </c>
      <c r="L68" s="1140">
        <v>9.8531999999999993</v>
      </c>
      <c r="M68" s="1141">
        <v>36.8322</v>
      </c>
      <c r="N68" s="1197"/>
      <c r="O68" s="1512">
        <v>96.186000000000007</v>
      </c>
      <c r="P68" s="1513">
        <v>1.13781</v>
      </c>
      <c r="Q68" s="1144">
        <v>17.594999999999999</v>
      </c>
      <c r="R68" s="1144">
        <v>35.19</v>
      </c>
      <c r="S68" s="1145">
        <v>0.63341999999999998</v>
      </c>
      <c r="T68" s="1804"/>
      <c r="U68" s="1146">
        <v>3.6949500000000003E-2</v>
      </c>
      <c r="V68" s="653">
        <f t="shared" si="13"/>
        <v>0</v>
      </c>
      <c r="W68" s="322">
        <f t="shared" si="14"/>
        <v>0</v>
      </c>
      <c r="X68" s="653" t="e">
        <f>(#REF!*N68/$G$171)</f>
        <v>#REF!</v>
      </c>
      <c r="Y68" s="322">
        <f t="shared" si="9"/>
        <v>0</v>
      </c>
      <c r="Z68" s="653">
        <f t="shared" si="10"/>
        <v>0</v>
      </c>
      <c r="AA68" s="322">
        <f t="shared" si="15"/>
        <v>0</v>
      </c>
      <c r="AB68" s="322">
        <f t="shared" si="16"/>
        <v>0</v>
      </c>
      <c r="AC68" s="654">
        <f t="shared" si="17"/>
        <v>0</v>
      </c>
      <c r="AD68" s="1379">
        <f t="shared" si="19"/>
        <v>0</v>
      </c>
      <c r="AE68" s="654">
        <f t="shared" si="18"/>
        <v>0</v>
      </c>
      <c r="AF68" s="70"/>
    </row>
    <row r="69" spans="1:36" s="126" customFormat="1" ht="21" hidden="1" customHeight="1" thickBot="1" x14ac:dyDescent="0.25">
      <c r="A69" s="332"/>
      <c r="B69" s="1097" t="s">
        <v>323</v>
      </c>
      <c r="C69" s="1278"/>
      <c r="D69" s="1119"/>
      <c r="E69" s="1947"/>
      <c r="F69" s="1160" t="s">
        <v>190</v>
      </c>
      <c r="G69" s="332"/>
      <c r="H69" s="2151"/>
      <c r="I69" s="1125">
        <f t="shared" si="12"/>
        <v>0</v>
      </c>
      <c r="J69" s="1136"/>
      <c r="K69" s="1125"/>
      <c r="L69" s="1128">
        <v>8.6801999999999992</v>
      </c>
      <c r="M69" s="1129">
        <v>35.541899999999998</v>
      </c>
      <c r="N69" s="1163"/>
      <c r="O69" s="1510">
        <v>100.878</v>
      </c>
      <c r="P69" s="1511">
        <v>1.1847300000000001</v>
      </c>
      <c r="Q69" s="1132">
        <v>17.594999999999999</v>
      </c>
      <c r="R69" s="1132">
        <v>35.19</v>
      </c>
      <c r="S69" s="1133">
        <v>0.63341999999999998</v>
      </c>
      <c r="T69" s="1801"/>
      <c r="U69" s="1134">
        <v>3.6949500000000003E-2</v>
      </c>
      <c r="V69" s="653">
        <f t="shared" si="13"/>
        <v>0</v>
      </c>
      <c r="W69" s="322">
        <f t="shared" si="14"/>
        <v>0</v>
      </c>
      <c r="X69" s="653" t="e">
        <f>(#REF!*N69/$G$171)</f>
        <v>#REF!</v>
      </c>
      <c r="Y69" s="322">
        <f t="shared" si="9"/>
        <v>0</v>
      </c>
      <c r="Z69" s="653">
        <f t="shared" si="10"/>
        <v>0</v>
      </c>
      <c r="AA69" s="322">
        <f t="shared" si="15"/>
        <v>0</v>
      </c>
      <c r="AB69" s="322">
        <f t="shared" si="16"/>
        <v>0</v>
      </c>
      <c r="AC69" s="654">
        <f t="shared" si="17"/>
        <v>0</v>
      </c>
      <c r="AD69" s="1379">
        <f t="shared" si="19"/>
        <v>0</v>
      </c>
      <c r="AE69" s="654">
        <f t="shared" si="18"/>
        <v>0</v>
      </c>
      <c r="AF69" s="190"/>
    </row>
    <row r="70" spans="1:36" s="126" customFormat="1" ht="21" hidden="1" customHeight="1" thickBot="1" x14ac:dyDescent="0.25">
      <c r="A70" s="332"/>
      <c r="B70" s="1099" t="s">
        <v>323</v>
      </c>
      <c r="C70" s="1278"/>
      <c r="D70" s="1119"/>
      <c r="E70" s="1947"/>
      <c r="F70" s="1160" t="s">
        <v>190</v>
      </c>
      <c r="G70" s="332"/>
      <c r="H70" s="2151"/>
      <c r="I70" s="1125">
        <f t="shared" ref="I70:I101" si="20">G70*I$171/$G$171</f>
        <v>0</v>
      </c>
      <c r="J70" s="1136"/>
      <c r="K70" s="1125"/>
      <c r="L70" s="1128">
        <v>10.908900000000001</v>
      </c>
      <c r="M70" s="1129"/>
      <c r="N70" s="1163"/>
      <c r="O70" s="1510">
        <v>98.531999999999996</v>
      </c>
      <c r="P70" s="1511">
        <v>1.14954</v>
      </c>
      <c r="Q70" s="1132"/>
      <c r="R70" s="1132">
        <v>30.498000000000001</v>
      </c>
      <c r="S70" s="1133">
        <v>0.60995999999999995</v>
      </c>
      <c r="T70" s="1801"/>
      <c r="U70" s="1134"/>
      <c r="V70" s="653">
        <f t="shared" ref="V70:V101" si="21">(G70*L70/$G$171)</f>
        <v>0</v>
      </c>
      <c r="W70" s="322">
        <f t="shared" ref="W70:W101" si="22">(G70*M70/$G$171)</f>
        <v>0</v>
      </c>
      <c r="X70" s="653" t="e">
        <f>(#REF!*N70/$G$171)</f>
        <v>#REF!</v>
      </c>
      <c r="Y70" s="322">
        <f t="shared" si="9"/>
        <v>0</v>
      </c>
      <c r="Z70" s="653">
        <f t="shared" si="10"/>
        <v>0</v>
      </c>
      <c r="AA70" s="322">
        <f t="shared" ref="AA70:AA101" si="23">(G70*Q70/$G$171)</f>
        <v>0</v>
      </c>
      <c r="AB70" s="322">
        <f t="shared" ref="AB70:AB101" si="24">(G70*R70/$G$171)</f>
        <v>0</v>
      </c>
      <c r="AC70" s="654">
        <f t="shared" ref="AC70:AC101" si="25">(G70*S70/$G$171)</f>
        <v>0</v>
      </c>
      <c r="AD70" s="1379">
        <f t="shared" si="19"/>
        <v>0</v>
      </c>
      <c r="AE70" s="654">
        <f t="shared" ref="AE70:AE101" si="26">(G70*U70/$G$171)</f>
        <v>0</v>
      </c>
      <c r="AF70" s="190"/>
    </row>
    <row r="71" spans="1:36" s="126" customFormat="1" ht="21" hidden="1" customHeight="1" thickBot="1" x14ac:dyDescent="0.25">
      <c r="A71" s="1085"/>
      <c r="B71" s="1099" t="s">
        <v>325</v>
      </c>
      <c r="C71" s="1306">
        <v>15805.013730000001</v>
      </c>
      <c r="D71" s="1118"/>
      <c r="E71" s="1946"/>
      <c r="F71" s="1157" t="s">
        <v>190</v>
      </c>
      <c r="G71" s="1085"/>
      <c r="H71" s="2160">
        <v>0</v>
      </c>
      <c r="I71" s="1238">
        <f t="shared" si="20"/>
        <v>0</v>
      </c>
      <c r="J71" s="1237">
        <f>SUM(I71:I75)</f>
        <v>0</v>
      </c>
      <c r="K71" s="1139" t="str">
        <f>IF(J71=0," ",H71/J71)</f>
        <v xml:space="preserve"> </v>
      </c>
      <c r="L71" s="1140">
        <v>4.1055000000000001</v>
      </c>
      <c r="M71" s="1141">
        <v>43.870199999999997</v>
      </c>
      <c r="N71" s="1141"/>
      <c r="O71" s="1512">
        <v>111.435</v>
      </c>
      <c r="P71" s="1513">
        <v>1.0439700000000001</v>
      </c>
      <c r="Q71" s="1144">
        <v>23.46</v>
      </c>
      <c r="R71" s="1144">
        <v>49.265999999999998</v>
      </c>
      <c r="S71" s="1145">
        <v>0.42227999999999999</v>
      </c>
      <c r="T71" s="1804"/>
      <c r="U71" s="1146">
        <v>4.6920000000000002E-4</v>
      </c>
      <c r="V71" s="653">
        <f t="shared" si="21"/>
        <v>0</v>
      </c>
      <c r="W71" s="322">
        <f t="shared" si="22"/>
        <v>0</v>
      </c>
      <c r="X71" s="653" t="e">
        <f>(#REF!*N71/$G$171)</f>
        <v>#REF!</v>
      </c>
      <c r="Y71" s="322">
        <f t="shared" si="9"/>
        <v>0</v>
      </c>
      <c r="Z71" s="653">
        <f t="shared" si="10"/>
        <v>0</v>
      </c>
      <c r="AA71" s="322">
        <f t="shared" si="23"/>
        <v>0</v>
      </c>
      <c r="AB71" s="322">
        <f t="shared" si="24"/>
        <v>0</v>
      </c>
      <c r="AC71" s="654">
        <f t="shared" si="25"/>
        <v>0</v>
      </c>
      <c r="AD71" s="1379">
        <f t="shared" si="19"/>
        <v>0</v>
      </c>
      <c r="AE71" s="654">
        <f t="shared" si="26"/>
        <v>0</v>
      </c>
      <c r="AF71" s="70"/>
    </row>
    <row r="72" spans="1:36" s="126" customFormat="1" ht="21" hidden="1" customHeight="1" thickBot="1" x14ac:dyDescent="0.25">
      <c r="A72" s="332"/>
      <c r="B72" s="1086" t="s">
        <v>325</v>
      </c>
      <c r="C72" s="1278"/>
      <c r="D72" s="1279"/>
      <c r="E72" s="1944"/>
      <c r="F72" s="1160" t="s">
        <v>190</v>
      </c>
      <c r="G72" s="332"/>
      <c r="H72" s="2151"/>
      <c r="I72" s="1125">
        <f t="shared" si="20"/>
        <v>0</v>
      </c>
      <c r="J72" s="1136"/>
      <c r="K72" s="1125"/>
      <c r="L72" s="1128">
        <v>4.1055000000000001</v>
      </c>
      <c r="M72" s="1129">
        <v>43.635600000000004</v>
      </c>
      <c r="N72" s="1129"/>
      <c r="O72" s="1510">
        <v>113.78100000000001</v>
      </c>
      <c r="P72" s="1511">
        <v>1.02051</v>
      </c>
      <c r="Q72" s="1132">
        <v>28.152000000000001</v>
      </c>
      <c r="R72" s="1132">
        <v>44.573999999999998</v>
      </c>
      <c r="S72" s="1133">
        <v>0.43401000000000001</v>
      </c>
      <c r="T72" s="1801"/>
      <c r="U72" s="1134">
        <v>4.6920000000000002E-4</v>
      </c>
      <c r="V72" s="653">
        <f t="shared" si="21"/>
        <v>0</v>
      </c>
      <c r="W72" s="322">
        <f t="shared" si="22"/>
        <v>0</v>
      </c>
      <c r="X72" s="653" t="e">
        <f>(#REF!*N72/$G$171)</f>
        <v>#REF!</v>
      </c>
      <c r="Y72" s="322">
        <f t="shared" si="9"/>
        <v>0</v>
      </c>
      <c r="Z72" s="653">
        <f t="shared" si="10"/>
        <v>0</v>
      </c>
      <c r="AA72" s="322">
        <f t="shared" si="23"/>
        <v>0</v>
      </c>
      <c r="AB72" s="322">
        <f t="shared" si="24"/>
        <v>0</v>
      </c>
      <c r="AC72" s="654">
        <f t="shared" si="25"/>
        <v>0</v>
      </c>
      <c r="AD72" s="1379">
        <f t="shared" si="19"/>
        <v>0</v>
      </c>
      <c r="AE72" s="654">
        <f t="shared" si="26"/>
        <v>0</v>
      </c>
      <c r="AF72" s="70"/>
    </row>
    <row r="73" spans="1:36" s="126" customFormat="1" ht="21.75" hidden="1" customHeight="1" thickBot="1" x14ac:dyDescent="0.25">
      <c r="A73" s="1091"/>
      <c r="B73" s="1086" t="s">
        <v>325</v>
      </c>
      <c r="C73" s="1836"/>
      <c r="D73" s="1863"/>
      <c r="E73" s="1952"/>
      <c r="F73" s="1181" t="s">
        <v>190</v>
      </c>
      <c r="G73" s="1091"/>
      <c r="H73" s="2159"/>
      <c r="I73" s="1148">
        <f t="shared" si="20"/>
        <v>0</v>
      </c>
      <c r="J73" s="406"/>
      <c r="K73" s="1148"/>
      <c r="L73" s="1150">
        <v>3.7536</v>
      </c>
      <c r="M73" s="1151">
        <v>43.518300000000004</v>
      </c>
      <c r="N73" s="1151"/>
      <c r="O73" s="1516">
        <v>113.78100000000001</v>
      </c>
      <c r="P73" s="1517">
        <v>1.02051</v>
      </c>
      <c r="Q73" s="1154">
        <v>37.536000000000001</v>
      </c>
      <c r="R73" s="1154">
        <v>49.265999999999998</v>
      </c>
      <c r="S73" s="1155">
        <v>0.42227999999999999</v>
      </c>
      <c r="T73" s="1801"/>
      <c r="U73" s="1134">
        <v>4.6920000000000002E-4</v>
      </c>
      <c r="V73" s="653">
        <f t="shared" si="21"/>
        <v>0</v>
      </c>
      <c r="W73" s="322">
        <f t="shared" si="22"/>
        <v>0</v>
      </c>
      <c r="X73" s="653" t="e">
        <f>(#REF!*N73/$G$171)</f>
        <v>#REF!</v>
      </c>
      <c r="Y73" s="322">
        <f t="shared" si="9"/>
        <v>0</v>
      </c>
      <c r="Z73" s="653">
        <f t="shared" si="10"/>
        <v>0</v>
      </c>
      <c r="AA73" s="322">
        <f t="shared" si="23"/>
        <v>0</v>
      </c>
      <c r="AB73" s="322">
        <f t="shared" si="24"/>
        <v>0</v>
      </c>
      <c r="AC73" s="654">
        <f t="shared" si="25"/>
        <v>0</v>
      </c>
      <c r="AD73" s="1379">
        <f t="shared" si="19"/>
        <v>0</v>
      </c>
      <c r="AE73" s="654">
        <f t="shared" si="26"/>
        <v>0</v>
      </c>
      <c r="AF73" s="70"/>
    </row>
    <row r="74" spans="1:36" s="126" customFormat="1" ht="21" hidden="1" customHeight="1" thickBot="1" x14ac:dyDescent="0.25">
      <c r="A74" s="2161"/>
      <c r="B74" s="1097" t="s">
        <v>207</v>
      </c>
      <c r="C74" s="1836"/>
      <c r="D74" s="1864"/>
      <c r="E74" s="1949"/>
      <c r="F74" s="1181" t="s">
        <v>190</v>
      </c>
      <c r="G74" s="1091"/>
      <c r="H74" s="2159"/>
      <c r="I74" s="1148">
        <f t="shared" si="20"/>
        <v>0</v>
      </c>
      <c r="J74" s="406"/>
      <c r="K74" s="1148"/>
      <c r="L74" s="1150">
        <v>7.7417999999999996</v>
      </c>
      <c r="M74" s="1151">
        <v>40.703100000000006</v>
      </c>
      <c r="N74" s="1151"/>
      <c r="O74" s="1516">
        <v>110.262</v>
      </c>
      <c r="P74" s="1517">
        <v>1.03224</v>
      </c>
      <c r="Q74" s="1154">
        <v>9.3840000000000003</v>
      </c>
      <c r="R74" s="1154">
        <v>42.228000000000002</v>
      </c>
      <c r="S74" s="1155">
        <v>0.56303999999999998</v>
      </c>
      <c r="T74" s="1803"/>
      <c r="U74" s="1156"/>
      <c r="V74" s="653">
        <f t="shared" si="21"/>
        <v>0</v>
      </c>
      <c r="W74" s="322">
        <f t="shared" si="22"/>
        <v>0</v>
      </c>
      <c r="X74" s="653" t="e">
        <f>(#REF!*N74/$G$171)</f>
        <v>#REF!</v>
      </c>
      <c r="Y74" s="322">
        <f t="shared" si="9"/>
        <v>0</v>
      </c>
      <c r="Z74" s="653">
        <f t="shared" si="10"/>
        <v>0</v>
      </c>
      <c r="AA74" s="322">
        <f t="shared" si="23"/>
        <v>0</v>
      </c>
      <c r="AB74" s="322">
        <f t="shared" si="24"/>
        <v>0</v>
      </c>
      <c r="AC74" s="654">
        <f t="shared" si="25"/>
        <v>0</v>
      </c>
      <c r="AD74" s="1379">
        <f t="shared" si="19"/>
        <v>0</v>
      </c>
      <c r="AE74" s="654">
        <f t="shared" si="26"/>
        <v>0</v>
      </c>
      <c r="AF74" s="190"/>
    </row>
    <row r="75" spans="1:36" s="126" customFormat="1" ht="21" hidden="1" customHeight="1" thickBot="1" x14ac:dyDescent="0.25">
      <c r="A75" s="1096"/>
      <c r="B75" s="1097" t="s">
        <v>207</v>
      </c>
      <c r="C75" s="1836"/>
      <c r="D75" s="1864"/>
      <c r="E75" s="1949"/>
      <c r="F75" s="1181" t="s">
        <v>190</v>
      </c>
      <c r="G75" s="1091"/>
      <c r="H75" s="2159"/>
      <c r="I75" s="1148">
        <f t="shared" si="20"/>
        <v>0</v>
      </c>
      <c r="J75" s="406"/>
      <c r="K75" s="1148"/>
      <c r="L75" s="1150">
        <v>7.5072000000000001</v>
      </c>
      <c r="M75" s="1151"/>
      <c r="N75" s="1184"/>
      <c r="O75" s="1510">
        <v>98.531999999999996</v>
      </c>
      <c r="P75" s="1511">
        <v>1.02051</v>
      </c>
      <c r="Q75" s="1132"/>
      <c r="R75" s="1154">
        <v>42.228000000000002</v>
      </c>
      <c r="S75" s="1155">
        <v>0.60995999999999995</v>
      </c>
      <c r="T75" s="1803"/>
      <c r="U75" s="1156"/>
      <c r="V75" s="653">
        <f t="shared" si="21"/>
        <v>0</v>
      </c>
      <c r="W75" s="322">
        <f t="shared" si="22"/>
        <v>0</v>
      </c>
      <c r="X75" s="653" t="e">
        <f>(#REF!*N75/$G$171)</f>
        <v>#REF!</v>
      </c>
      <c r="Y75" s="322">
        <f t="shared" si="9"/>
        <v>0</v>
      </c>
      <c r="Z75" s="653">
        <f t="shared" si="10"/>
        <v>0</v>
      </c>
      <c r="AA75" s="322">
        <f t="shared" si="23"/>
        <v>0</v>
      </c>
      <c r="AB75" s="322">
        <f t="shared" si="24"/>
        <v>0</v>
      </c>
      <c r="AC75" s="654">
        <f t="shared" si="25"/>
        <v>0</v>
      </c>
      <c r="AD75" s="1379">
        <f t="shared" si="19"/>
        <v>0</v>
      </c>
      <c r="AE75" s="654">
        <f t="shared" si="26"/>
        <v>0</v>
      </c>
      <c r="AF75" s="190"/>
    </row>
    <row r="76" spans="1:36" s="126" customFormat="1" ht="21" hidden="1" customHeight="1" thickBot="1" x14ac:dyDescent="0.25">
      <c r="A76" s="1085"/>
      <c r="B76" s="1099" t="s">
        <v>210</v>
      </c>
      <c r="C76" s="1306">
        <v>13632.066419999999</v>
      </c>
      <c r="D76" s="1862"/>
      <c r="E76" s="1946">
        <v>0</v>
      </c>
      <c r="F76" s="1157" t="s">
        <v>4</v>
      </c>
      <c r="G76" s="1085"/>
      <c r="H76" s="2158">
        <v>0</v>
      </c>
      <c r="I76" s="1139">
        <f t="shared" si="20"/>
        <v>0</v>
      </c>
      <c r="J76" s="1159">
        <f>SUM(I76:I79)</f>
        <v>0</v>
      </c>
      <c r="K76" s="1139" t="str">
        <f>IF(J76=0," ",H76/J76)</f>
        <v xml:space="preserve"> </v>
      </c>
      <c r="L76" s="1140">
        <v>8.7974999999999994</v>
      </c>
      <c r="M76" s="1141">
        <v>36.011099999999999</v>
      </c>
      <c r="N76" s="1197"/>
      <c r="O76" s="1512">
        <v>92.667000000000002</v>
      </c>
      <c r="P76" s="1513">
        <v>1.1765189999999999</v>
      </c>
      <c r="Q76" s="1144">
        <v>34.017000000000003</v>
      </c>
      <c r="R76" s="1144">
        <v>25.806000000000001</v>
      </c>
      <c r="S76" s="1145">
        <v>0.72726000000000002</v>
      </c>
      <c r="T76" s="1801">
        <v>0.23694600000000002</v>
      </c>
      <c r="U76" s="1134"/>
      <c r="V76" s="653">
        <f t="shared" si="21"/>
        <v>0</v>
      </c>
      <c r="W76" s="322">
        <f t="shared" si="22"/>
        <v>0</v>
      </c>
      <c r="X76" s="653" t="e">
        <f>(#REF!*N76/$G$171)</f>
        <v>#REF!</v>
      </c>
      <c r="Y76" s="322">
        <f t="shared" si="9"/>
        <v>0</v>
      </c>
      <c r="Z76" s="653">
        <f t="shared" si="10"/>
        <v>0</v>
      </c>
      <c r="AA76" s="322">
        <f t="shared" si="23"/>
        <v>0</v>
      </c>
      <c r="AB76" s="322">
        <f t="shared" si="24"/>
        <v>0</v>
      </c>
      <c r="AC76" s="654">
        <f t="shared" si="25"/>
        <v>0</v>
      </c>
      <c r="AD76" s="654">
        <f t="shared" si="19"/>
        <v>0</v>
      </c>
      <c r="AE76" s="654">
        <f t="shared" si="26"/>
        <v>0</v>
      </c>
      <c r="AF76" s="70"/>
    </row>
    <row r="77" spans="1:36" s="126" customFormat="1" ht="21" hidden="1" customHeight="1" thickBot="1" x14ac:dyDescent="0.25">
      <c r="A77" s="332"/>
      <c r="B77" s="1086" t="s">
        <v>210</v>
      </c>
      <c r="C77" s="1278">
        <v>13142.890230000001</v>
      </c>
      <c r="D77" s="1279"/>
      <c r="E77" s="1944"/>
      <c r="F77" s="1160" t="s">
        <v>190</v>
      </c>
      <c r="G77" s="332"/>
      <c r="H77" s="1162"/>
      <c r="I77" s="1125">
        <f t="shared" si="20"/>
        <v>0</v>
      </c>
      <c r="J77" s="1136"/>
      <c r="K77" s="1125"/>
      <c r="L77" s="1128">
        <v>8.7974999999999994</v>
      </c>
      <c r="M77" s="1129">
        <v>36.011099999999999</v>
      </c>
      <c r="N77" s="1163"/>
      <c r="O77" s="1510">
        <v>92.667000000000002</v>
      </c>
      <c r="P77" s="1511">
        <v>1.1765189999999999</v>
      </c>
      <c r="Q77" s="1132">
        <v>34.017000000000003</v>
      </c>
      <c r="R77" s="1132">
        <v>25.806000000000001</v>
      </c>
      <c r="S77" s="1133">
        <v>0.72726000000000002</v>
      </c>
      <c r="T77" s="1801">
        <v>0.24632999999999999</v>
      </c>
      <c r="U77" s="1134"/>
      <c r="V77" s="1917">
        <f t="shared" si="21"/>
        <v>0</v>
      </c>
      <c r="W77" s="1918">
        <f t="shared" si="22"/>
        <v>0</v>
      </c>
      <c r="X77" s="1917" t="e">
        <f>(#REF!*N77/$G$171)</f>
        <v>#REF!</v>
      </c>
      <c r="Y77" s="1918">
        <f t="shared" si="9"/>
        <v>0</v>
      </c>
      <c r="Z77" s="1917">
        <f t="shared" si="10"/>
        <v>0</v>
      </c>
      <c r="AA77" s="1918">
        <f t="shared" si="23"/>
        <v>0</v>
      </c>
      <c r="AB77" s="1918">
        <f t="shared" si="24"/>
        <v>0</v>
      </c>
      <c r="AC77" s="1919">
        <f t="shared" si="25"/>
        <v>0</v>
      </c>
      <c r="AD77" s="1919">
        <f t="shared" si="19"/>
        <v>0</v>
      </c>
      <c r="AE77" s="1919">
        <f t="shared" si="26"/>
        <v>0</v>
      </c>
      <c r="AF77" s="2162"/>
    </row>
    <row r="78" spans="1:36" s="126" customFormat="1" ht="21" hidden="1" customHeight="1" thickBot="1" x14ac:dyDescent="0.25">
      <c r="A78" s="332"/>
      <c r="B78" s="1086" t="s">
        <v>326</v>
      </c>
      <c r="C78" s="1278"/>
      <c r="D78" s="1119"/>
      <c r="E78" s="1947"/>
      <c r="F78" s="1160" t="s">
        <v>190</v>
      </c>
      <c r="G78" s="332"/>
      <c r="H78" s="1162"/>
      <c r="I78" s="1125">
        <f t="shared" si="20"/>
        <v>0</v>
      </c>
      <c r="J78" s="1136"/>
      <c r="K78" s="2163"/>
      <c r="L78" s="1128">
        <v>10.2051</v>
      </c>
      <c r="M78" s="1129"/>
      <c r="N78" s="1163"/>
      <c r="O78" s="1510">
        <v>92.667000000000002</v>
      </c>
      <c r="P78" s="1511">
        <v>1.11435</v>
      </c>
      <c r="Q78" s="1132"/>
      <c r="R78" s="1132">
        <v>36.363</v>
      </c>
      <c r="S78" s="1133">
        <v>0.62168999999999996</v>
      </c>
      <c r="T78" s="1801"/>
      <c r="U78" s="1134"/>
      <c r="V78" s="653">
        <f t="shared" si="21"/>
        <v>0</v>
      </c>
      <c r="W78" s="322">
        <f t="shared" si="22"/>
        <v>0</v>
      </c>
      <c r="X78" s="653" t="e">
        <f>(#REF!*N78/$G$171)</f>
        <v>#REF!</v>
      </c>
      <c r="Y78" s="322">
        <f t="shared" si="9"/>
        <v>0</v>
      </c>
      <c r="Z78" s="653">
        <f t="shared" si="10"/>
        <v>0</v>
      </c>
      <c r="AA78" s="322">
        <f t="shared" si="23"/>
        <v>0</v>
      </c>
      <c r="AB78" s="322">
        <f t="shared" si="24"/>
        <v>0</v>
      </c>
      <c r="AC78" s="654">
        <f t="shared" si="25"/>
        <v>0</v>
      </c>
      <c r="AD78" s="1379">
        <f t="shared" si="19"/>
        <v>0</v>
      </c>
      <c r="AE78" s="654">
        <f t="shared" si="26"/>
        <v>0</v>
      </c>
      <c r="AF78" s="190"/>
    </row>
    <row r="79" spans="1:36" s="126" customFormat="1" ht="21" hidden="1" customHeight="1" thickBot="1" x14ac:dyDescent="0.25">
      <c r="A79" s="1091"/>
      <c r="B79" s="1100" t="s">
        <v>326</v>
      </c>
      <c r="C79" s="1836"/>
      <c r="D79" s="1121"/>
      <c r="E79" s="1949"/>
      <c r="F79" s="1181" t="s">
        <v>190</v>
      </c>
      <c r="G79" s="1091"/>
      <c r="H79" s="1182"/>
      <c r="I79" s="406">
        <f t="shared" si="20"/>
        <v>0</v>
      </c>
      <c r="J79" s="1100"/>
      <c r="K79" s="2164"/>
      <c r="L79" s="1150">
        <v>10.3224</v>
      </c>
      <c r="M79" s="1151"/>
      <c r="N79" s="1184"/>
      <c r="O79" s="1516">
        <v>104.39700000000001</v>
      </c>
      <c r="P79" s="1517">
        <v>1.12608</v>
      </c>
      <c r="Q79" s="1154"/>
      <c r="R79" s="1154">
        <v>39.881999999999998</v>
      </c>
      <c r="S79" s="1155">
        <v>0.60995999999999995</v>
      </c>
      <c r="T79" s="1801"/>
      <c r="U79" s="1134"/>
      <c r="V79" s="653">
        <f t="shared" si="21"/>
        <v>0</v>
      </c>
      <c r="W79" s="322">
        <f t="shared" si="22"/>
        <v>0</v>
      </c>
      <c r="X79" s="653" t="e">
        <f>(#REF!*N79/$G$171)</f>
        <v>#REF!</v>
      </c>
      <c r="Y79" s="322">
        <f t="shared" si="9"/>
        <v>0</v>
      </c>
      <c r="Z79" s="653">
        <f t="shared" si="10"/>
        <v>0</v>
      </c>
      <c r="AA79" s="322">
        <f t="shared" si="23"/>
        <v>0</v>
      </c>
      <c r="AB79" s="322">
        <f t="shared" si="24"/>
        <v>0</v>
      </c>
      <c r="AC79" s="654">
        <f t="shared" si="25"/>
        <v>0</v>
      </c>
      <c r="AD79" s="1379">
        <f t="shared" si="19"/>
        <v>0</v>
      </c>
      <c r="AE79" s="654">
        <f t="shared" si="26"/>
        <v>0</v>
      </c>
      <c r="AF79" s="190"/>
      <c r="AG79" s="125"/>
      <c r="AH79" s="125"/>
      <c r="AI79" s="125"/>
      <c r="AJ79" s="125"/>
    </row>
    <row r="80" spans="1:36" s="126" customFormat="1" ht="19.5" hidden="1" customHeight="1" thickBot="1" x14ac:dyDescent="0.25">
      <c r="A80" s="1098"/>
      <c r="B80" s="1094" t="s">
        <v>213</v>
      </c>
      <c r="C80" s="1306"/>
      <c r="D80" s="1116"/>
      <c r="E80" s="1946"/>
      <c r="F80" s="1157" t="s">
        <v>190</v>
      </c>
      <c r="G80" s="1085"/>
      <c r="H80" s="1158"/>
      <c r="I80" s="1139">
        <f t="shared" si="20"/>
        <v>0</v>
      </c>
      <c r="J80" s="1159">
        <f>SUM(I80:I83)</f>
        <v>0</v>
      </c>
      <c r="K80" s="1139" t="str">
        <f>IF(J80=0," ",H80/J80)</f>
        <v xml:space="preserve"> </v>
      </c>
      <c r="L80" s="1140">
        <v>11.026199999999999</v>
      </c>
      <c r="M80" s="1141">
        <v>34.134300000000003</v>
      </c>
      <c r="N80" s="1141"/>
      <c r="O80" s="1512">
        <v>73.899000000000001</v>
      </c>
      <c r="P80" s="1513">
        <v>1.11435</v>
      </c>
      <c r="Q80" s="1144">
        <v>57.476999999999997</v>
      </c>
      <c r="R80" s="1144">
        <v>22.286999999999999</v>
      </c>
      <c r="S80" s="1145">
        <v>0.50439000000000001</v>
      </c>
      <c r="T80" s="1804"/>
      <c r="U80" s="1146"/>
      <c r="V80" s="653">
        <f t="shared" si="21"/>
        <v>0</v>
      </c>
      <c r="W80" s="322">
        <f t="shared" si="22"/>
        <v>0</v>
      </c>
      <c r="X80" s="653" t="e">
        <f>(#REF!*N80/$G$171)</f>
        <v>#REF!</v>
      </c>
      <c r="Y80" s="322">
        <f t="shared" si="9"/>
        <v>0</v>
      </c>
      <c r="Z80" s="653">
        <f t="shared" si="10"/>
        <v>0</v>
      </c>
      <c r="AA80" s="322">
        <f t="shared" si="23"/>
        <v>0</v>
      </c>
      <c r="AB80" s="322">
        <f t="shared" si="24"/>
        <v>0</v>
      </c>
      <c r="AC80" s="654">
        <f t="shared" si="25"/>
        <v>0</v>
      </c>
      <c r="AD80" s="1379">
        <f t="shared" si="19"/>
        <v>0</v>
      </c>
      <c r="AE80" s="654">
        <f t="shared" si="26"/>
        <v>0</v>
      </c>
      <c r="AF80" s="190"/>
      <c r="AG80" s="125"/>
      <c r="AH80" s="125"/>
      <c r="AI80" s="125"/>
      <c r="AJ80" s="125"/>
    </row>
    <row r="81" spans="1:36" s="126" customFormat="1" ht="21.75" hidden="1" customHeight="1" thickBot="1" x14ac:dyDescent="0.25">
      <c r="A81" s="2153"/>
      <c r="B81" s="1086" t="s">
        <v>213</v>
      </c>
      <c r="C81" s="1278"/>
      <c r="D81" s="1876"/>
      <c r="E81" s="1947"/>
      <c r="F81" s="1160"/>
      <c r="G81" s="332"/>
      <c r="H81" s="1162"/>
      <c r="I81" s="1125">
        <f t="shared" si="20"/>
        <v>0</v>
      </c>
      <c r="J81" s="1136"/>
      <c r="K81" s="1125"/>
      <c r="L81" s="1128">
        <v>10.4397</v>
      </c>
      <c r="M81" s="1129">
        <v>32.3748</v>
      </c>
      <c r="N81" s="1129"/>
      <c r="O81" s="1510">
        <v>71.552999999999997</v>
      </c>
      <c r="P81" s="1511">
        <v>1.11435</v>
      </c>
      <c r="Q81" s="1132">
        <v>57.476999999999997</v>
      </c>
      <c r="R81" s="1132">
        <v>22.286999999999999</v>
      </c>
      <c r="S81" s="1133">
        <v>0.50439000000000001</v>
      </c>
      <c r="T81" s="1801"/>
      <c r="U81" s="1134"/>
      <c r="V81" s="653">
        <f t="shared" si="21"/>
        <v>0</v>
      </c>
      <c r="W81" s="322">
        <f t="shared" si="22"/>
        <v>0</v>
      </c>
      <c r="X81" s="653" t="e">
        <f>(#REF!*N81/$G$171)</f>
        <v>#REF!</v>
      </c>
      <c r="Y81" s="322">
        <f t="shared" si="9"/>
        <v>0</v>
      </c>
      <c r="Z81" s="653">
        <f t="shared" si="10"/>
        <v>0</v>
      </c>
      <c r="AA81" s="322">
        <f t="shared" si="23"/>
        <v>0</v>
      </c>
      <c r="AB81" s="322">
        <f t="shared" si="24"/>
        <v>0</v>
      </c>
      <c r="AC81" s="654">
        <f t="shared" si="25"/>
        <v>0</v>
      </c>
      <c r="AD81" s="1379">
        <f t="shared" si="19"/>
        <v>0</v>
      </c>
      <c r="AE81" s="654">
        <f t="shared" si="26"/>
        <v>0</v>
      </c>
      <c r="AF81" s="190"/>
      <c r="AG81" s="125"/>
      <c r="AH81" s="125"/>
      <c r="AI81" s="125"/>
      <c r="AJ81" s="125"/>
    </row>
    <row r="82" spans="1:36" s="126" customFormat="1" ht="21.75" hidden="1" customHeight="1" thickBot="1" x14ac:dyDescent="0.25">
      <c r="A82" s="332"/>
      <c r="B82" s="1086" t="s">
        <v>213</v>
      </c>
      <c r="C82" s="1278"/>
      <c r="D82" s="1876"/>
      <c r="E82" s="1947"/>
      <c r="F82" s="1160" t="s">
        <v>217</v>
      </c>
      <c r="G82" s="332"/>
      <c r="H82" s="1162"/>
      <c r="I82" s="1125">
        <f t="shared" si="20"/>
        <v>0</v>
      </c>
      <c r="J82" s="1136"/>
      <c r="K82" s="1125"/>
      <c r="L82" s="1128">
        <v>8.4456000000000007</v>
      </c>
      <c r="M82" s="1129">
        <v>32.3748</v>
      </c>
      <c r="N82" s="1129"/>
      <c r="O82" s="1510">
        <v>73.899000000000001</v>
      </c>
      <c r="P82" s="1511">
        <v>1.16127</v>
      </c>
      <c r="Q82" s="1132">
        <v>50.439</v>
      </c>
      <c r="R82" s="1132">
        <v>21.114000000000001</v>
      </c>
      <c r="S82" s="1133">
        <v>0.37536000000000003</v>
      </c>
      <c r="T82" s="1801"/>
      <c r="U82" s="1134"/>
      <c r="V82" s="653">
        <f t="shared" si="21"/>
        <v>0</v>
      </c>
      <c r="W82" s="322">
        <f t="shared" si="22"/>
        <v>0</v>
      </c>
      <c r="X82" s="653" t="e">
        <f>(#REF!*N82/$G$171)</f>
        <v>#REF!</v>
      </c>
      <c r="Y82" s="322">
        <f t="shared" si="9"/>
        <v>0</v>
      </c>
      <c r="Z82" s="653">
        <f t="shared" si="10"/>
        <v>0</v>
      </c>
      <c r="AA82" s="322">
        <f t="shared" si="23"/>
        <v>0</v>
      </c>
      <c r="AB82" s="322">
        <f t="shared" si="24"/>
        <v>0</v>
      </c>
      <c r="AC82" s="654">
        <f t="shared" si="25"/>
        <v>0</v>
      </c>
      <c r="AD82" s="1379">
        <f t="shared" si="19"/>
        <v>0</v>
      </c>
      <c r="AE82" s="654">
        <f t="shared" si="26"/>
        <v>0</v>
      </c>
      <c r="AF82" s="190"/>
      <c r="AG82" s="125"/>
      <c r="AH82" s="125"/>
      <c r="AI82" s="125"/>
      <c r="AJ82" s="125"/>
    </row>
    <row r="83" spans="1:36" s="126" customFormat="1" ht="21" hidden="1" customHeight="1" thickBot="1" x14ac:dyDescent="0.25">
      <c r="A83" s="1091"/>
      <c r="B83" s="1100" t="s">
        <v>213</v>
      </c>
      <c r="C83" s="1278"/>
      <c r="D83" s="1876"/>
      <c r="E83" s="1947"/>
      <c r="F83" s="1181" t="s">
        <v>217</v>
      </c>
      <c r="G83" s="1091"/>
      <c r="H83" s="1182"/>
      <c r="I83" s="406">
        <f t="shared" si="20"/>
        <v>0</v>
      </c>
      <c r="J83" s="1148"/>
      <c r="K83" s="406"/>
      <c r="L83" s="1150">
        <v>10.4397</v>
      </c>
      <c r="M83" s="1151"/>
      <c r="N83" s="1151"/>
      <c r="O83" s="1516">
        <v>71.552999999999997</v>
      </c>
      <c r="P83" s="1517">
        <v>1.173</v>
      </c>
      <c r="Q83" s="1154"/>
      <c r="R83" s="1154">
        <v>22.286999999999999</v>
      </c>
      <c r="S83" s="1155">
        <v>0.41055000000000003</v>
      </c>
      <c r="T83" s="1801"/>
      <c r="U83" s="1134"/>
      <c r="V83" s="653">
        <f t="shared" si="21"/>
        <v>0</v>
      </c>
      <c r="W83" s="322">
        <f t="shared" si="22"/>
        <v>0</v>
      </c>
      <c r="X83" s="653" t="e">
        <f>(#REF!*N83/$G$171)</f>
        <v>#REF!</v>
      </c>
      <c r="Y83" s="322">
        <f t="shared" si="9"/>
        <v>0</v>
      </c>
      <c r="Z83" s="653">
        <f t="shared" si="10"/>
        <v>0</v>
      </c>
      <c r="AA83" s="322">
        <f t="shared" si="23"/>
        <v>0</v>
      </c>
      <c r="AB83" s="322">
        <f t="shared" si="24"/>
        <v>0</v>
      </c>
      <c r="AC83" s="654">
        <f t="shared" si="25"/>
        <v>0</v>
      </c>
      <c r="AD83" s="1379">
        <f t="shared" si="19"/>
        <v>0</v>
      </c>
      <c r="AE83" s="654">
        <f t="shared" si="26"/>
        <v>0</v>
      </c>
      <c r="AF83" s="190"/>
      <c r="AG83" s="125"/>
      <c r="AH83" s="125"/>
      <c r="AI83" s="125"/>
      <c r="AJ83" s="125"/>
    </row>
    <row r="84" spans="1:36" s="509" customFormat="1" ht="21" customHeight="1" thickBot="1" x14ac:dyDescent="0.25">
      <c r="A84" s="1848">
        <v>7.0380000000000003</v>
      </c>
      <c r="B84" s="2239" t="s">
        <v>58</v>
      </c>
      <c r="C84" s="1843">
        <v>12389.15562</v>
      </c>
      <c r="D84" s="1920">
        <v>23.46</v>
      </c>
      <c r="E84" s="1943">
        <v>16.857142857142858</v>
      </c>
      <c r="F84" s="1916" t="s">
        <v>56</v>
      </c>
      <c r="G84" s="1848">
        <v>15.249000000000001</v>
      </c>
      <c r="H84" s="1246">
        <v>1900</v>
      </c>
      <c r="I84" s="1226">
        <f t="shared" si="20"/>
        <v>294.13679535317851</v>
      </c>
      <c r="J84" s="2184">
        <f>SUM(I84:I91)</f>
        <v>294.13679535317851</v>
      </c>
      <c r="K84" s="2178">
        <f>IF(J84=0," ",(H84)/J84)</f>
        <v>6.4595794542420828</v>
      </c>
      <c r="L84" s="1227">
        <v>7.9763999999999999</v>
      </c>
      <c r="M84" s="2241">
        <v>33.665100000000002</v>
      </c>
      <c r="N84" s="1213"/>
      <c r="O84" s="1886">
        <v>69.206999999999994</v>
      </c>
      <c r="P84" s="1887">
        <v>1.1847300000000001</v>
      </c>
      <c r="Q84" s="1228">
        <v>43.401000000000003</v>
      </c>
      <c r="R84" s="1228">
        <v>21.114000000000001</v>
      </c>
      <c r="S84" s="1229">
        <v>0.51612000000000002</v>
      </c>
      <c r="T84" s="2186">
        <v>0.76948800000000006</v>
      </c>
      <c r="U84" s="1230">
        <v>9.3840000000000007E-2</v>
      </c>
      <c r="V84" s="693">
        <f t="shared" si="21"/>
        <v>0.8839999999999999</v>
      </c>
      <c r="W84" s="670">
        <f t="shared" si="22"/>
        <v>3.7309999999999999</v>
      </c>
      <c r="X84" s="693" t="e">
        <f>(#REF!*N84/$G$171)</f>
        <v>#REF!</v>
      </c>
      <c r="Y84" s="670">
        <f t="shared" si="9"/>
        <v>7.67</v>
      </c>
      <c r="Z84" s="693">
        <f t="shared" si="10"/>
        <v>0.1313</v>
      </c>
      <c r="AA84" s="670">
        <f t="shared" si="23"/>
        <v>4.8099999999999996</v>
      </c>
      <c r="AB84" s="670">
        <f t="shared" si="24"/>
        <v>2.34</v>
      </c>
      <c r="AC84" s="694">
        <f t="shared" si="25"/>
        <v>5.7200000000000001E-2</v>
      </c>
      <c r="AD84" s="694">
        <f t="shared" si="19"/>
        <v>8.5280000000000009E-2</v>
      </c>
      <c r="AE84" s="694">
        <f t="shared" si="26"/>
        <v>1.04E-2</v>
      </c>
      <c r="AF84" s="1245"/>
      <c r="AG84" s="508"/>
      <c r="AH84" s="508"/>
      <c r="AI84" s="508"/>
      <c r="AJ84" s="508"/>
    </row>
    <row r="85" spans="1:36" s="126" customFormat="1" ht="21" customHeight="1" thickBot="1" x14ac:dyDescent="0.25">
      <c r="A85" s="332">
        <v>16.422000000000001</v>
      </c>
      <c r="B85" s="1086" t="s">
        <v>58</v>
      </c>
      <c r="C85" s="1278">
        <v>12389.15562</v>
      </c>
      <c r="D85" s="1308"/>
      <c r="E85" s="1944"/>
      <c r="F85" s="1160" t="s">
        <v>217</v>
      </c>
      <c r="G85" s="332"/>
      <c r="H85" s="1162"/>
      <c r="I85" s="1125">
        <f t="shared" si="20"/>
        <v>0</v>
      </c>
      <c r="J85" s="1136"/>
      <c r="K85" s="1125"/>
      <c r="L85" s="1128">
        <v>6.9207000000000001</v>
      </c>
      <c r="M85" s="1129">
        <v>34.368899999999996</v>
      </c>
      <c r="N85" s="1129"/>
      <c r="O85" s="1510">
        <v>69.206999999999994</v>
      </c>
      <c r="P85" s="1511">
        <v>1.1847300000000001</v>
      </c>
      <c r="Q85" s="1132">
        <v>43.401000000000003</v>
      </c>
      <c r="R85" s="1132">
        <v>21.114000000000001</v>
      </c>
      <c r="S85" s="1133">
        <v>0.51612000000000002</v>
      </c>
      <c r="T85" s="1801">
        <v>0.76948800000000006</v>
      </c>
      <c r="U85" s="1134">
        <v>9.3840000000000007E-2</v>
      </c>
      <c r="V85" s="653">
        <f t="shared" si="21"/>
        <v>0</v>
      </c>
      <c r="W85" s="322">
        <f t="shared" si="22"/>
        <v>0</v>
      </c>
      <c r="X85" s="653" t="e">
        <f>(#REF!*N85/$G$171)</f>
        <v>#REF!</v>
      </c>
      <c r="Y85" s="322">
        <f t="shared" ref="Y85:Y110" si="27">G85*O85/100</f>
        <v>0</v>
      </c>
      <c r="Z85" s="653">
        <f t="shared" ref="Z85:Z110" si="28">(G85*P85/100)</f>
        <v>0</v>
      </c>
      <c r="AA85" s="322">
        <f t="shared" si="23"/>
        <v>0</v>
      </c>
      <c r="AB85" s="322">
        <f t="shared" si="24"/>
        <v>0</v>
      </c>
      <c r="AC85" s="654">
        <f t="shared" si="25"/>
        <v>0</v>
      </c>
      <c r="AD85" s="654">
        <f t="shared" ref="AD85:AD116" si="29">(G85*T85/$G$171)</f>
        <v>0</v>
      </c>
      <c r="AE85" s="654">
        <f t="shared" si="26"/>
        <v>0</v>
      </c>
      <c r="AF85" s="70"/>
      <c r="AG85" s="125"/>
      <c r="AH85" s="125"/>
      <c r="AI85" s="125"/>
      <c r="AJ85" s="125"/>
    </row>
    <row r="86" spans="1:36" s="126" customFormat="1" ht="21" hidden="1" customHeight="1" thickBot="1" x14ac:dyDescent="0.25">
      <c r="A86" s="332"/>
      <c r="B86" s="1086" t="s">
        <v>215</v>
      </c>
      <c r="C86" s="1278">
        <v>12389.15562</v>
      </c>
      <c r="D86" s="1308"/>
      <c r="E86" s="2240"/>
      <c r="F86" s="1160" t="s">
        <v>217</v>
      </c>
      <c r="G86" s="332"/>
      <c r="H86" s="1162"/>
      <c r="I86" s="1125">
        <f t="shared" si="20"/>
        <v>0</v>
      </c>
      <c r="J86" s="1136"/>
      <c r="K86" s="1125"/>
      <c r="L86" s="1128">
        <v>7.3898999999999999</v>
      </c>
      <c r="M86" s="1129">
        <v>32.961300000000001</v>
      </c>
      <c r="N86" s="1129"/>
      <c r="O86" s="1510">
        <v>69.206999999999994</v>
      </c>
      <c r="P86" s="1511">
        <v>1.16127</v>
      </c>
      <c r="Q86" s="1132">
        <v>53.957999999999998</v>
      </c>
      <c r="R86" s="1132">
        <v>19.940999999999999</v>
      </c>
      <c r="S86" s="1133">
        <v>0.52785000000000004</v>
      </c>
      <c r="T86" s="1801">
        <v>0.76948800000000006</v>
      </c>
      <c r="U86" s="1134">
        <v>9.3840000000000007E-2</v>
      </c>
      <c r="V86" s="653">
        <f t="shared" si="21"/>
        <v>0</v>
      </c>
      <c r="W86" s="322">
        <f t="shared" si="22"/>
        <v>0</v>
      </c>
      <c r="X86" s="653" t="e">
        <f>(#REF!*N86/$G$171)</f>
        <v>#REF!</v>
      </c>
      <c r="Y86" s="322">
        <f t="shared" si="27"/>
        <v>0</v>
      </c>
      <c r="Z86" s="653">
        <f t="shared" si="28"/>
        <v>0</v>
      </c>
      <c r="AA86" s="322">
        <f t="shared" si="23"/>
        <v>0</v>
      </c>
      <c r="AB86" s="322">
        <f t="shared" si="24"/>
        <v>0</v>
      </c>
      <c r="AC86" s="654">
        <f t="shared" si="25"/>
        <v>0</v>
      </c>
      <c r="AD86" s="654">
        <f t="shared" si="29"/>
        <v>0</v>
      </c>
      <c r="AE86" s="654">
        <f t="shared" si="26"/>
        <v>0</v>
      </c>
      <c r="AF86" s="70"/>
      <c r="AG86" s="125"/>
      <c r="AH86" s="125"/>
      <c r="AI86" s="125"/>
      <c r="AJ86" s="125"/>
    </row>
    <row r="87" spans="1:36" s="509" customFormat="1" ht="21" hidden="1" customHeight="1" thickBot="1" x14ac:dyDescent="0.25">
      <c r="A87" s="1240"/>
      <c r="B87" s="1239" t="s">
        <v>215</v>
      </c>
      <c r="C87" s="1839">
        <v>12279.034379999999</v>
      </c>
      <c r="D87" s="2061"/>
      <c r="E87" s="1945"/>
      <c r="F87" s="1241" t="s">
        <v>217</v>
      </c>
      <c r="G87" s="1240"/>
      <c r="H87" s="1242"/>
      <c r="I87" s="1244">
        <f t="shared" si="20"/>
        <v>0</v>
      </c>
      <c r="J87" s="1243"/>
      <c r="K87" s="1244"/>
      <c r="L87" s="1231">
        <v>7.5072000000000001</v>
      </c>
      <c r="M87" s="1137">
        <v>32.844000000000001</v>
      </c>
      <c r="N87" s="1137"/>
      <c r="O87" s="1232">
        <v>69.206999999999994</v>
      </c>
      <c r="P87" s="1233">
        <v>1.1847300000000001</v>
      </c>
      <c r="Q87" s="1234">
        <v>37.536000000000001</v>
      </c>
      <c r="R87" s="1234">
        <v>21.114000000000001</v>
      </c>
      <c r="S87" s="1235">
        <v>0.55130999999999997</v>
      </c>
      <c r="T87" s="1802">
        <v>0.76948800000000006</v>
      </c>
      <c r="U87" s="1236">
        <v>9.3840000000000007E-2</v>
      </c>
      <c r="V87" s="693">
        <f t="shared" si="21"/>
        <v>0</v>
      </c>
      <c r="W87" s="670">
        <f t="shared" si="22"/>
        <v>0</v>
      </c>
      <c r="X87" s="693" t="e">
        <f>(#REF!*N87/$G$171)</f>
        <v>#REF!</v>
      </c>
      <c r="Y87" s="670">
        <f t="shared" si="27"/>
        <v>0</v>
      </c>
      <c r="Z87" s="693">
        <f t="shared" si="28"/>
        <v>0</v>
      </c>
      <c r="AA87" s="670">
        <f t="shared" si="23"/>
        <v>0</v>
      </c>
      <c r="AB87" s="670">
        <f t="shared" si="24"/>
        <v>0</v>
      </c>
      <c r="AC87" s="694">
        <f t="shared" si="25"/>
        <v>0</v>
      </c>
      <c r="AD87" s="694">
        <f t="shared" si="29"/>
        <v>0</v>
      </c>
      <c r="AE87" s="694">
        <f t="shared" si="26"/>
        <v>0</v>
      </c>
      <c r="AF87" s="1245"/>
      <c r="AG87" s="508"/>
      <c r="AH87" s="508"/>
      <c r="AI87" s="508"/>
      <c r="AJ87" s="508"/>
    </row>
    <row r="88" spans="1:36" s="126" customFormat="1" ht="21" hidden="1" customHeight="1" thickBot="1" x14ac:dyDescent="0.25">
      <c r="A88" s="332"/>
      <c r="B88" s="1086" t="s">
        <v>215</v>
      </c>
      <c r="C88" s="1278">
        <v>12279.034379999999</v>
      </c>
      <c r="D88" s="1308"/>
      <c r="E88" s="1944"/>
      <c r="F88" s="1160" t="s">
        <v>217</v>
      </c>
      <c r="G88" s="332"/>
      <c r="H88" s="1162"/>
      <c r="I88" s="1125">
        <f t="shared" si="20"/>
        <v>0</v>
      </c>
      <c r="J88" s="1136"/>
      <c r="K88" s="1125"/>
      <c r="L88" s="1128">
        <v>9.7359000000000009</v>
      </c>
      <c r="M88" s="1129">
        <v>34.368899999999996</v>
      </c>
      <c r="N88" s="1129"/>
      <c r="O88" s="1510">
        <v>69.206999999999994</v>
      </c>
      <c r="P88" s="1511">
        <v>1.1847300000000001</v>
      </c>
      <c r="Q88" s="1132">
        <v>49.265999999999998</v>
      </c>
      <c r="R88" s="1132">
        <v>19.940999999999999</v>
      </c>
      <c r="S88" s="1133">
        <v>0.41055000000000003</v>
      </c>
      <c r="T88" s="1801">
        <v>0.76948800000000006</v>
      </c>
      <c r="U88" s="1134">
        <v>9.3840000000000007E-2</v>
      </c>
      <c r="V88" s="653">
        <f t="shared" si="21"/>
        <v>0</v>
      </c>
      <c r="W88" s="322">
        <f t="shared" si="22"/>
        <v>0</v>
      </c>
      <c r="X88" s="653" t="e">
        <f>(#REF!*N88/$G$171)</f>
        <v>#REF!</v>
      </c>
      <c r="Y88" s="322">
        <f t="shared" si="27"/>
        <v>0</v>
      </c>
      <c r="Z88" s="653">
        <f t="shared" si="28"/>
        <v>0</v>
      </c>
      <c r="AA88" s="322">
        <f t="shared" si="23"/>
        <v>0</v>
      </c>
      <c r="AB88" s="322">
        <f t="shared" si="24"/>
        <v>0</v>
      </c>
      <c r="AC88" s="654">
        <f t="shared" si="25"/>
        <v>0</v>
      </c>
      <c r="AD88" s="654">
        <f t="shared" si="29"/>
        <v>0</v>
      </c>
      <c r="AE88" s="654">
        <f t="shared" si="26"/>
        <v>0</v>
      </c>
      <c r="AF88" s="70"/>
      <c r="AG88" s="125"/>
      <c r="AH88" s="125"/>
      <c r="AI88" s="125"/>
      <c r="AJ88" s="125"/>
    </row>
    <row r="89" spans="1:36" s="126" customFormat="1" ht="21" hidden="1" customHeight="1" thickBot="1" x14ac:dyDescent="0.25">
      <c r="A89" s="332"/>
      <c r="B89" s="1086" t="s">
        <v>215</v>
      </c>
      <c r="C89" s="1278">
        <v>12279.034379999999</v>
      </c>
      <c r="D89" s="1308"/>
      <c r="E89" s="1944"/>
      <c r="F89" s="1160" t="s">
        <v>217</v>
      </c>
      <c r="G89" s="332"/>
      <c r="H89" s="1162"/>
      <c r="I89" s="1125">
        <f t="shared" si="20"/>
        <v>0</v>
      </c>
      <c r="J89" s="1136"/>
      <c r="K89" s="1125"/>
      <c r="L89" s="1128">
        <v>8.5629000000000008</v>
      </c>
      <c r="M89" s="1129">
        <v>32.492100000000001</v>
      </c>
      <c r="N89" s="1129"/>
      <c r="O89" s="1510">
        <v>78.590999999999994</v>
      </c>
      <c r="P89" s="1511">
        <v>1.16127</v>
      </c>
      <c r="Q89" s="1132">
        <v>58.65</v>
      </c>
      <c r="R89" s="1132">
        <v>19.940999999999999</v>
      </c>
      <c r="S89" s="1133">
        <v>0.50439000000000001</v>
      </c>
      <c r="T89" s="1801">
        <v>0.76948800000000006</v>
      </c>
      <c r="U89" s="1134">
        <v>9.3840000000000007E-2</v>
      </c>
      <c r="V89" s="653">
        <f t="shared" si="21"/>
        <v>0</v>
      </c>
      <c r="W89" s="322">
        <f t="shared" si="22"/>
        <v>0</v>
      </c>
      <c r="X89" s="653" t="e">
        <f>(#REF!*N89/$G$171)</f>
        <v>#REF!</v>
      </c>
      <c r="Y89" s="322">
        <f t="shared" si="27"/>
        <v>0</v>
      </c>
      <c r="Z89" s="653">
        <f t="shared" si="28"/>
        <v>0</v>
      </c>
      <c r="AA89" s="322">
        <f t="shared" si="23"/>
        <v>0</v>
      </c>
      <c r="AB89" s="322">
        <f t="shared" si="24"/>
        <v>0</v>
      </c>
      <c r="AC89" s="654">
        <f t="shared" si="25"/>
        <v>0</v>
      </c>
      <c r="AD89" s="654">
        <f t="shared" si="29"/>
        <v>0</v>
      </c>
      <c r="AE89" s="654">
        <f t="shared" si="26"/>
        <v>0</v>
      </c>
      <c r="AF89" s="70"/>
      <c r="AG89" s="125"/>
      <c r="AH89" s="125"/>
      <c r="AI89" s="125"/>
      <c r="AJ89" s="125"/>
    </row>
    <row r="90" spans="1:36" s="126" customFormat="1" ht="21" hidden="1" customHeight="1" thickBot="1" x14ac:dyDescent="0.25">
      <c r="A90" s="1091"/>
      <c r="B90" s="1100" t="s">
        <v>215</v>
      </c>
      <c r="C90" s="1836">
        <v>12279.034379999999</v>
      </c>
      <c r="D90" s="1310"/>
      <c r="E90" s="1952"/>
      <c r="F90" s="1181" t="s">
        <v>217</v>
      </c>
      <c r="G90" s="1091"/>
      <c r="H90" s="1182"/>
      <c r="I90" s="406">
        <f t="shared" si="20"/>
        <v>0</v>
      </c>
      <c r="J90" s="1148"/>
      <c r="K90" s="406"/>
      <c r="L90" s="1150">
        <v>8.7974999999999994</v>
      </c>
      <c r="M90" s="1151">
        <v>30.967199999999998</v>
      </c>
      <c r="N90" s="1151"/>
      <c r="O90" s="1516">
        <v>70.38</v>
      </c>
      <c r="P90" s="1517">
        <v>1.13781</v>
      </c>
      <c r="Q90" s="1154">
        <v>57.476999999999997</v>
      </c>
      <c r="R90" s="1154">
        <v>21.114000000000001</v>
      </c>
      <c r="S90" s="1155">
        <v>0.53957999999999995</v>
      </c>
      <c r="T90" s="1803">
        <v>0.76948800000000006</v>
      </c>
      <c r="U90" s="1156">
        <v>9.3840000000000007E-2</v>
      </c>
      <c r="V90" s="653">
        <f t="shared" si="21"/>
        <v>0</v>
      </c>
      <c r="W90" s="322">
        <f t="shared" si="22"/>
        <v>0</v>
      </c>
      <c r="X90" s="653" t="e">
        <f>(#REF!*N90/$G$171)</f>
        <v>#REF!</v>
      </c>
      <c r="Y90" s="322">
        <f t="shared" si="27"/>
        <v>0</v>
      </c>
      <c r="Z90" s="653">
        <f t="shared" si="28"/>
        <v>0</v>
      </c>
      <c r="AA90" s="322">
        <f t="shared" si="23"/>
        <v>0</v>
      </c>
      <c r="AB90" s="322">
        <f t="shared" si="24"/>
        <v>0</v>
      </c>
      <c r="AC90" s="654">
        <f t="shared" si="25"/>
        <v>0</v>
      </c>
      <c r="AD90" s="654">
        <f t="shared" si="29"/>
        <v>0</v>
      </c>
      <c r="AE90" s="654">
        <f t="shared" si="26"/>
        <v>0</v>
      </c>
      <c r="AF90" s="70"/>
      <c r="AG90" s="125"/>
      <c r="AH90" s="125"/>
      <c r="AI90" s="125"/>
      <c r="AJ90" s="125"/>
    </row>
    <row r="91" spans="1:36" s="126" customFormat="1" ht="23.25" hidden="1" customHeight="1" thickBot="1" x14ac:dyDescent="0.25">
      <c r="A91" s="332"/>
      <c r="B91" s="1086" t="s">
        <v>215</v>
      </c>
      <c r="C91" s="1278"/>
      <c r="D91" s="1864"/>
      <c r="E91" s="1949"/>
      <c r="F91" s="1160" t="s">
        <v>217</v>
      </c>
      <c r="G91" s="332"/>
      <c r="H91" s="1182"/>
      <c r="I91" s="1125">
        <f t="shared" si="20"/>
        <v>0</v>
      </c>
      <c r="J91" s="1136"/>
      <c r="K91" s="1125"/>
      <c r="L91" s="1128">
        <v>9.0320999999999998</v>
      </c>
      <c r="M91" s="1129">
        <v>31.553699999999999</v>
      </c>
      <c r="N91" s="1129"/>
      <c r="O91" s="1510">
        <v>68.034000000000006</v>
      </c>
      <c r="P91" s="1511">
        <v>1.2316499999999999</v>
      </c>
      <c r="Q91" s="1132">
        <v>59.823</v>
      </c>
      <c r="R91" s="1132">
        <v>21.114000000000001</v>
      </c>
      <c r="S91" s="1155">
        <v>0.48093000000000002</v>
      </c>
      <c r="T91" s="1801"/>
      <c r="U91" s="1134">
        <v>9.3840000000000007E-2</v>
      </c>
      <c r="V91" s="653">
        <f t="shared" si="21"/>
        <v>0</v>
      </c>
      <c r="W91" s="322">
        <f t="shared" si="22"/>
        <v>0</v>
      </c>
      <c r="X91" s="653" t="e">
        <f>(#REF!*N91/$G$171)</f>
        <v>#REF!</v>
      </c>
      <c r="Y91" s="322">
        <f t="shared" si="27"/>
        <v>0</v>
      </c>
      <c r="Z91" s="653">
        <f t="shared" si="28"/>
        <v>0</v>
      </c>
      <c r="AA91" s="322">
        <f t="shared" si="23"/>
        <v>0</v>
      </c>
      <c r="AB91" s="322">
        <f t="shared" si="24"/>
        <v>0</v>
      </c>
      <c r="AC91" s="654">
        <f t="shared" si="25"/>
        <v>0</v>
      </c>
      <c r="AD91" s="694">
        <f t="shared" si="29"/>
        <v>0</v>
      </c>
      <c r="AE91" s="654">
        <f t="shared" si="26"/>
        <v>0</v>
      </c>
      <c r="AF91" s="190"/>
      <c r="AG91" s="125"/>
      <c r="AH91" s="125"/>
      <c r="AI91" s="125"/>
      <c r="AJ91" s="125"/>
    </row>
    <row r="92" spans="1:36" s="126" customFormat="1" ht="21" hidden="1" customHeight="1" thickBot="1" x14ac:dyDescent="0.25">
      <c r="A92" s="1085"/>
      <c r="B92" s="1099" t="s">
        <v>327</v>
      </c>
      <c r="C92" s="1306">
        <v>15344.634690000001</v>
      </c>
      <c r="D92" s="1862"/>
      <c r="E92" s="1951"/>
      <c r="F92" s="1157" t="s">
        <v>223</v>
      </c>
      <c r="G92" s="1085"/>
      <c r="H92" s="1158">
        <v>0</v>
      </c>
      <c r="I92" s="1139">
        <f t="shared" si="20"/>
        <v>0</v>
      </c>
      <c r="J92" s="1159">
        <f>SUM(I92:I99)</f>
        <v>0</v>
      </c>
      <c r="K92" s="1164" t="str">
        <f>IF(J92=0," ",H92/J92)</f>
        <v xml:space="preserve"> </v>
      </c>
      <c r="L92" s="1140">
        <v>12.199199999999999</v>
      </c>
      <c r="M92" s="1141">
        <v>24.9849</v>
      </c>
      <c r="N92" s="1141"/>
      <c r="O92" s="1512">
        <v>59.823</v>
      </c>
      <c r="P92" s="1513">
        <v>1.3958699999999999</v>
      </c>
      <c r="Q92" s="1144">
        <v>46.92</v>
      </c>
      <c r="R92" s="1144">
        <v>18.768000000000001</v>
      </c>
      <c r="S92" s="1145">
        <v>1.02051</v>
      </c>
      <c r="T92" s="1805">
        <v>6.0995999999999995E-2</v>
      </c>
      <c r="U92" s="1146">
        <v>4.692E-3</v>
      </c>
      <c r="V92" s="653">
        <f t="shared" si="21"/>
        <v>0</v>
      </c>
      <c r="W92" s="322">
        <f t="shared" si="22"/>
        <v>0</v>
      </c>
      <c r="X92" s="653" t="e">
        <f>(#REF!*N92/$G$171)</f>
        <v>#REF!</v>
      </c>
      <c r="Y92" s="322">
        <f t="shared" si="27"/>
        <v>0</v>
      </c>
      <c r="Z92" s="653">
        <f t="shared" si="28"/>
        <v>0</v>
      </c>
      <c r="AA92" s="322">
        <f t="shared" si="23"/>
        <v>0</v>
      </c>
      <c r="AB92" s="322">
        <f t="shared" si="24"/>
        <v>0</v>
      </c>
      <c r="AC92" s="654">
        <f t="shared" si="25"/>
        <v>0</v>
      </c>
      <c r="AD92" s="694">
        <f t="shared" si="29"/>
        <v>0</v>
      </c>
      <c r="AE92" s="654">
        <f t="shared" si="26"/>
        <v>0</v>
      </c>
      <c r="AF92" s="70"/>
      <c r="AG92" s="125"/>
      <c r="AH92" s="125"/>
      <c r="AI92" s="125"/>
      <c r="AJ92" s="125"/>
    </row>
    <row r="93" spans="1:36" s="126" customFormat="1" ht="21" hidden="1" customHeight="1" thickBot="1" x14ac:dyDescent="0.25">
      <c r="A93" s="332"/>
      <c r="B93" s="1086" t="s">
        <v>327</v>
      </c>
      <c r="C93" s="1278">
        <v>17062.082640000001</v>
      </c>
      <c r="D93" s="1279"/>
      <c r="E93" s="1944"/>
      <c r="F93" s="1160" t="s">
        <v>223</v>
      </c>
      <c r="G93" s="332"/>
      <c r="H93" s="1162"/>
      <c r="I93" s="1125">
        <f t="shared" si="20"/>
        <v>0</v>
      </c>
      <c r="J93" s="1136"/>
      <c r="K93" s="1125"/>
      <c r="L93" s="1128">
        <v>12.081899999999999</v>
      </c>
      <c r="M93" s="1129">
        <v>20.7621</v>
      </c>
      <c r="N93" s="1129"/>
      <c r="O93" s="1510">
        <v>55.131</v>
      </c>
      <c r="P93" s="1511">
        <v>1.4662500000000001</v>
      </c>
      <c r="Q93" s="1132">
        <v>44.573999999999998</v>
      </c>
      <c r="R93" s="1132">
        <v>17.594999999999999</v>
      </c>
      <c r="S93" s="1133">
        <v>0.78591</v>
      </c>
      <c r="T93" s="1801"/>
      <c r="U93" s="1134">
        <v>4.692E-3</v>
      </c>
      <c r="V93" s="653">
        <f t="shared" si="21"/>
        <v>0</v>
      </c>
      <c r="W93" s="322">
        <f t="shared" si="22"/>
        <v>0</v>
      </c>
      <c r="X93" s="653" t="e">
        <f>(#REF!*N93/$G$171)</f>
        <v>#REF!</v>
      </c>
      <c r="Y93" s="322">
        <f t="shared" si="27"/>
        <v>0</v>
      </c>
      <c r="Z93" s="653">
        <f t="shared" si="28"/>
        <v>0</v>
      </c>
      <c r="AA93" s="322">
        <f t="shared" si="23"/>
        <v>0</v>
      </c>
      <c r="AB93" s="322">
        <f t="shared" si="24"/>
        <v>0</v>
      </c>
      <c r="AC93" s="654">
        <f t="shared" si="25"/>
        <v>0</v>
      </c>
      <c r="AD93" s="694">
        <f t="shared" si="29"/>
        <v>0</v>
      </c>
      <c r="AE93" s="654">
        <f t="shared" si="26"/>
        <v>0</v>
      </c>
      <c r="AF93" s="70"/>
      <c r="AG93" s="125"/>
      <c r="AH93" s="125"/>
      <c r="AI93" s="125"/>
      <c r="AJ93" s="125"/>
    </row>
    <row r="94" spans="1:36" s="126" customFormat="1" ht="21" hidden="1" customHeight="1" thickBot="1" x14ac:dyDescent="0.25">
      <c r="A94" s="332"/>
      <c r="B94" s="1086" t="s">
        <v>327</v>
      </c>
      <c r="C94" s="1278">
        <v>17062.082640000001</v>
      </c>
      <c r="D94" s="1279"/>
      <c r="E94" s="1944"/>
      <c r="F94" s="1160" t="s">
        <v>223</v>
      </c>
      <c r="G94" s="332"/>
      <c r="H94" s="1162"/>
      <c r="I94" s="1125">
        <f t="shared" si="20"/>
        <v>0</v>
      </c>
      <c r="J94" s="1136"/>
      <c r="K94" s="1125"/>
      <c r="L94" s="1128">
        <v>10.674300000000001</v>
      </c>
      <c r="M94" s="1129">
        <v>23.694600000000001</v>
      </c>
      <c r="N94" s="1129"/>
      <c r="O94" s="1510">
        <v>55.131</v>
      </c>
      <c r="P94" s="1511">
        <v>1.4662500000000001</v>
      </c>
      <c r="Q94" s="1132">
        <v>46.92</v>
      </c>
      <c r="R94" s="1132">
        <v>19.940999999999999</v>
      </c>
      <c r="S94" s="1133">
        <v>0.84455999999999998</v>
      </c>
      <c r="T94" s="1801"/>
      <c r="U94" s="1134">
        <v>4.692E-3</v>
      </c>
      <c r="V94" s="653">
        <f t="shared" si="21"/>
        <v>0</v>
      </c>
      <c r="W94" s="322">
        <f t="shared" si="22"/>
        <v>0</v>
      </c>
      <c r="X94" s="653" t="e">
        <f>(#REF!*N94/$G$171)</f>
        <v>#REF!</v>
      </c>
      <c r="Y94" s="322">
        <f t="shared" si="27"/>
        <v>0</v>
      </c>
      <c r="Z94" s="653">
        <f t="shared" si="28"/>
        <v>0</v>
      </c>
      <c r="AA94" s="322">
        <f t="shared" si="23"/>
        <v>0</v>
      </c>
      <c r="AB94" s="322">
        <f t="shared" si="24"/>
        <v>0</v>
      </c>
      <c r="AC94" s="654">
        <f t="shared" si="25"/>
        <v>0</v>
      </c>
      <c r="AD94" s="694">
        <f t="shared" si="29"/>
        <v>0</v>
      </c>
      <c r="AE94" s="654">
        <f t="shared" si="26"/>
        <v>0</v>
      </c>
      <c r="AF94" s="70"/>
      <c r="AG94" s="125"/>
      <c r="AH94" s="125"/>
      <c r="AI94" s="125"/>
      <c r="AJ94" s="125"/>
    </row>
    <row r="95" spans="1:36" s="126" customFormat="1" ht="21" hidden="1" customHeight="1" thickBot="1" x14ac:dyDescent="0.25">
      <c r="A95" s="332"/>
      <c r="B95" s="1086" t="s">
        <v>327</v>
      </c>
      <c r="C95" s="1278">
        <v>18411.032640000001</v>
      </c>
      <c r="D95" s="1279"/>
      <c r="E95" s="1944"/>
      <c r="F95" s="1160" t="s">
        <v>223</v>
      </c>
      <c r="G95" s="332"/>
      <c r="H95" s="1162"/>
      <c r="I95" s="1125">
        <f t="shared" si="20"/>
        <v>0</v>
      </c>
      <c r="J95" s="1136"/>
      <c r="K95" s="1125"/>
      <c r="L95" s="1128">
        <v>11.1435</v>
      </c>
      <c r="M95" s="1129">
        <v>22.169699999999999</v>
      </c>
      <c r="N95" s="1129"/>
      <c r="O95" s="1510">
        <v>50.439</v>
      </c>
      <c r="P95" s="1511">
        <v>1.4779800000000001</v>
      </c>
      <c r="Q95" s="1132">
        <v>48.093000000000004</v>
      </c>
      <c r="R95" s="1132">
        <v>16.422000000000001</v>
      </c>
      <c r="S95" s="1133">
        <v>0.76244999999999996</v>
      </c>
      <c r="T95" s="1801"/>
      <c r="U95" s="1134">
        <v>4.692E-3</v>
      </c>
      <c r="V95" s="653">
        <f t="shared" si="21"/>
        <v>0</v>
      </c>
      <c r="W95" s="322">
        <f t="shared" si="22"/>
        <v>0</v>
      </c>
      <c r="X95" s="653" t="e">
        <f>(#REF!*N95/$G$171)</f>
        <v>#REF!</v>
      </c>
      <c r="Y95" s="322">
        <f t="shared" si="27"/>
        <v>0</v>
      </c>
      <c r="Z95" s="653">
        <f t="shared" si="28"/>
        <v>0</v>
      </c>
      <c r="AA95" s="322">
        <f t="shared" si="23"/>
        <v>0</v>
      </c>
      <c r="AB95" s="322">
        <f t="shared" si="24"/>
        <v>0</v>
      </c>
      <c r="AC95" s="654">
        <f t="shared" si="25"/>
        <v>0</v>
      </c>
      <c r="AD95" s="694">
        <f t="shared" si="29"/>
        <v>0</v>
      </c>
      <c r="AE95" s="654">
        <f t="shared" si="26"/>
        <v>0</v>
      </c>
      <c r="AF95" s="70"/>
      <c r="AG95" s="125"/>
      <c r="AH95" s="125"/>
      <c r="AI95" s="125"/>
      <c r="AJ95" s="125"/>
    </row>
    <row r="96" spans="1:36" s="126" customFormat="1" ht="21" hidden="1" customHeight="1" thickBot="1" x14ac:dyDescent="0.25">
      <c r="A96" s="332"/>
      <c r="B96" s="1086" t="s">
        <v>327</v>
      </c>
      <c r="C96" s="1278"/>
      <c r="D96" s="1119"/>
      <c r="E96" s="1947"/>
      <c r="F96" s="1160" t="s">
        <v>223</v>
      </c>
      <c r="G96" s="332"/>
      <c r="H96" s="1162"/>
      <c r="I96" s="1125">
        <f t="shared" si="20"/>
        <v>0</v>
      </c>
      <c r="J96" s="1136"/>
      <c r="K96" s="1125"/>
      <c r="L96" s="1128">
        <v>10.0878</v>
      </c>
      <c r="M96" s="1129">
        <v>22.7562</v>
      </c>
      <c r="N96" s="1129"/>
      <c r="O96" s="1510">
        <v>46.92</v>
      </c>
      <c r="P96" s="1511">
        <v>1.3841399999999999</v>
      </c>
      <c r="Q96" s="1132">
        <v>52.784999999999997</v>
      </c>
      <c r="R96" s="1132">
        <v>17.594999999999999</v>
      </c>
      <c r="S96" s="1133">
        <v>0.82110000000000005</v>
      </c>
      <c r="T96" s="1801"/>
      <c r="U96" s="1134">
        <v>4.692E-3</v>
      </c>
      <c r="V96" s="653">
        <f t="shared" si="21"/>
        <v>0</v>
      </c>
      <c r="W96" s="322">
        <f t="shared" si="22"/>
        <v>0</v>
      </c>
      <c r="X96" s="653" t="e">
        <f>(#REF!*N96/$G$171)</f>
        <v>#REF!</v>
      </c>
      <c r="Y96" s="322">
        <f t="shared" si="27"/>
        <v>0</v>
      </c>
      <c r="Z96" s="653">
        <f t="shared" si="28"/>
        <v>0</v>
      </c>
      <c r="AA96" s="322">
        <f t="shared" si="23"/>
        <v>0</v>
      </c>
      <c r="AB96" s="322">
        <f t="shared" si="24"/>
        <v>0</v>
      </c>
      <c r="AC96" s="654">
        <f t="shared" si="25"/>
        <v>0</v>
      </c>
      <c r="AD96" s="694">
        <f t="shared" si="29"/>
        <v>0</v>
      </c>
      <c r="AE96" s="654">
        <f t="shared" si="26"/>
        <v>0</v>
      </c>
      <c r="AF96" s="190"/>
      <c r="AG96" s="125"/>
      <c r="AH96" s="125"/>
      <c r="AI96" s="125"/>
      <c r="AJ96" s="125"/>
    </row>
    <row r="97" spans="1:47" s="126" customFormat="1" ht="18.75" hidden="1" customHeight="1" thickBot="1" x14ac:dyDescent="0.25">
      <c r="A97" s="332"/>
      <c r="B97" s="1086" t="s">
        <v>327</v>
      </c>
      <c r="C97" s="1278"/>
      <c r="D97" s="1119"/>
      <c r="E97" s="1947"/>
      <c r="F97" s="1160" t="s">
        <v>223</v>
      </c>
      <c r="G97" s="332"/>
      <c r="H97" s="1162"/>
      <c r="I97" s="1125">
        <f t="shared" si="20"/>
        <v>0</v>
      </c>
      <c r="J97" s="1136"/>
      <c r="K97" s="1125"/>
      <c r="L97" s="1128">
        <v>11.026199999999999</v>
      </c>
      <c r="M97" s="1129">
        <v>21.700500000000002</v>
      </c>
      <c r="N97" s="1163"/>
      <c r="O97" s="1510">
        <v>55.131</v>
      </c>
      <c r="P97" s="1511">
        <v>1.4076</v>
      </c>
      <c r="Q97" s="1132">
        <v>41.055</v>
      </c>
      <c r="R97" s="1132">
        <v>14.076000000000001</v>
      </c>
      <c r="S97" s="1133">
        <v>0.79764000000000002</v>
      </c>
      <c r="T97" s="1801"/>
      <c r="U97" s="1134">
        <v>4.692E-3</v>
      </c>
      <c r="V97" s="653">
        <f t="shared" si="21"/>
        <v>0</v>
      </c>
      <c r="W97" s="322">
        <f t="shared" si="22"/>
        <v>0</v>
      </c>
      <c r="X97" s="653" t="e">
        <f>(#REF!*N97/$G$171)</f>
        <v>#REF!</v>
      </c>
      <c r="Y97" s="322">
        <f t="shared" si="27"/>
        <v>0</v>
      </c>
      <c r="Z97" s="653">
        <f t="shared" si="28"/>
        <v>0</v>
      </c>
      <c r="AA97" s="322">
        <f t="shared" si="23"/>
        <v>0</v>
      </c>
      <c r="AB97" s="322">
        <f t="shared" si="24"/>
        <v>0</v>
      </c>
      <c r="AC97" s="654">
        <f t="shared" si="25"/>
        <v>0</v>
      </c>
      <c r="AD97" s="694">
        <f t="shared" si="29"/>
        <v>0</v>
      </c>
      <c r="AE97" s="654">
        <f t="shared" si="26"/>
        <v>0</v>
      </c>
      <c r="AF97" s="190"/>
      <c r="AG97" s="125"/>
      <c r="AH97" s="125"/>
      <c r="AI97" s="125"/>
      <c r="AJ97" s="125"/>
    </row>
    <row r="98" spans="1:47" s="126" customFormat="1" ht="21" hidden="1" customHeight="1" thickBot="1" x14ac:dyDescent="0.25">
      <c r="A98" s="332"/>
      <c r="B98" s="1086" t="s">
        <v>327</v>
      </c>
      <c r="C98" s="1278"/>
      <c r="D98" s="1119"/>
      <c r="E98" s="1947"/>
      <c r="F98" s="1160" t="s">
        <v>223</v>
      </c>
      <c r="G98" s="332"/>
      <c r="H98" s="1162"/>
      <c r="I98" s="1125">
        <f t="shared" si="20"/>
        <v>0</v>
      </c>
      <c r="J98" s="1136"/>
      <c r="K98" s="1125"/>
      <c r="L98" s="1128">
        <v>12.199199999999999</v>
      </c>
      <c r="M98" s="1129">
        <v>23.577300000000001</v>
      </c>
      <c r="N98" s="1163"/>
      <c r="O98" s="1510">
        <v>55.131</v>
      </c>
      <c r="P98" s="1511">
        <v>1.4076</v>
      </c>
      <c r="Q98" s="1132">
        <v>46.92</v>
      </c>
      <c r="R98" s="1132">
        <v>19.940999999999999</v>
      </c>
      <c r="S98" s="1133">
        <v>0.65688000000000002</v>
      </c>
      <c r="T98" s="1801"/>
      <c r="U98" s="1134">
        <v>4.692E-3</v>
      </c>
      <c r="V98" s="653">
        <f t="shared" si="21"/>
        <v>0</v>
      </c>
      <c r="W98" s="322">
        <f t="shared" si="22"/>
        <v>0</v>
      </c>
      <c r="X98" s="653" t="e">
        <f>(#REF!*N98/$G$171)</f>
        <v>#REF!</v>
      </c>
      <c r="Y98" s="322">
        <f t="shared" si="27"/>
        <v>0</v>
      </c>
      <c r="Z98" s="653">
        <f t="shared" si="28"/>
        <v>0</v>
      </c>
      <c r="AA98" s="322">
        <f t="shared" si="23"/>
        <v>0</v>
      </c>
      <c r="AB98" s="322">
        <f t="shared" si="24"/>
        <v>0</v>
      </c>
      <c r="AC98" s="654">
        <f t="shared" si="25"/>
        <v>0</v>
      </c>
      <c r="AD98" s="694">
        <f t="shared" si="29"/>
        <v>0</v>
      </c>
      <c r="AE98" s="654">
        <f t="shared" si="26"/>
        <v>0</v>
      </c>
      <c r="AF98" s="190"/>
      <c r="AG98" s="125"/>
      <c r="AH98" s="125"/>
      <c r="AI98" s="125"/>
      <c r="AJ98" s="125"/>
    </row>
    <row r="99" spans="1:47" s="126" customFormat="1" ht="20.25" hidden="1" customHeight="1" thickBot="1" x14ac:dyDescent="0.25">
      <c r="A99" s="1091"/>
      <c r="B99" s="1100" t="s">
        <v>327</v>
      </c>
      <c r="C99" s="1278"/>
      <c r="D99" s="1877"/>
      <c r="E99" s="1952"/>
      <c r="F99" s="1181" t="s">
        <v>223</v>
      </c>
      <c r="G99" s="1091"/>
      <c r="H99" s="1182"/>
      <c r="I99" s="406">
        <f t="shared" si="20"/>
        <v>0</v>
      </c>
      <c r="J99" s="1148"/>
      <c r="K99" s="406"/>
      <c r="L99" s="1150">
        <v>11.4954</v>
      </c>
      <c r="M99" s="1151">
        <v>21.348600000000001</v>
      </c>
      <c r="N99" s="1151"/>
      <c r="O99" s="1516">
        <v>49.265999999999998</v>
      </c>
      <c r="P99" s="1517">
        <v>1.4779800000000001</v>
      </c>
      <c r="Q99" s="1154">
        <v>56.304000000000002</v>
      </c>
      <c r="R99" s="1154">
        <v>17.594999999999999</v>
      </c>
      <c r="S99" s="1155">
        <v>0.86802000000000001</v>
      </c>
      <c r="T99" s="1803"/>
      <c r="U99" s="1156">
        <v>4.692E-3</v>
      </c>
      <c r="V99" s="653">
        <f t="shared" si="21"/>
        <v>0</v>
      </c>
      <c r="W99" s="322">
        <f t="shared" si="22"/>
        <v>0</v>
      </c>
      <c r="X99" s="653" t="e">
        <f>(#REF!*N99/$G$171)</f>
        <v>#REF!</v>
      </c>
      <c r="Y99" s="322">
        <f t="shared" si="27"/>
        <v>0</v>
      </c>
      <c r="Z99" s="653">
        <f t="shared" si="28"/>
        <v>0</v>
      </c>
      <c r="AA99" s="322">
        <f t="shared" si="23"/>
        <v>0</v>
      </c>
      <c r="AB99" s="322">
        <f t="shared" si="24"/>
        <v>0</v>
      </c>
      <c r="AC99" s="654">
        <f t="shared" si="25"/>
        <v>0</v>
      </c>
      <c r="AD99" s="694">
        <f t="shared" si="29"/>
        <v>0</v>
      </c>
      <c r="AE99" s="654">
        <f t="shared" si="26"/>
        <v>0</v>
      </c>
      <c r="AF99" s="70"/>
      <c r="AG99" s="125"/>
      <c r="AH99" s="125"/>
      <c r="AI99" s="125"/>
      <c r="AJ99" s="125"/>
    </row>
    <row r="100" spans="1:47" s="63" customFormat="1" ht="21" hidden="1" customHeight="1" thickBot="1" x14ac:dyDescent="0.25">
      <c r="A100" s="1083"/>
      <c r="B100" s="1104" t="s">
        <v>220</v>
      </c>
      <c r="C100" s="1306">
        <v>13809.728999999999</v>
      </c>
      <c r="D100" s="1862"/>
      <c r="E100" s="1951">
        <v>0</v>
      </c>
      <c r="F100" s="1157" t="s">
        <v>118</v>
      </c>
      <c r="G100" s="1085"/>
      <c r="H100" s="1222">
        <v>0</v>
      </c>
      <c r="I100" s="1139">
        <f t="shared" si="20"/>
        <v>0</v>
      </c>
      <c r="J100" s="1159">
        <f>SUM(I100:I101)</f>
        <v>0</v>
      </c>
      <c r="K100" s="1164" t="str">
        <f>IF(J100=0," ",H100/J100)</f>
        <v xml:space="preserve"> </v>
      </c>
      <c r="L100" s="1140">
        <v>13.254899999999999</v>
      </c>
      <c r="M100" s="1141">
        <v>20.058300000000003</v>
      </c>
      <c r="N100" s="1197"/>
      <c r="O100" s="1512">
        <v>68.034000000000006</v>
      </c>
      <c r="P100" s="1513">
        <v>1.7712300000000001</v>
      </c>
      <c r="Q100" s="1144">
        <v>31.670999999999999</v>
      </c>
      <c r="R100" s="1144">
        <v>12.903</v>
      </c>
      <c r="S100" s="1145">
        <v>0.2346</v>
      </c>
      <c r="T100" s="2023">
        <v>0.25806000000000001</v>
      </c>
      <c r="U100" s="1198">
        <v>3.5776499999999996E-2</v>
      </c>
      <c r="V100" s="653">
        <f t="shared" si="21"/>
        <v>0</v>
      </c>
      <c r="W100" s="322">
        <f t="shared" si="22"/>
        <v>0</v>
      </c>
      <c r="X100" s="653" t="e">
        <f>(#REF!*N100/$G$171)</f>
        <v>#REF!</v>
      </c>
      <c r="Y100" s="322">
        <f t="shared" si="27"/>
        <v>0</v>
      </c>
      <c r="Z100" s="653">
        <f t="shared" si="28"/>
        <v>0</v>
      </c>
      <c r="AA100" s="322">
        <f t="shared" si="23"/>
        <v>0</v>
      </c>
      <c r="AB100" s="322">
        <f t="shared" si="24"/>
        <v>0</v>
      </c>
      <c r="AC100" s="654">
        <f t="shared" si="25"/>
        <v>0</v>
      </c>
      <c r="AD100" s="654">
        <f t="shared" si="29"/>
        <v>0</v>
      </c>
      <c r="AE100" s="654">
        <f t="shared" si="26"/>
        <v>0</v>
      </c>
      <c r="AF100" s="70"/>
      <c r="AG100" s="68"/>
      <c r="AH100" s="68"/>
    </row>
    <row r="101" spans="1:47" s="63" customFormat="1" ht="21" hidden="1" customHeight="1" thickBot="1" x14ac:dyDescent="0.25">
      <c r="A101" s="2030"/>
      <c r="B101" s="1105" t="s">
        <v>220</v>
      </c>
      <c r="C101" s="1836">
        <v>13809.728999999999</v>
      </c>
      <c r="D101" s="1877"/>
      <c r="E101" s="1952"/>
      <c r="F101" s="1181" t="s">
        <v>228</v>
      </c>
      <c r="G101" s="1091"/>
      <c r="H101" s="2031"/>
      <c r="I101" s="406">
        <f t="shared" si="20"/>
        <v>0</v>
      </c>
      <c r="J101" s="1148"/>
      <c r="K101" s="406"/>
      <c r="L101" s="1150">
        <v>12.4338</v>
      </c>
      <c r="M101" s="1151">
        <v>21.700500000000002</v>
      </c>
      <c r="N101" s="1184"/>
      <c r="O101" s="1516">
        <v>68.034000000000006</v>
      </c>
      <c r="P101" s="1517">
        <v>1.7712300000000001</v>
      </c>
      <c r="Q101" s="1154">
        <v>43.401000000000003</v>
      </c>
      <c r="R101" s="1154">
        <v>15.249000000000001</v>
      </c>
      <c r="S101" s="1155">
        <v>0.24632999999999999</v>
      </c>
      <c r="T101" s="1997">
        <v>0.25806000000000001</v>
      </c>
      <c r="U101" s="1202">
        <v>3.5776499999999996E-2</v>
      </c>
      <c r="V101" s="653">
        <f t="shared" si="21"/>
        <v>0</v>
      </c>
      <c r="W101" s="322">
        <f t="shared" si="22"/>
        <v>0</v>
      </c>
      <c r="X101" s="653" t="e">
        <f>(#REF!*N101/$G$171)</f>
        <v>#REF!</v>
      </c>
      <c r="Y101" s="322">
        <f t="shared" si="27"/>
        <v>0</v>
      </c>
      <c r="Z101" s="653">
        <f t="shared" si="28"/>
        <v>0</v>
      </c>
      <c r="AA101" s="322">
        <f t="shared" si="23"/>
        <v>0</v>
      </c>
      <c r="AB101" s="322">
        <f t="shared" si="24"/>
        <v>0</v>
      </c>
      <c r="AC101" s="654">
        <f t="shared" si="25"/>
        <v>0</v>
      </c>
      <c r="AD101" s="654">
        <f t="shared" si="29"/>
        <v>0</v>
      </c>
      <c r="AE101" s="654">
        <f t="shared" si="26"/>
        <v>0</v>
      </c>
      <c r="AF101" s="70"/>
      <c r="AG101" s="68"/>
      <c r="AH101" s="68"/>
    </row>
    <row r="102" spans="1:47" s="126" customFormat="1" ht="21" customHeight="1" thickBot="1" x14ac:dyDescent="0.25">
      <c r="A102" s="1101">
        <v>24.632999999999999</v>
      </c>
      <c r="B102" s="1104" t="s">
        <v>120</v>
      </c>
      <c r="C102" s="1306">
        <v>14266.17849</v>
      </c>
      <c r="D102" s="1118"/>
      <c r="E102" s="1946">
        <v>0</v>
      </c>
      <c r="F102" s="1157" t="s">
        <v>118</v>
      </c>
      <c r="G102" s="1085"/>
      <c r="H102" s="2141">
        <v>2000</v>
      </c>
      <c r="I102" s="1139">
        <f t="shared" ref="I102:I133" si="30">G102*I$171/$G$171</f>
        <v>0</v>
      </c>
      <c r="J102" s="1159">
        <f>SUM(I102:I105)</f>
        <v>0</v>
      </c>
      <c r="K102" s="1164" t="str">
        <f>IF(J102=0," ",H102/J102)</f>
        <v xml:space="preserve"> </v>
      </c>
      <c r="L102" s="2135">
        <v>12.3165</v>
      </c>
      <c r="M102" s="2136">
        <v>20.058300000000003</v>
      </c>
      <c r="N102" s="2137"/>
      <c r="O102" s="2138">
        <v>78.590999999999994</v>
      </c>
      <c r="P102" s="2139">
        <v>1.7712300000000001</v>
      </c>
      <c r="Q102" s="2140">
        <v>36.363</v>
      </c>
      <c r="R102" s="1144">
        <v>12.903</v>
      </c>
      <c r="S102" s="1145">
        <v>0.26978999999999997</v>
      </c>
      <c r="T102" s="2023">
        <v>0.25806000000000001</v>
      </c>
      <c r="U102" s="933">
        <v>3.5776499999999996E-2</v>
      </c>
      <c r="V102" s="653">
        <f t="shared" ref="V102:V133" si="31">(G102*L102/$G$171)</f>
        <v>0</v>
      </c>
      <c r="W102" s="322">
        <f t="shared" ref="W102:W133" si="32">(G102*M102/$G$171)</f>
        <v>0</v>
      </c>
      <c r="X102" s="653" t="e">
        <f>(#REF!*N102/$G$171)</f>
        <v>#REF!</v>
      </c>
      <c r="Y102" s="322">
        <f t="shared" si="27"/>
        <v>0</v>
      </c>
      <c r="Z102" s="653">
        <f t="shared" si="28"/>
        <v>0</v>
      </c>
      <c r="AA102" s="322">
        <f t="shared" ref="AA102:AA133" si="33">(G102*Q102/$G$171)</f>
        <v>0</v>
      </c>
      <c r="AB102" s="322">
        <f t="shared" ref="AB102:AB133" si="34">(G102*R102/$G$171)</f>
        <v>0</v>
      </c>
      <c r="AC102" s="654">
        <f t="shared" ref="AC102:AC133" si="35">(G102*S102/$G$171)</f>
        <v>0</v>
      </c>
      <c r="AD102" s="654">
        <f t="shared" si="29"/>
        <v>0</v>
      </c>
      <c r="AE102" s="654">
        <f t="shared" ref="AE102:AE114" si="36">(G102*U102/$G$171)</f>
        <v>0</v>
      </c>
      <c r="AF102" s="70"/>
      <c r="AG102" s="125"/>
      <c r="AH102" s="125"/>
    </row>
    <row r="103" spans="1:47" s="126" customFormat="1" ht="21" hidden="1" customHeight="1" thickBot="1" x14ac:dyDescent="0.25">
      <c r="A103" s="1109"/>
      <c r="B103" s="1111" t="s">
        <v>233</v>
      </c>
      <c r="C103" s="1278">
        <v>13809.728999999999</v>
      </c>
      <c r="D103" s="1279"/>
      <c r="E103" s="1944"/>
      <c r="F103" s="1160" t="s">
        <v>228</v>
      </c>
      <c r="G103" s="332"/>
      <c r="H103" s="1199"/>
      <c r="I103" s="1125">
        <f t="shared" si="30"/>
        <v>0</v>
      </c>
      <c r="J103" s="1136"/>
      <c r="K103" s="1125"/>
      <c r="L103" s="1203">
        <v>12.4338</v>
      </c>
      <c r="M103" s="2060">
        <v>20.996700000000001</v>
      </c>
      <c r="N103" s="1204"/>
      <c r="O103" s="1520">
        <v>78.590999999999994</v>
      </c>
      <c r="P103" s="1521">
        <v>1.7712300000000001</v>
      </c>
      <c r="Q103" s="1205">
        <v>35.19</v>
      </c>
      <c r="R103" s="1132">
        <v>12.903</v>
      </c>
      <c r="S103" s="1133">
        <v>0.24632999999999999</v>
      </c>
      <c r="T103" s="1997">
        <v>0.247503</v>
      </c>
      <c r="U103" s="948">
        <v>3.5776499999999996E-2</v>
      </c>
      <c r="V103" s="653">
        <f t="shared" si="31"/>
        <v>0</v>
      </c>
      <c r="W103" s="322">
        <f t="shared" si="32"/>
        <v>0</v>
      </c>
      <c r="X103" s="653" t="e">
        <f>(#REF!*N103/$G$171)</f>
        <v>#REF!</v>
      </c>
      <c r="Y103" s="322">
        <f t="shared" si="27"/>
        <v>0</v>
      </c>
      <c r="Z103" s="653">
        <f t="shared" si="28"/>
        <v>0</v>
      </c>
      <c r="AA103" s="322">
        <f t="shared" si="33"/>
        <v>0</v>
      </c>
      <c r="AB103" s="322">
        <f t="shared" si="34"/>
        <v>0</v>
      </c>
      <c r="AC103" s="654">
        <f t="shared" si="35"/>
        <v>0</v>
      </c>
      <c r="AD103" s="654">
        <f t="shared" si="29"/>
        <v>0</v>
      </c>
      <c r="AE103" s="654">
        <f t="shared" si="36"/>
        <v>0</v>
      </c>
      <c r="AF103" s="70"/>
      <c r="AG103" s="125"/>
      <c r="AH103" s="125"/>
    </row>
    <row r="104" spans="1:47" s="126" customFormat="1" ht="18.75" hidden="1" customHeight="1" thickBot="1" x14ac:dyDescent="0.25">
      <c r="A104" s="332"/>
      <c r="B104" s="1111" t="s">
        <v>233</v>
      </c>
      <c r="C104" s="1278">
        <v>13788.88479</v>
      </c>
      <c r="D104" s="1119"/>
      <c r="E104" s="1947"/>
      <c r="F104" s="1160" t="s">
        <v>228</v>
      </c>
      <c r="G104" s="332"/>
      <c r="H104" s="1199"/>
      <c r="I104" s="1125">
        <f t="shared" si="30"/>
        <v>0</v>
      </c>
      <c r="J104" s="1136"/>
      <c r="K104" s="1125"/>
      <c r="L104" s="1203">
        <v>13.372199999999999</v>
      </c>
      <c r="M104" s="2000">
        <v>19.237199999999998</v>
      </c>
      <c r="N104" s="1204"/>
      <c r="O104" s="1520">
        <v>77.418000000000006</v>
      </c>
      <c r="P104" s="1521">
        <v>1.7595000000000001</v>
      </c>
      <c r="Q104" s="1205">
        <v>21.114000000000001</v>
      </c>
      <c r="R104" s="1132">
        <v>11.73</v>
      </c>
      <c r="S104" s="1133">
        <v>0.21113999999999999</v>
      </c>
      <c r="T104" s="2025">
        <v>0.42697199999999996</v>
      </c>
      <c r="U104" s="1134">
        <v>3.5776499999999996E-2</v>
      </c>
      <c r="V104" s="653">
        <f t="shared" si="31"/>
        <v>0</v>
      </c>
      <c r="W104" s="322">
        <f t="shared" si="32"/>
        <v>0</v>
      </c>
      <c r="X104" s="653" t="e">
        <f>(#REF!*N104/$G$171)</f>
        <v>#REF!</v>
      </c>
      <c r="Y104" s="322">
        <f t="shared" si="27"/>
        <v>0</v>
      </c>
      <c r="Z104" s="653">
        <f t="shared" si="28"/>
        <v>0</v>
      </c>
      <c r="AA104" s="322">
        <f t="shared" si="33"/>
        <v>0</v>
      </c>
      <c r="AB104" s="322">
        <f t="shared" si="34"/>
        <v>0</v>
      </c>
      <c r="AC104" s="654">
        <f t="shared" si="35"/>
        <v>0</v>
      </c>
      <c r="AD104" s="694">
        <f t="shared" si="29"/>
        <v>0</v>
      </c>
      <c r="AE104" s="654">
        <f t="shared" si="36"/>
        <v>0</v>
      </c>
      <c r="AF104" s="190"/>
      <c r="AG104" s="125"/>
      <c r="AH104" s="125"/>
    </row>
    <row r="105" spans="1:47" s="129" customFormat="1" ht="20.25" hidden="1" customHeight="1" thickBot="1" x14ac:dyDescent="0.25">
      <c r="A105" s="1082"/>
      <c r="B105" s="1105" t="s">
        <v>328</v>
      </c>
      <c r="C105" s="1278"/>
      <c r="D105" s="1119"/>
      <c r="E105" s="1947"/>
      <c r="F105" s="1160" t="s">
        <v>223</v>
      </c>
      <c r="G105" s="332"/>
      <c r="H105" s="1135"/>
      <c r="I105" s="1125">
        <f t="shared" si="30"/>
        <v>0</v>
      </c>
      <c r="J105" s="1136"/>
      <c r="K105" s="1125"/>
      <c r="L105" s="1203">
        <v>10.2051</v>
      </c>
      <c r="M105" s="2000">
        <v>20.7621</v>
      </c>
      <c r="N105" s="1204"/>
      <c r="O105" s="1520">
        <v>73.899000000000001</v>
      </c>
      <c r="P105" s="1521">
        <v>1.72431</v>
      </c>
      <c r="Q105" s="1205">
        <v>39.881999999999998</v>
      </c>
      <c r="R105" s="1132">
        <v>12.903</v>
      </c>
      <c r="S105" s="1133">
        <v>0.48093000000000002</v>
      </c>
      <c r="T105" s="2025"/>
      <c r="U105" s="1134">
        <v>0.112608</v>
      </c>
      <c r="V105" s="653">
        <f t="shared" si="31"/>
        <v>0</v>
      </c>
      <c r="W105" s="322">
        <f t="shared" si="32"/>
        <v>0</v>
      </c>
      <c r="X105" s="653" t="e">
        <f>(#REF!*N105/$G$171)</f>
        <v>#REF!</v>
      </c>
      <c r="Y105" s="322">
        <f t="shared" si="27"/>
        <v>0</v>
      </c>
      <c r="Z105" s="653">
        <f t="shared" si="28"/>
        <v>0</v>
      </c>
      <c r="AA105" s="322">
        <f t="shared" si="33"/>
        <v>0</v>
      </c>
      <c r="AB105" s="322">
        <f t="shared" si="34"/>
        <v>0</v>
      </c>
      <c r="AC105" s="654">
        <f t="shared" si="35"/>
        <v>0</v>
      </c>
      <c r="AD105" s="694">
        <f t="shared" si="29"/>
        <v>0</v>
      </c>
      <c r="AE105" s="654">
        <f t="shared" si="36"/>
        <v>0</v>
      </c>
      <c r="AF105" s="178"/>
      <c r="AG105" s="133"/>
      <c r="AH105" s="133"/>
    </row>
    <row r="106" spans="1:47" s="126" customFormat="1" ht="21" hidden="1" customHeight="1" thickBot="1" x14ac:dyDescent="0.25">
      <c r="A106" s="1083"/>
      <c r="B106" s="1104" t="s">
        <v>329</v>
      </c>
      <c r="C106" s="1306">
        <v>13071.184740000001</v>
      </c>
      <c r="D106" s="1862"/>
      <c r="E106" s="1951"/>
      <c r="F106" s="1157" t="s">
        <v>223</v>
      </c>
      <c r="G106" s="1085"/>
      <c r="H106" s="1222">
        <v>0</v>
      </c>
      <c r="I106" s="1139">
        <f t="shared" si="30"/>
        <v>0</v>
      </c>
      <c r="J106" s="1159">
        <f>SUM(I106:I108)</f>
        <v>0</v>
      </c>
      <c r="K106" s="1139" t="str">
        <f>IF(J106=0," ",H106/J106)</f>
        <v xml:space="preserve"> </v>
      </c>
      <c r="L106" s="1616">
        <v>10.557</v>
      </c>
      <c r="M106" s="1699">
        <v>24.750299999999999</v>
      </c>
      <c r="N106" s="1197"/>
      <c r="O106" s="1512">
        <v>65.688000000000002</v>
      </c>
      <c r="P106" s="1513">
        <v>1.5248999999999999</v>
      </c>
      <c r="Q106" s="1144">
        <v>37.536000000000001</v>
      </c>
      <c r="R106" s="1144">
        <v>16.422000000000001</v>
      </c>
      <c r="S106" s="1145">
        <v>0.56303999999999998</v>
      </c>
      <c r="T106" s="2025"/>
      <c r="U106" s="1134">
        <v>1.16127E-2</v>
      </c>
      <c r="V106" s="653">
        <f t="shared" si="31"/>
        <v>0</v>
      </c>
      <c r="W106" s="322">
        <f t="shared" si="32"/>
        <v>0</v>
      </c>
      <c r="X106" s="653" t="e">
        <f>(#REF!*N106/$G$171)</f>
        <v>#REF!</v>
      </c>
      <c r="Y106" s="322">
        <f t="shared" si="27"/>
        <v>0</v>
      </c>
      <c r="Z106" s="653">
        <f t="shared" si="28"/>
        <v>0</v>
      </c>
      <c r="AA106" s="322">
        <f t="shared" si="33"/>
        <v>0</v>
      </c>
      <c r="AB106" s="322">
        <f t="shared" si="34"/>
        <v>0</v>
      </c>
      <c r="AC106" s="654">
        <f t="shared" si="35"/>
        <v>0</v>
      </c>
      <c r="AD106" s="694">
        <f t="shared" si="29"/>
        <v>0</v>
      </c>
      <c r="AE106" s="654">
        <f t="shared" si="36"/>
        <v>0</v>
      </c>
      <c r="AF106" s="70"/>
      <c r="AG106" s="125"/>
      <c r="AH106" s="125"/>
      <c r="AI106" s="125"/>
      <c r="AJ106" s="125"/>
      <c r="AP106" s="126">
        <v>39.060899999999997</v>
      </c>
      <c r="AQ106" s="126">
        <v>104.39700000000001</v>
      </c>
      <c r="AS106" s="126" t="e">
        <f>AVERAGE(AS79:AS105)</f>
        <v>#DIV/0!</v>
      </c>
      <c r="AT106" s="126" t="e">
        <f>AVERAGE(AT79:AT105)</f>
        <v>#DIV/0!</v>
      </c>
      <c r="AU106" s="126" t="e">
        <f>AVERAGE(AU79:AU105)</f>
        <v>#DIV/0!</v>
      </c>
    </row>
    <row r="107" spans="1:47" s="126" customFormat="1" ht="21" hidden="1" customHeight="1" thickBot="1" x14ac:dyDescent="0.25">
      <c r="A107" s="1082"/>
      <c r="B107" s="1615" t="s">
        <v>329</v>
      </c>
      <c r="C107" s="1591">
        <v>13071.184740000001</v>
      </c>
      <c r="D107" s="1878"/>
      <c r="E107" s="1953"/>
      <c r="F107" s="1160" t="s">
        <v>223</v>
      </c>
      <c r="G107" s="332"/>
      <c r="H107" s="1199"/>
      <c r="I107" s="1125">
        <f t="shared" si="30"/>
        <v>0</v>
      </c>
      <c r="J107" s="1136"/>
      <c r="K107" s="1125"/>
      <c r="L107" s="1128">
        <v>9.6185999999999989</v>
      </c>
      <c r="M107" s="1214">
        <v>24.750299999999999</v>
      </c>
      <c r="N107" s="1163"/>
      <c r="O107" s="1510">
        <v>65.688000000000002</v>
      </c>
      <c r="P107" s="1511">
        <v>1.5248999999999999</v>
      </c>
      <c r="Q107" s="1132">
        <v>37.536000000000001</v>
      </c>
      <c r="R107" s="1132">
        <v>16.422000000000001</v>
      </c>
      <c r="S107" s="1133">
        <v>0.56303999999999998</v>
      </c>
      <c r="T107" s="2025"/>
      <c r="U107" s="1134">
        <v>1.16127E-2</v>
      </c>
      <c r="V107" s="653">
        <f t="shared" si="31"/>
        <v>0</v>
      </c>
      <c r="W107" s="322">
        <f t="shared" si="32"/>
        <v>0</v>
      </c>
      <c r="X107" s="653" t="e">
        <f>(#REF!*N107/$G$171)</f>
        <v>#REF!</v>
      </c>
      <c r="Y107" s="322">
        <f t="shared" si="27"/>
        <v>0</v>
      </c>
      <c r="Z107" s="653">
        <f t="shared" si="28"/>
        <v>0</v>
      </c>
      <c r="AA107" s="322">
        <f t="shared" si="33"/>
        <v>0</v>
      </c>
      <c r="AB107" s="322">
        <f t="shared" si="34"/>
        <v>0</v>
      </c>
      <c r="AC107" s="654">
        <f t="shared" si="35"/>
        <v>0</v>
      </c>
      <c r="AD107" s="694">
        <f t="shared" si="29"/>
        <v>0</v>
      </c>
      <c r="AE107" s="654">
        <f t="shared" si="36"/>
        <v>0</v>
      </c>
      <c r="AF107" s="70"/>
      <c r="AG107" s="125"/>
      <c r="AH107" s="125"/>
      <c r="AI107" s="125"/>
      <c r="AJ107" s="125"/>
    </row>
    <row r="108" spans="1:47" s="126" customFormat="1" ht="18.75" hidden="1" customHeight="1" thickBot="1" x14ac:dyDescent="0.25">
      <c r="A108" s="1082"/>
      <c r="B108" s="1615" t="s">
        <v>329</v>
      </c>
      <c r="C108" s="1591">
        <v>13071.184740000001</v>
      </c>
      <c r="D108" s="1878"/>
      <c r="E108" s="1953"/>
      <c r="F108" s="1160" t="s">
        <v>223</v>
      </c>
      <c r="G108" s="332"/>
      <c r="H108" s="1199"/>
      <c r="I108" s="1125">
        <f t="shared" si="30"/>
        <v>0</v>
      </c>
      <c r="J108" s="1136"/>
      <c r="K108" s="1125"/>
      <c r="L108" s="1128">
        <v>10.0878</v>
      </c>
      <c r="M108" s="1214">
        <v>26.040600000000001</v>
      </c>
      <c r="N108" s="1163"/>
      <c r="O108" s="1510">
        <v>65.688000000000002</v>
      </c>
      <c r="P108" s="1511">
        <v>1.5248999999999999</v>
      </c>
      <c r="Q108" s="1132">
        <v>49.265999999999998</v>
      </c>
      <c r="R108" s="1132">
        <v>16.422000000000001</v>
      </c>
      <c r="S108" s="1133">
        <v>0.51612000000000002</v>
      </c>
      <c r="T108" s="2025"/>
      <c r="U108" s="1134">
        <v>1.16127E-2</v>
      </c>
      <c r="V108" s="653">
        <f t="shared" si="31"/>
        <v>0</v>
      </c>
      <c r="W108" s="322">
        <f t="shared" si="32"/>
        <v>0</v>
      </c>
      <c r="X108" s="653" t="e">
        <f>(#REF!*N108/$G$171)</f>
        <v>#REF!</v>
      </c>
      <c r="Y108" s="322">
        <f t="shared" si="27"/>
        <v>0</v>
      </c>
      <c r="Z108" s="653">
        <f t="shared" si="28"/>
        <v>0</v>
      </c>
      <c r="AA108" s="322">
        <f t="shared" si="33"/>
        <v>0</v>
      </c>
      <c r="AB108" s="322">
        <f t="shared" si="34"/>
        <v>0</v>
      </c>
      <c r="AC108" s="654">
        <f t="shared" si="35"/>
        <v>0</v>
      </c>
      <c r="AD108" s="694">
        <f t="shared" si="29"/>
        <v>0</v>
      </c>
      <c r="AE108" s="654">
        <f t="shared" si="36"/>
        <v>0</v>
      </c>
      <c r="AF108" s="70"/>
      <c r="AG108" s="125"/>
      <c r="AH108" s="125"/>
      <c r="AI108" s="125"/>
      <c r="AJ108" s="125"/>
    </row>
    <row r="109" spans="1:47" s="126" customFormat="1" ht="18.75" hidden="1" customHeight="1" thickBot="1" x14ac:dyDescent="0.25">
      <c r="A109" s="1083"/>
      <c r="B109" s="1315" t="s">
        <v>330</v>
      </c>
      <c r="C109" s="1837">
        <v>13071.184740000001</v>
      </c>
      <c r="D109" s="1879"/>
      <c r="E109" s="1954"/>
      <c r="F109" s="1157" t="s">
        <v>223</v>
      </c>
      <c r="G109" s="1085"/>
      <c r="H109" s="1201">
        <v>0</v>
      </c>
      <c r="I109" s="1139">
        <f t="shared" si="30"/>
        <v>0</v>
      </c>
      <c r="J109" s="1159">
        <f>SUM(I109:I110)</f>
        <v>0</v>
      </c>
      <c r="K109" s="1139" t="str">
        <f>IF(J109=0," ",H109/J109)</f>
        <v xml:space="preserve"> </v>
      </c>
      <c r="L109" s="1140"/>
      <c r="M109" s="1699"/>
      <c r="N109" s="1197"/>
      <c r="O109" s="1512">
        <v>76.245000000000005</v>
      </c>
      <c r="P109" s="1513">
        <v>1.44279</v>
      </c>
      <c r="Q109" s="1144"/>
      <c r="R109" s="1144"/>
      <c r="S109" s="1145"/>
      <c r="T109" s="2023"/>
      <c r="U109" s="1146">
        <v>0.11612700000000001</v>
      </c>
      <c r="V109" s="653">
        <f t="shared" si="31"/>
        <v>0</v>
      </c>
      <c r="W109" s="322">
        <f t="shared" si="32"/>
        <v>0</v>
      </c>
      <c r="X109" s="653" t="e">
        <f>(#REF!*N109/$G$171)</f>
        <v>#REF!</v>
      </c>
      <c r="Y109" s="322">
        <f t="shared" si="27"/>
        <v>0</v>
      </c>
      <c r="Z109" s="653">
        <f t="shared" si="28"/>
        <v>0</v>
      </c>
      <c r="AA109" s="322">
        <f t="shared" si="33"/>
        <v>0</v>
      </c>
      <c r="AB109" s="322">
        <f t="shared" si="34"/>
        <v>0</v>
      </c>
      <c r="AC109" s="654">
        <f t="shared" si="35"/>
        <v>0</v>
      </c>
      <c r="AD109" s="694">
        <f t="shared" si="29"/>
        <v>0</v>
      </c>
      <c r="AE109" s="654">
        <f t="shared" si="36"/>
        <v>0</v>
      </c>
      <c r="AF109" s="190"/>
      <c r="AG109" s="125"/>
      <c r="AH109" s="125"/>
      <c r="AI109" s="125"/>
      <c r="AJ109" s="125"/>
    </row>
    <row r="110" spans="1:47" s="126" customFormat="1" ht="18.75" hidden="1" customHeight="1" thickBot="1" x14ac:dyDescent="0.25">
      <c r="A110" s="1103"/>
      <c r="B110" s="1097"/>
      <c r="C110" s="1836">
        <v>13071.184740000001</v>
      </c>
      <c r="D110" s="1880"/>
      <c r="E110" s="1955"/>
      <c r="F110" s="1206" t="s">
        <v>223</v>
      </c>
      <c r="G110" s="171"/>
      <c r="H110" s="1207"/>
      <c r="I110" s="406">
        <f t="shared" si="30"/>
        <v>0</v>
      </c>
      <c r="J110" s="1148"/>
      <c r="K110" s="406"/>
      <c r="L110" s="1208"/>
      <c r="M110" s="2001"/>
      <c r="N110" s="1210"/>
      <c r="O110" s="1522"/>
      <c r="P110" s="1523"/>
      <c r="Q110" s="1211"/>
      <c r="R110" s="1211"/>
      <c r="S110" s="1212"/>
      <c r="T110" s="2025"/>
      <c r="U110" s="1134"/>
      <c r="V110" s="653">
        <f t="shared" si="31"/>
        <v>0</v>
      </c>
      <c r="W110" s="322">
        <f t="shared" si="32"/>
        <v>0</v>
      </c>
      <c r="X110" s="653" t="e">
        <f>(#REF!*N110/$G$171)</f>
        <v>#REF!</v>
      </c>
      <c r="Y110" s="322">
        <f t="shared" si="27"/>
        <v>0</v>
      </c>
      <c r="Z110" s="653">
        <f t="shared" si="28"/>
        <v>0</v>
      </c>
      <c r="AA110" s="322">
        <f t="shared" si="33"/>
        <v>0</v>
      </c>
      <c r="AB110" s="322">
        <f t="shared" si="34"/>
        <v>0</v>
      </c>
      <c r="AC110" s="654">
        <f t="shared" si="35"/>
        <v>0</v>
      </c>
      <c r="AD110" s="694">
        <f t="shared" si="29"/>
        <v>0</v>
      </c>
      <c r="AE110" s="654">
        <f t="shared" si="36"/>
        <v>0</v>
      </c>
      <c r="AF110" s="178"/>
      <c r="AG110" s="125"/>
      <c r="AH110" s="125"/>
      <c r="AI110" s="125"/>
      <c r="AJ110" s="125"/>
    </row>
    <row r="111" spans="1:47" s="126" customFormat="1" ht="21" customHeight="1" thickBot="1" x14ac:dyDescent="0.25">
      <c r="A111" s="1085">
        <v>5.8650000000000002</v>
      </c>
      <c r="B111" s="1099" t="s">
        <v>46</v>
      </c>
      <c r="C111" s="1306">
        <v>11869.059149999999</v>
      </c>
      <c r="D111" s="1116">
        <v>11.73</v>
      </c>
      <c r="E111" s="1946">
        <v>6.8163265306122449</v>
      </c>
      <c r="F111" s="1157" t="s">
        <v>14</v>
      </c>
      <c r="G111" s="1085"/>
      <c r="H111" s="1222">
        <v>3400</v>
      </c>
      <c r="I111" s="1139">
        <f t="shared" si="30"/>
        <v>0</v>
      </c>
      <c r="J111" s="1237">
        <f>SUM(I111:I124)</f>
        <v>181.00725867887908</v>
      </c>
      <c r="K111" s="1499">
        <f>IF(J111=0," ",H111/J111)</f>
        <v>18.783777097203952</v>
      </c>
      <c r="L111" s="1140">
        <v>9.2667000000000002</v>
      </c>
      <c r="M111" s="1141">
        <v>22.6389</v>
      </c>
      <c r="N111" s="1141"/>
      <c r="O111" s="1512">
        <v>56.304000000000002</v>
      </c>
      <c r="P111" s="1513">
        <v>1.56009</v>
      </c>
      <c r="Q111" s="1144">
        <v>45.747</v>
      </c>
      <c r="R111" s="1144">
        <v>15.249000000000001</v>
      </c>
      <c r="S111" s="1145">
        <v>0.59823000000000004</v>
      </c>
      <c r="T111" s="2023">
        <v>0.137241</v>
      </c>
      <c r="U111" s="1146">
        <v>1.16127E-2</v>
      </c>
      <c r="V111" s="653">
        <f t="shared" si="31"/>
        <v>0</v>
      </c>
      <c r="W111" s="322">
        <f t="shared" si="32"/>
        <v>0</v>
      </c>
      <c r="X111" s="653" t="e">
        <f>(#REF!*N111/$G$171)</f>
        <v>#REF!</v>
      </c>
      <c r="Y111" s="322">
        <f>G111*O111/100</f>
        <v>0</v>
      </c>
      <c r="Z111" s="653">
        <f>(G111*P111/100)</f>
        <v>0</v>
      </c>
      <c r="AA111" s="322">
        <f t="shared" si="33"/>
        <v>0</v>
      </c>
      <c r="AB111" s="322">
        <f t="shared" si="34"/>
        <v>0</v>
      </c>
      <c r="AC111" s="654">
        <f t="shared" si="35"/>
        <v>0</v>
      </c>
      <c r="AD111" s="654">
        <f t="shared" si="29"/>
        <v>0</v>
      </c>
      <c r="AE111" s="654">
        <f t="shared" si="36"/>
        <v>0</v>
      </c>
      <c r="AF111" s="70"/>
      <c r="AG111" s="125"/>
      <c r="AH111" s="125"/>
      <c r="AI111" s="125"/>
      <c r="AJ111" s="125"/>
    </row>
    <row r="112" spans="1:47" s="130" customFormat="1" ht="21" hidden="1" customHeight="1" thickBot="1" x14ac:dyDescent="0.25">
      <c r="A112" s="260">
        <v>5.8650000000000002</v>
      </c>
      <c r="B112" s="2168" t="s">
        <v>46</v>
      </c>
      <c r="C112" s="2169">
        <v>11869.059149999999</v>
      </c>
      <c r="D112" s="1876"/>
      <c r="E112" s="1947"/>
      <c r="F112" s="2170" t="s">
        <v>243</v>
      </c>
      <c r="G112" s="260"/>
      <c r="H112" s="1221"/>
      <c r="I112" s="1446">
        <f t="shared" si="30"/>
        <v>0</v>
      </c>
      <c r="J112" s="2171"/>
      <c r="K112" s="2172"/>
      <c r="L112" s="1371">
        <v>8.6801999999999992</v>
      </c>
      <c r="M112" s="1214">
        <v>23.577300000000001</v>
      </c>
      <c r="N112" s="1214"/>
      <c r="O112" s="1372">
        <v>56.304000000000002</v>
      </c>
      <c r="P112" s="1373">
        <v>1.56009</v>
      </c>
      <c r="Q112" s="1374">
        <v>44.573999999999998</v>
      </c>
      <c r="R112" s="1374">
        <v>15.249000000000001</v>
      </c>
      <c r="S112" s="1375">
        <v>0.58650000000000002</v>
      </c>
      <c r="T112" s="2027">
        <v>0.137241</v>
      </c>
      <c r="U112" s="1376"/>
      <c r="V112" s="1377">
        <f t="shared" si="31"/>
        <v>0</v>
      </c>
      <c r="W112" s="1378">
        <f t="shared" si="32"/>
        <v>0</v>
      </c>
      <c r="X112" s="1377" t="e">
        <f>(#REF!*N112/$G$171)</f>
        <v>#REF!</v>
      </c>
      <c r="Y112" s="1378">
        <f t="shared" ref="Y112:Y169" si="37">G112*O112/100</f>
        <v>0</v>
      </c>
      <c r="Z112" s="1377">
        <f t="shared" ref="Z112:Z169" si="38">(G112*P112/100)</f>
        <v>0</v>
      </c>
      <c r="AA112" s="1378">
        <f t="shared" si="33"/>
        <v>0</v>
      </c>
      <c r="AB112" s="1378">
        <f t="shared" si="34"/>
        <v>0</v>
      </c>
      <c r="AC112" s="1379">
        <f t="shared" si="35"/>
        <v>0</v>
      </c>
      <c r="AD112" s="1379">
        <f t="shared" si="29"/>
        <v>0</v>
      </c>
      <c r="AE112" s="1379">
        <f t="shared" si="36"/>
        <v>0</v>
      </c>
      <c r="AF112" s="1380"/>
      <c r="AG112" s="147"/>
      <c r="AH112" s="147"/>
      <c r="AI112" s="147"/>
      <c r="AJ112" s="147"/>
    </row>
    <row r="113" spans="1:36" s="509" customFormat="1" ht="21" customHeight="1" thickBot="1" x14ac:dyDescent="0.25">
      <c r="A113" s="1240">
        <v>30.498000000000001</v>
      </c>
      <c r="B113" s="1239" t="s">
        <v>46</v>
      </c>
      <c r="C113" s="1839">
        <v>11869.059149999999</v>
      </c>
      <c r="D113" s="2210"/>
      <c r="E113" s="1945"/>
      <c r="F113" s="1241" t="s">
        <v>243</v>
      </c>
      <c r="G113" s="1240">
        <v>9.3840000000000003</v>
      </c>
      <c r="H113" s="1242"/>
      <c r="I113" s="1244">
        <f t="shared" si="30"/>
        <v>181.00725867887908</v>
      </c>
      <c r="J113" s="1243"/>
      <c r="K113" s="2211"/>
      <c r="L113" s="1231">
        <v>9.3840000000000003</v>
      </c>
      <c r="M113" s="1137">
        <v>24.046500000000002</v>
      </c>
      <c r="N113" s="1137"/>
      <c r="O113" s="1232">
        <v>56.304000000000002</v>
      </c>
      <c r="P113" s="1233">
        <v>1.56009</v>
      </c>
      <c r="Q113" s="1234">
        <v>44.573999999999998</v>
      </c>
      <c r="R113" s="1234">
        <v>15.249000000000001</v>
      </c>
      <c r="S113" s="1235">
        <v>0.56303999999999998</v>
      </c>
      <c r="T113" s="2213">
        <v>0.137241</v>
      </c>
      <c r="U113" s="1236">
        <v>1.16127E-2</v>
      </c>
      <c r="V113" s="693">
        <f t="shared" si="31"/>
        <v>0.64</v>
      </c>
      <c r="W113" s="670">
        <f t="shared" si="32"/>
        <v>1.64</v>
      </c>
      <c r="X113" s="693" t="e">
        <f>(#REF!*N113/$G$171)</f>
        <v>#REF!</v>
      </c>
      <c r="Y113" s="670">
        <f t="shared" si="37"/>
        <v>3.84</v>
      </c>
      <c r="Z113" s="693">
        <f t="shared" si="38"/>
        <v>0.10640000000000001</v>
      </c>
      <c r="AA113" s="670">
        <f t="shared" si="33"/>
        <v>3.04</v>
      </c>
      <c r="AB113" s="670">
        <f t="shared" si="34"/>
        <v>1.04</v>
      </c>
      <c r="AC113" s="694">
        <f t="shared" si="35"/>
        <v>3.8399999999999997E-2</v>
      </c>
      <c r="AD113" s="694">
        <f t="shared" si="29"/>
        <v>9.3600000000000003E-3</v>
      </c>
      <c r="AE113" s="694">
        <f t="shared" si="36"/>
        <v>7.9200000000000006E-4</v>
      </c>
      <c r="AF113" s="1245"/>
      <c r="AG113" s="508"/>
      <c r="AH113" s="508"/>
      <c r="AI113" s="508"/>
      <c r="AJ113" s="508"/>
    </row>
    <row r="114" spans="1:36" s="126" customFormat="1" ht="21.75" hidden="1" customHeight="1" thickBot="1" x14ac:dyDescent="0.25">
      <c r="A114" s="332"/>
      <c r="B114" s="1086" t="s">
        <v>331</v>
      </c>
      <c r="C114" s="1278">
        <v>10876.43136</v>
      </c>
      <c r="D114" s="2014"/>
      <c r="E114" s="2015"/>
      <c r="F114" s="1160" t="s">
        <v>243</v>
      </c>
      <c r="G114" s="332"/>
      <c r="H114" s="1162"/>
      <c r="I114" s="1125">
        <f t="shared" si="30"/>
        <v>0</v>
      </c>
      <c r="J114" s="1136"/>
      <c r="K114" s="1125"/>
      <c r="L114" s="1128">
        <v>9.3840000000000003</v>
      </c>
      <c r="M114" s="1129">
        <v>23.342699999999997</v>
      </c>
      <c r="N114" s="1163"/>
      <c r="O114" s="1510">
        <v>57.476999999999997</v>
      </c>
      <c r="P114" s="1511">
        <v>1.54836</v>
      </c>
      <c r="Q114" s="1132">
        <v>49.265999999999998</v>
      </c>
      <c r="R114" s="1132">
        <v>14.076000000000001</v>
      </c>
      <c r="S114" s="1133">
        <v>0.55130999999999997</v>
      </c>
      <c r="T114" s="2025">
        <v>0.137241</v>
      </c>
      <c r="U114" s="1134">
        <v>1.16127E-2</v>
      </c>
      <c r="V114" s="653">
        <f t="shared" si="31"/>
        <v>0</v>
      </c>
      <c r="W114" s="322">
        <f t="shared" si="32"/>
        <v>0</v>
      </c>
      <c r="X114" s="653" t="e">
        <f>(#REF!*N114/$G$171)</f>
        <v>#REF!</v>
      </c>
      <c r="Y114" s="322">
        <f t="shared" si="37"/>
        <v>0</v>
      </c>
      <c r="Z114" s="653">
        <f t="shared" si="38"/>
        <v>0</v>
      </c>
      <c r="AA114" s="322">
        <f t="shared" si="33"/>
        <v>0</v>
      </c>
      <c r="AB114" s="322">
        <f t="shared" si="34"/>
        <v>0</v>
      </c>
      <c r="AC114" s="654">
        <f t="shared" si="35"/>
        <v>0</v>
      </c>
      <c r="AD114" s="654">
        <f t="shared" si="29"/>
        <v>0</v>
      </c>
      <c r="AE114" s="654">
        <f t="shared" si="36"/>
        <v>0</v>
      </c>
      <c r="AF114" s="70"/>
      <c r="AG114" s="125"/>
      <c r="AH114" s="125"/>
      <c r="AI114" s="125"/>
      <c r="AJ114" s="125"/>
    </row>
    <row r="115" spans="1:36" s="126" customFormat="1" ht="23.25" hidden="1" customHeight="1" thickBot="1" x14ac:dyDescent="0.25">
      <c r="A115" s="332"/>
      <c r="B115" s="1086" t="s">
        <v>241</v>
      </c>
      <c r="C115" s="1278">
        <v>10876.43136</v>
      </c>
      <c r="D115" s="1884"/>
      <c r="E115" s="332"/>
      <c r="F115" s="332"/>
      <c r="G115" s="332"/>
      <c r="I115" s="1125">
        <f t="shared" si="30"/>
        <v>0</v>
      </c>
      <c r="J115" s="1086"/>
      <c r="K115" s="1125"/>
      <c r="L115" s="1128">
        <v>9.0320999999999998</v>
      </c>
      <c r="M115" s="1129">
        <v>22.169699999999999</v>
      </c>
      <c r="N115" s="1129"/>
      <c r="O115" s="1510">
        <v>60.996000000000002</v>
      </c>
      <c r="P115" s="1511">
        <v>1.5366299999999999</v>
      </c>
      <c r="Q115" s="1132">
        <v>45.747</v>
      </c>
      <c r="R115" s="1132">
        <v>15.249000000000001</v>
      </c>
      <c r="S115" s="1133">
        <v>0.58650000000000002</v>
      </c>
      <c r="T115" s="2025">
        <v>0.137241</v>
      </c>
      <c r="U115" s="1134">
        <v>1.16127E-2</v>
      </c>
      <c r="V115" s="653">
        <f t="shared" si="31"/>
        <v>0</v>
      </c>
      <c r="W115" s="322">
        <f t="shared" si="32"/>
        <v>0</v>
      </c>
      <c r="X115" s="653" t="e">
        <f>(#REF!*N115/$G$171)</f>
        <v>#REF!</v>
      </c>
      <c r="Y115" s="322">
        <f t="shared" si="37"/>
        <v>0</v>
      </c>
      <c r="Z115" s="653">
        <f t="shared" si="38"/>
        <v>0</v>
      </c>
      <c r="AA115" s="322">
        <f t="shared" si="33"/>
        <v>0</v>
      </c>
      <c r="AB115" s="322">
        <f t="shared" si="34"/>
        <v>0</v>
      </c>
      <c r="AC115" s="654">
        <f t="shared" si="35"/>
        <v>0</v>
      </c>
      <c r="AD115" s="654">
        <f t="shared" si="29"/>
        <v>0</v>
      </c>
      <c r="AE115" s="654">
        <f>(F115*U115/$G$171)</f>
        <v>0</v>
      </c>
      <c r="AF115" s="70"/>
      <c r="AG115" s="125"/>
      <c r="AH115" s="125"/>
      <c r="AI115" s="125"/>
      <c r="AJ115" s="125"/>
    </row>
    <row r="116" spans="1:36" s="126" customFormat="1" ht="21" hidden="1" customHeight="1" thickBot="1" x14ac:dyDescent="0.25">
      <c r="A116" s="332"/>
      <c r="B116" s="1086" t="s">
        <v>241</v>
      </c>
      <c r="C116" s="1278">
        <v>10863.23511</v>
      </c>
      <c r="D116" s="1884"/>
      <c r="E116" s="1944"/>
      <c r="F116" s="1160" t="s">
        <v>243</v>
      </c>
      <c r="G116" s="332"/>
      <c r="H116" s="860"/>
      <c r="I116" s="1125">
        <f t="shared" si="30"/>
        <v>0</v>
      </c>
      <c r="J116" s="1086"/>
      <c r="K116" s="1125"/>
      <c r="L116" s="1128">
        <v>9.2667000000000002</v>
      </c>
      <c r="M116" s="1129">
        <v>22.521599999999999</v>
      </c>
      <c r="N116" s="1129"/>
      <c r="O116" s="1510">
        <v>60.996000000000002</v>
      </c>
      <c r="P116" s="1511">
        <v>1.5248999999999999</v>
      </c>
      <c r="Q116" s="1132">
        <v>46.92</v>
      </c>
      <c r="R116" s="1132">
        <v>15.249000000000001</v>
      </c>
      <c r="S116" s="1133">
        <v>0.55130999999999997</v>
      </c>
      <c r="T116" s="2025">
        <v>0.25806000000000001</v>
      </c>
      <c r="U116" s="1134">
        <v>1.16127E-2</v>
      </c>
      <c r="V116" s="653">
        <f t="shared" si="31"/>
        <v>0</v>
      </c>
      <c r="W116" s="322">
        <f t="shared" si="32"/>
        <v>0</v>
      </c>
      <c r="X116" s="653" t="e">
        <f>(#REF!*N116/$G$171)</f>
        <v>#REF!</v>
      </c>
      <c r="Y116" s="322">
        <f t="shared" si="37"/>
        <v>0</v>
      </c>
      <c r="Z116" s="653">
        <f t="shared" si="38"/>
        <v>0</v>
      </c>
      <c r="AA116" s="322">
        <f t="shared" si="33"/>
        <v>0</v>
      </c>
      <c r="AB116" s="322">
        <f t="shared" si="34"/>
        <v>0</v>
      </c>
      <c r="AC116" s="654">
        <f t="shared" si="35"/>
        <v>0</v>
      </c>
      <c r="AD116" s="654">
        <f t="shared" si="29"/>
        <v>0</v>
      </c>
      <c r="AE116" s="654">
        <f t="shared" ref="AE116:AE142" si="39">(G116*U116/$G$171)</f>
        <v>0</v>
      </c>
      <c r="AF116" s="70"/>
      <c r="AG116" s="125"/>
      <c r="AH116" s="125"/>
      <c r="AI116" s="125"/>
      <c r="AJ116" s="125"/>
    </row>
    <row r="117" spans="1:36" s="126" customFormat="1" ht="21.75" hidden="1" customHeight="1" thickBot="1" x14ac:dyDescent="0.25">
      <c r="A117" s="332"/>
      <c r="B117" s="1086" t="s">
        <v>241</v>
      </c>
      <c r="C117" s="1278">
        <v>10863.23511</v>
      </c>
      <c r="D117" s="1876"/>
      <c r="E117" s="1947"/>
      <c r="F117" s="1160" t="s">
        <v>243</v>
      </c>
      <c r="G117" s="332"/>
      <c r="H117" s="1162"/>
      <c r="I117" s="1125">
        <f t="shared" si="30"/>
        <v>0</v>
      </c>
      <c r="J117" s="1136"/>
      <c r="K117" s="1125"/>
      <c r="L117" s="1128">
        <v>8.2110000000000003</v>
      </c>
      <c r="M117" s="1129">
        <v>21.817800000000002</v>
      </c>
      <c r="N117" s="1129"/>
      <c r="O117" s="1510">
        <v>53.957999999999998</v>
      </c>
      <c r="P117" s="1511">
        <v>1.5248999999999999</v>
      </c>
      <c r="Q117" s="1132">
        <v>44.573999999999998</v>
      </c>
      <c r="R117" s="1132">
        <v>14.076000000000001</v>
      </c>
      <c r="S117" s="1133">
        <v>0.55130999999999997</v>
      </c>
      <c r="T117" s="2025"/>
      <c r="U117" s="1134">
        <v>1.16127E-2</v>
      </c>
      <c r="V117" s="653">
        <f t="shared" si="31"/>
        <v>0</v>
      </c>
      <c r="W117" s="322">
        <f t="shared" si="32"/>
        <v>0</v>
      </c>
      <c r="X117" s="653" t="e">
        <f>(#REF!*N117/$G$171)</f>
        <v>#REF!</v>
      </c>
      <c r="Y117" s="322">
        <f t="shared" si="37"/>
        <v>0</v>
      </c>
      <c r="Z117" s="653">
        <f t="shared" si="38"/>
        <v>0</v>
      </c>
      <c r="AA117" s="322">
        <f t="shared" si="33"/>
        <v>0</v>
      </c>
      <c r="AB117" s="322">
        <f t="shared" si="34"/>
        <v>0</v>
      </c>
      <c r="AC117" s="654">
        <f t="shared" si="35"/>
        <v>0</v>
      </c>
      <c r="AD117" s="694">
        <f t="shared" ref="AD117:AD148" si="40">(G117*T117/$G$171)</f>
        <v>0</v>
      </c>
      <c r="AE117" s="654">
        <f t="shared" si="39"/>
        <v>0</v>
      </c>
      <c r="AF117" s="190"/>
      <c r="AG117" s="125"/>
      <c r="AH117" s="125"/>
      <c r="AI117" s="125"/>
      <c r="AJ117" s="125"/>
    </row>
    <row r="118" spans="1:36" s="126" customFormat="1" ht="21" hidden="1" customHeight="1" thickBot="1" x14ac:dyDescent="0.25">
      <c r="A118" s="332"/>
      <c r="B118" s="1086" t="s">
        <v>241</v>
      </c>
      <c r="C118" s="1278">
        <v>10863.23511</v>
      </c>
      <c r="D118" s="1876"/>
      <c r="E118" s="1947"/>
      <c r="F118" s="1160" t="s">
        <v>243</v>
      </c>
      <c r="G118" s="332"/>
      <c r="H118" s="1162"/>
      <c r="I118" s="1125">
        <f t="shared" si="30"/>
        <v>0</v>
      </c>
      <c r="J118" s="1136"/>
      <c r="K118" s="1125"/>
      <c r="L118" s="1128">
        <v>9.8531999999999993</v>
      </c>
      <c r="M118" s="1129">
        <v>23.342699999999997</v>
      </c>
      <c r="N118" s="1163"/>
      <c r="O118" s="1510">
        <v>51.612000000000002</v>
      </c>
      <c r="P118" s="1511">
        <v>1.5014400000000001</v>
      </c>
      <c r="Q118" s="1132">
        <v>39.881999999999998</v>
      </c>
      <c r="R118" s="1132">
        <v>16.422000000000001</v>
      </c>
      <c r="S118" s="1133">
        <v>0.52785000000000004</v>
      </c>
      <c r="T118" s="2025"/>
      <c r="U118" s="1134">
        <v>1.16127E-2</v>
      </c>
      <c r="V118" s="653">
        <f t="shared" si="31"/>
        <v>0</v>
      </c>
      <c r="W118" s="322">
        <f t="shared" si="32"/>
        <v>0</v>
      </c>
      <c r="X118" s="653" t="e">
        <f>(#REF!*N118/$G$171)</f>
        <v>#REF!</v>
      </c>
      <c r="Y118" s="322">
        <f t="shared" si="37"/>
        <v>0</v>
      </c>
      <c r="Z118" s="653">
        <f t="shared" si="38"/>
        <v>0</v>
      </c>
      <c r="AA118" s="322">
        <f t="shared" si="33"/>
        <v>0</v>
      </c>
      <c r="AB118" s="322">
        <f t="shared" si="34"/>
        <v>0</v>
      </c>
      <c r="AC118" s="654">
        <f t="shared" si="35"/>
        <v>0</v>
      </c>
      <c r="AD118" s="694">
        <f t="shared" si="40"/>
        <v>0</v>
      </c>
      <c r="AE118" s="654">
        <f t="shared" si="39"/>
        <v>0</v>
      </c>
      <c r="AF118" s="190"/>
      <c r="AG118" s="125"/>
      <c r="AH118" s="125"/>
      <c r="AI118" s="125"/>
      <c r="AJ118" s="125"/>
    </row>
    <row r="119" spans="1:36" s="126" customFormat="1" ht="21" hidden="1" customHeight="1" thickBot="1" x14ac:dyDescent="0.25">
      <c r="A119" s="332"/>
      <c r="B119" s="1086" t="s">
        <v>241</v>
      </c>
      <c r="C119" s="1278">
        <v>10863.23511</v>
      </c>
      <c r="D119" s="1876"/>
      <c r="E119" s="1947"/>
      <c r="F119" s="1160" t="s">
        <v>243</v>
      </c>
      <c r="G119" s="332"/>
      <c r="H119" s="860"/>
      <c r="I119" s="1125">
        <f t="shared" si="30"/>
        <v>0</v>
      </c>
      <c r="J119" s="1136"/>
      <c r="K119" s="1125"/>
      <c r="L119" s="1128">
        <v>10.2051</v>
      </c>
      <c r="M119" s="1129">
        <v>22.169699999999999</v>
      </c>
      <c r="N119" s="1163"/>
      <c r="O119" s="1510">
        <v>65.688000000000002</v>
      </c>
      <c r="P119" s="1511">
        <v>1.41933</v>
      </c>
      <c r="Q119" s="1132">
        <v>52.784999999999997</v>
      </c>
      <c r="R119" s="1132">
        <v>11.73</v>
      </c>
      <c r="S119" s="1133">
        <v>0.52785000000000004</v>
      </c>
      <c r="T119" s="2025"/>
      <c r="U119" s="1134"/>
      <c r="V119" s="653">
        <f t="shared" si="31"/>
        <v>0</v>
      </c>
      <c r="W119" s="322">
        <f t="shared" si="32"/>
        <v>0</v>
      </c>
      <c r="X119" s="653" t="e">
        <f>(#REF!*N119/$G$171)</f>
        <v>#REF!</v>
      </c>
      <c r="Y119" s="322">
        <f t="shared" si="37"/>
        <v>0</v>
      </c>
      <c r="Z119" s="653">
        <f t="shared" si="38"/>
        <v>0</v>
      </c>
      <c r="AA119" s="322">
        <f t="shared" si="33"/>
        <v>0</v>
      </c>
      <c r="AB119" s="322">
        <f t="shared" si="34"/>
        <v>0</v>
      </c>
      <c r="AC119" s="654">
        <f t="shared" si="35"/>
        <v>0</v>
      </c>
      <c r="AD119" s="694">
        <f t="shared" si="40"/>
        <v>0</v>
      </c>
      <c r="AE119" s="654">
        <f t="shared" si="39"/>
        <v>0</v>
      </c>
      <c r="AF119" s="190"/>
      <c r="AG119" s="125"/>
      <c r="AH119" s="125"/>
      <c r="AI119" s="125"/>
      <c r="AJ119" s="125"/>
    </row>
    <row r="120" spans="1:36" s="126" customFormat="1" ht="21" hidden="1" customHeight="1" thickBot="1" x14ac:dyDescent="0.25">
      <c r="A120" s="332"/>
      <c r="B120" s="1086" t="s">
        <v>241</v>
      </c>
      <c r="C120" s="1278">
        <v>10863.23511</v>
      </c>
      <c r="D120" s="1876"/>
      <c r="E120" s="1947"/>
      <c r="F120" s="1160" t="s">
        <v>243</v>
      </c>
      <c r="G120" s="332"/>
      <c r="H120" s="1162"/>
      <c r="I120" s="1125">
        <f t="shared" si="30"/>
        <v>0</v>
      </c>
      <c r="J120" s="1136"/>
      <c r="K120" s="1125"/>
      <c r="L120" s="1128">
        <v>10.908900000000001</v>
      </c>
      <c r="M120" s="1129">
        <v>23.2254</v>
      </c>
      <c r="N120" s="1129"/>
      <c r="O120" s="1510">
        <v>65.688000000000002</v>
      </c>
      <c r="P120" s="1511">
        <v>1.41933</v>
      </c>
      <c r="Q120" s="1132">
        <v>50.439</v>
      </c>
      <c r="R120" s="1132">
        <v>15.249000000000001</v>
      </c>
      <c r="S120" s="1133">
        <v>0.43401000000000001</v>
      </c>
      <c r="T120" s="2025"/>
      <c r="U120" s="1134">
        <v>1.16127E-2</v>
      </c>
      <c r="V120" s="653">
        <f t="shared" si="31"/>
        <v>0</v>
      </c>
      <c r="W120" s="322">
        <f t="shared" si="32"/>
        <v>0</v>
      </c>
      <c r="X120" s="653" t="e">
        <f>(#REF!*N120/$G$171)</f>
        <v>#REF!</v>
      </c>
      <c r="Y120" s="322">
        <f t="shared" si="37"/>
        <v>0</v>
      </c>
      <c r="Z120" s="653">
        <f t="shared" si="38"/>
        <v>0</v>
      </c>
      <c r="AA120" s="322">
        <f t="shared" si="33"/>
        <v>0</v>
      </c>
      <c r="AB120" s="322">
        <f t="shared" si="34"/>
        <v>0</v>
      </c>
      <c r="AC120" s="654">
        <f t="shared" si="35"/>
        <v>0</v>
      </c>
      <c r="AD120" s="694">
        <f t="shared" si="40"/>
        <v>0</v>
      </c>
      <c r="AE120" s="654">
        <f t="shared" si="39"/>
        <v>0</v>
      </c>
      <c r="AF120" s="190"/>
      <c r="AG120" s="125"/>
      <c r="AH120" s="125"/>
      <c r="AI120" s="125"/>
      <c r="AJ120" s="125"/>
    </row>
    <row r="121" spans="1:36" s="126" customFormat="1" ht="21" hidden="1" customHeight="1" thickBot="1" x14ac:dyDescent="0.25">
      <c r="A121" s="332"/>
      <c r="B121" s="1086" t="s">
        <v>241</v>
      </c>
      <c r="C121" s="1278">
        <v>10863.23511</v>
      </c>
      <c r="D121" s="1876"/>
      <c r="E121" s="1947"/>
      <c r="F121" s="1160" t="s">
        <v>243</v>
      </c>
      <c r="G121" s="332"/>
      <c r="H121" s="1162"/>
      <c r="I121" s="1125">
        <f t="shared" si="30"/>
        <v>0</v>
      </c>
      <c r="J121" s="1136"/>
      <c r="K121" s="1125"/>
      <c r="L121" s="1128">
        <v>10.0878</v>
      </c>
      <c r="M121" s="1129">
        <v>17.829599999999999</v>
      </c>
      <c r="N121" s="1163"/>
      <c r="O121" s="1510">
        <v>64.515000000000001</v>
      </c>
      <c r="P121" s="1511">
        <v>1.5366299999999999</v>
      </c>
      <c r="Q121" s="1132">
        <v>44.573999999999998</v>
      </c>
      <c r="R121" s="1132">
        <v>14.076000000000001</v>
      </c>
      <c r="S121" s="1133">
        <v>0.55130999999999997</v>
      </c>
      <c r="T121" s="2025"/>
      <c r="U121" s="1134"/>
      <c r="V121" s="653">
        <f t="shared" si="31"/>
        <v>0</v>
      </c>
      <c r="W121" s="322">
        <f t="shared" si="32"/>
        <v>0</v>
      </c>
      <c r="X121" s="653" t="e">
        <f>(#REF!*N121/$G$171)</f>
        <v>#REF!</v>
      </c>
      <c r="Y121" s="322">
        <f t="shared" si="37"/>
        <v>0</v>
      </c>
      <c r="Z121" s="653">
        <f t="shared" si="38"/>
        <v>0</v>
      </c>
      <c r="AA121" s="322">
        <f t="shared" si="33"/>
        <v>0</v>
      </c>
      <c r="AB121" s="322">
        <f t="shared" si="34"/>
        <v>0</v>
      </c>
      <c r="AC121" s="654">
        <f t="shared" si="35"/>
        <v>0</v>
      </c>
      <c r="AD121" s="694">
        <f t="shared" si="40"/>
        <v>0</v>
      </c>
      <c r="AE121" s="654">
        <f t="shared" si="39"/>
        <v>0</v>
      </c>
      <c r="AF121" s="190"/>
      <c r="AG121" s="125"/>
      <c r="AH121" s="125"/>
      <c r="AI121" s="125"/>
      <c r="AJ121" s="125"/>
    </row>
    <row r="122" spans="1:36" s="126" customFormat="1" ht="21" hidden="1" customHeight="1" thickBot="1" x14ac:dyDescent="0.25">
      <c r="A122" s="332"/>
      <c r="B122" s="1086" t="s">
        <v>241</v>
      </c>
      <c r="C122" s="1278">
        <v>10863.23511</v>
      </c>
      <c r="D122" s="1876"/>
      <c r="E122" s="1947"/>
      <c r="F122" s="1160" t="s">
        <v>243</v>
      </c>
      <c r="G122" s="332"/>
      <c r="H122" s="1162"/>
      <c r="I122" s="1125">
        <f t="shared" si="30"/>
        <v>0</v>
      </c>
      <c r="J122" s="1136"/>
      <c r="K122" s="1125"/>
      <c r="L122" s="1128">
        <v>10.0878</v>
      </c>
      <c r="M122" s="1129">
        <v>23.342699999999997</v>
      </c>
      <c r="N122" s="1163"/>
      <c r="O122" s="1510">
        <v>64.515000000000001</v>
      </c>
      <c r="P122" s="1511">
        <v>1.5366299999999999</v>
      </c>
      <c r="Q122" s="1132">
        <v>42.228000000000002</v>
      </c>
      <c r="R122" s="1132">
        <v>15.249000000000001</v>
      </c>
      <c r="S122" s="1133">
        <v>0.52785000000000004</v>
      </c>
      <c r="T122" s="2025"/>
      <c r="U122" s="1134"/>
      <c r="V122" s="653">
        <f t="shared" si="31"/>
        <v>0</v>
      </c>
      <c r="W122" s="322">
        <f t="shared" si="32"/>
        <v>0</v>
      </c>
      <c r="X122" s="653" t="e">
        <f>(#REF!*N122/$G$171)</f>
        <v>#REF!</v>
      </c>
      <c r="Y122" s="322">
        <f t="shared" si="37"/>
        <v>0</v>
      </c>
      <c r="Z122" s="653">
        <f t="shared" si="38"/>
        <v>0</v>
      </c>
      <c r="AA122" s="322">
        <f t="shared" si="33"/>
        <v>0</v>
      </c>
      <c r="AB122" s="322">
        <f t="shared" si="34"/>
        <v>0</v>
      </c>
      <c r="AC122" s="654">
        <f t="shared" si="35"/>
        <v>0</v>
      </c>
      <c r="AD122" s="694">
        <f t="shared" si="40"/>
        <v>0</v>
      </c>
      <c r="AE122" s="654">
        <f t="shared" si="39"/>
        <v>0</v>
      </c>
      <c r="AF122" s="190"/>
      <c r="AG122" s="125"/>
      <c r="AH122" s="125"/>
      <c r="AI122" s="125"/>
      <c r="AJ122" s="125"/>
    </row>
    <row r="123" spans="1:36" s="126" customFormat="1" ht="21" hidden="1" customHeight="1" thickBot="1" x14ac:dyDescent="0.25">
      <c r="A123" s="332"/>
      <c r="B123" s="1086" t="s">
        <v>241</v>
      </c>
      <c r="C123" s="1278">
        <v>10863.23511</v>
      </c>
      <c r="D123" s="1876"/>
      <c r="E123" s="1947"/>
      <c r="F123" s="1160" t="s">
        <v>243</v>
      </c>
      <c r="G123" s="332"/>
      <c r="H123" s="1162"/>
      <c r="I123" s="1125">
        <f t="shared" si="30"/>
        <v>0</v>
      </c>
      <c r="J123" s="1136"/>
      <c r="K123" s="1125"/>
      <c r="L123" s="1128">
        <v>9.9704999999999995</v>
      </c>
      <c r="M123" s="1129">
        <v>22.404300000000003</v>
      </c>
      <c r="N123" s="1163"/>
      <c r="O123" s="1510">
        <v>64.515000000000001</v>
      </c>
      <c r="P123" s="1511">
        <v>1.5366299999999999</v>
      </c>
      <c r="Q123" s="1132">
        <v>52.784999999999997</v>
      </c>
      <c r="R123" s="1132">
        <v>12.903</v>
      </c>
      <c r="S123" s="1133">
        <v>0.52785000000000004</v>
      </c>
      <c r="T123" s="2025"/>
      <c r="U123" s="1134"/>
      <c r="V123" s="653">
        <f t="shared" si="31"/>
        <v>0</v>
      </c>
      <c r="W123" s="322">
        <f t="shared" si="32"/>
        <v>0</v>
      </c>
      <c r="X123" s="653" t="e">
        <f>(#REF!*N123/$G$171)</f>
        <v>#REF!</v>
      </c>
      <c r="Y123" s="322">
        <f t="shared" si="37"/>
        <v>0</v>
      </c>
      <c r="Z123" s="653">
        <f t="shared" si="38"/>
        <v>0</v>
      </c>
      <c r="AA123" s="322">
        <f t="shared" si="33"/>
        <v>0</v>
      </c>
      <c r="AB123" s="322">
        <f t="shared" si="34"/>
        <v>0</v>
      </c>
      <c r="AC123" s="654">
        <f t="shared" si="35"/>
        <v>0</v>
      </c>
      <c r="AD123" s="694">
        <f t="shared" si="40"/>
        <v>0</v>
      </c>
      <c r="AE123" s="654">
        <f t="shared" si="39"/>
        <v>0</v>
      </c>
      <c r="AF123" s="190"/>
      <c r="AG123" s="125"/>
      <c r="AH123" s="125"/>
      <c r="AI123" s="125"/>
      <c r="AJ123" s="125"/>
    </row>
    <row r="124" spans="1:36" s="126" customFormat="1" ht="21" hidden="1" customHeight="1" thickBot="1" x14ac:dyDescent="0.25">
      <c r="A124" s="1084"/>
      <c r="B124" s="1100" t="s">
        <v>241</v>
      </c>
      <c r="C124" s="1278">
        <v>10863.23511</v>
      </c>
      <c r="D124" s="1864"/>
      <c r="E124" s="1949"/>
      <c r="F124" s="1181" t="s">
        <v>243</v>
      </c>
      <c r="G124" s="1091"/>
      <c r="H124" s="1182"/>
      <c r="I124" s="406">
        <f t="shared" si="30"/>
        <v>0</v>
      </c>
      <c r="J124" s="1148"/>
      <c r="K124" s="406"/>
      <c r="L124" s="1150">
        <v>10.2051</v>
      </c>
      <c r="M124" s="1151">
        <v>22.169699999999999</v>
      </c>
      <c r="N124" s="1151"/>
      <c r="O124" s="1516">
        <v>64.515000000000001</v>
      </c>
      <c r="P124" s="1517">
        <v>1.5366299999999999</v>
      </c>
      <c r="Q124" s="1154">
        <v>52.784999999999997</v>
      </c>
      <c r="R124" s="1154">
        <v>11.73</v>
      </c>
      <c r="S124" s="1155">
        <v>0.52785000000000004</v>
      </c>
      <c r="T124" s="1997"/>
      <c r="U124" s="1156"/>
      <c r="V124" s="653">
        <f t="shared" si="31"/>
        <v>0</v>
      </c>
      <c r="W124" s="322">
        <f t="shared" si="32"/>
        <v>0</v>
      </c>
      <c r="X124" s="653" t="e">
        <f>(#REF!*N124/$G$171)</f>
        <v>#REF!</v>
      </c>
      <c r="Y124" s="322">
        <f t="shared" si="37"/>
        <v>0</v>
      </c>
      <c r="Z124" s="653">
        <f t="shared" si="38"/>
        <v>0</v>
      </c>
      <c r="AA124" s="322">
        <f t="shared" si="33"/>
        <v>0</v>
      </c>
      <c r="AB124" s="322">
        <f t="shared" si="34"/>
        <v>0</v>
      </c>
      <c r="AC124" s="654">
        <f t="shared" si="35"/>
        <v>0</v>
      </c>
      <c r="AD124" s="694">
        <f t="shared" si="40"/>
        <v>0</v>
      </c>
      <c r="AE124" s="654">
        <f t="shared" si="39"/>
        <v>0</v>
      </c>
      <c r="AF124" s="190"/>
      <c r="AG124" s="125"/>
      <c r="AH124" s="125"/>
      <c r="AI124" s="125"/>
      <c r="AJ124" s="125"/>
    </row>
    <row r="125" spans="1:36" s="126" customFormat="1" ht="21" customHeight="1" thickBot="1" x14ac:dyDescent="0.25">
      <c r="A125" s="1085"/>
      <c r="B125" s="1104" t="s">
        <v>245</v>
      </c>
      <c r="C125" s="1306">
        <v>11023.05636</v>
      </c>
      <c r="D125" s="1116"/>
      <c r="E125" s="1946">
        <v>0</v>
      </c>
      <c r="F125" s="1157" t="s">
        <v>14</v>
      </c>
      <c r="G125" s="1085"/>
      <c r="H125" s="1158">
        <v>0</v>
      </c>
      <c r="I125" s="1139">
        <f t="shared" si="30"/>
        <v>0</v>
      </c>
      <c r="J125" s="1139">
        <f>SUM(I125:I127)</f>
        <v>0</v>
      </c>
      <c r="K125" s="1164" t="str">
        <f>IF(J125=0," ",H125/J125)</f>
        <v xml:space="preserve"> </v>
      </c>
      <c r="L125" s="1140">
        <v>11.2608</v>
      </c>
      <c r="M125" s="1141">
        <v>23.1081</v>
      </c>
      <c r="N125" s="1197"/>
      <c r="O125" s="1512">
        <v>55.131</v>
      </c>
      <c r="P125" s="1513">
        <v>1.4662500000000001</v>
      </c>
      <c r="Q125" s="1144">
        <v>41.055</v>
      </c>
      <c r="R125" s="1144">
        <v>14.076000000000001</v>
      </c>
      <c r="S125" s="1145">
        <v>0.48093000000000002</v>
      </c>
      <c r="T125" s="2023">
        <v>0.33078599999999997</v>
      </c>
      <c r="U125" s="1198">
        <v>1.16127E-2</v>
      </c>
      <c r="V125" s="2070">
        <f t="shared" si="31"/>
        <v>0</v>
      </c>
      <c r="W125" s="2071">
        <f t="shared" si="32"/>
        <v>0</v>
      </c>
      <c r="X125" s="2070" t="e">
        <f>(#REF!*N125/$G$171)</f>
        <v>#REF!</v>
      </c>
      <c r="Y125" s="2071">
        <f t="shared" si="37"/>
        <v>0</v>
      </c>
      <c r="Z125" s="2070">
        <f t="shared" si="38"/>
        <v>0</v>
      </c>
      <c r="AA125" s="2071">
        <f t="shared" si="33"/>
        <v>0</v>
      </c>
      <c r="AB125" s="2071">
        <f t="shared" si="34"/>
        <v>0</v>
      </c>
      <c r="AC125" s="2072">
        <f t="shared" si="35"/>
        <v>0</v>
      </c>
      <c r="AD125" s="2072">
        <f t="shared" si="40"/>
        <v>0</v>
      </c>
      <c r="AE125" s="2072">
        <f t="shared" si="39"/>
        <v>0</v>
      </c>
      <c r="AF125" s="70"/>
      <c r="AG125" s="125"/>
      <c r="AH125" s="125"/>
      <c r="AI125" s="125"/>
      <c r="AJ125" s="125"/>
    </row>
    <row r="126" spans="1:36" s="126" customFormat="1" ht="21" hidden="1" customHeight="1" thickBot="1" x14ac:dyDescent="0.25">
      <c r="A126" s="332"/>
      <c r="B126" s="1111" t="s">
        <v>245</v>
      </c>
      <c r="C126" s="1278">
        <v>12049.43136</v>
      </c>
      <c r="D126" s="1884"/>
      <c r="E126" s="1944"/>
      <c r="F126" s="1160" t="s">
        <v>243</v>
      </c>
      <c r="G126" s="332"/>
      <c r="H126" s="1162"/>
      <c r="I126" s="1125">
        <f t="shared" si="30"/>
        <v>0</v>
      </c>
      <c r="J126" s="1125"/>
      <c r="K126" s="1125"/>
      <c r="L126" s="1128">
        <v>9.3840000000000003</v>
      </c>
      <c r="M126" s="1129">
        <v>23.694600000000001</v>
      </c>
      <c r="N126" s="1129"/>
      <c r="O126" s="1510">
        <v>55.131</v>
      </c>
      <c r="P126" s="1511">
        <v>1.4662500000000001</v>
      </c>
      <c r="Q126" s="1132">
        <v>41.055</v>
      </c>
      <c r="R126" s="1132">
        <v>14.076000000000001</v>
      </c>
      <c r="S126" s="1133">
        <v>0.48093000000000002</v>
      </c>
      <c r="T126" s="2025">
        <v>0.33078599999999997</v>
      </c>
      <c r="U126" s="1134"/>
      <c r="V126" s="2062">
        <f t="shared" si="31"/>
        <v>0</v>
      </c>
      <c r="W126" s="2063">
        <f t="shared" si="32"/>
        <v>0</v>
      </c>
      <c r="X126" s="2062" t="e">
        <f>(#REF!*N126/$G$171)</f>
        <v>#REF!</v>
      </c>
      <c r="Y126" s="2063">
        <f t="shared" si="37"/>
        <v>0</v>
      </c>
      <c r="Z126" s="2062">
        <f t="shared" si="38"/>
        <v>0</v>
      </c>
      <c r="AA126" s="2063">
        <f t="shared" si="33"/>
        <v>0</v>
      </c>
      <c r="AB126" s="2063">
        <f t="shared" si="34"/>
        <v>0</v>
      </c>
      <c r="AC126" s="2064">
        <f t="shared" si="35"/>
        <v>0</v>
      </c>
      <c r="AD126" s="2064">
        <f t="shared" si="40"/>
        <v>0</v>
      </c>
      <c r="AE126" s="2064">
        <f t="shared" si="39"/>
        <v>0</v>
      </c>
      <c r="AF126" s="70"/>
      <c r="AG126" s="125"/>
      <c r="AH126" s="125"/>
      <c r="AI126" s="125"/>
      <c r="AJ126" s="125"/>
    </row>
    <row r="127" spans="1:36" s="126" customFormat="1" ht="23.25" hidden="1" customHeight="1" thickBot="1" x14ac:dyDescent="0.25">
      <c r="A127" s="1091"/>
      <c r="B127" s="1105" t="s">
        <v>245</v>
      </c>
      <c r="C127" s="1836">
        <v>12049.43136</v>
      </c>
      <c r="D127" s="1863"/>
      <c r="E127" s="1952"/>
      <c r="F127" s="1181" t="s">
        <v>243</v>
      </c>
      <c r="G127" s="1091"/>
      <c r="H127" s="1182"/>
      <c r="I127" s="1125">
        <f t="shared" si="30"/>
        <v>0</v>
      </c>
      <c r="J127" s="1125"/>
      <c r="K127" s="1125"/>
      <c r="L127" s="1150">
        <v>9.0320999999999998</v>
      </c>
      <c r="M127" s="1151">
        <v>24.281099999999999</v>
      </c>
      <c r="N127" s="1151"/>
      <c r="O127" s="1516">
        <v>55.131</v>
      </c>
      <c r="P127" s="1517">
        <v>1.4662500000000001</v>
      </c>
      <c r="Q127" s="1154">
        <v>41.055</v>
      </c>
      <c r="R127" s="1154">
        <v>14.076000000000001</v>
      </c>
      <c r="S127" s="1155">
        <v>0.48093000000000002</v>
      </c>
      <c r="T127" s="1997">
        <v>0.33078599999999997</v>
      </c>
      <c r="U127" s="1156">
        <v>7.5658500000000004E-2</v>
      </c>
      <c r="V127" s="2062">
        <f t="shared" si="31"/>
        <v>0</v>
      </c>
      <c r="W127" s="2063">
        <f t="shared" si="32"/>
        <v>0</v>
      </c>
      <c r="X127" s="2062" t="e">
        <f>(#REF!*N127/$G$171)</f>
        <v>#REF!</v>
      </c>
      <c r="Y127" s="2063">
        <f t="shared" si="37"/>
        <v>0</v>
      </c>
      <c r="Z127" s="2062">
        <f t="shared" si="38"/>
        <v>0</v>
      </c>
      <c r="AA127" s="2063">
        <f t="shared" si="33"/>
        <v>0</v>
      </c>
      <c r="AB127" s="2063">
        <f t="shared" si="34"/>
        <v>0</v>
      </c>
      <c r="AC127" s="2064">
        <f t="shared" si="35"/>
        <v>0</v>
      </c>
      <c r="AD127" s="2064">
        <f t="shared" si="40"/>
        <v>0</v>
      </c>
      <c r="AE127" s="2064">
        <f t="shared" si="39"/>
        <v>0</v>
      </c>
      <c r="AF127" s="70"/>
      <c r="AG127" s="125"/>
      <c r="AH127" s="125"/>
      <c r="AI127" s="125"/>
      <c r="AJ127" s="125"/>
    </row>
    <row r="128" spans="1:36" s="509" customFormat="1" ht="23.25" customHeight="1" thickBot="1" x14ac:dyDescent="0.25">
      <c r="A128" s="1848">
        <v>22.286999999999999</v>
      </c>
      <c r="B128" s="2145" t="s">
        <v>54</v>
      </c>
      <c r="C128" s="1843">
        <v>11362.78062</v>
      </c>
      <c r="D128" s="1920">
        <v>10.557</v>
      </c>
      <c r="E128" s="1943">
        <v>5.6122448979591839</v>
      </c>
      <c r="F128" s="1916" t="s">
        <v>14</v>
      </c>
      <c r="G128" s="1848">
        <v>8.2110000000000003</v>
      </c>
      <c r="H128" s="1246">
        <v>2900</v>
      </c>
      <c r="I128" s="2242">
        <f t="shared" si="30"/>
        <v>158.38135134401921</v>
      </c>
      <c r="J128" s="1226">
        <f>SUM(I128:I135)</f>
        <v>158.38135134401921</v>
      </c>
      <c r="K128" s="2185">
        <f>IF(J128=0," ",H128/J128)</f>
        <v>18.310236498114776</v>
      </c>
      <c r="L128" s="1227">
        <v>10.908900000000001</v>
      </c>
      <c r="M128" s="1213">
        <v>21.231300000000001</v>
      </c>
      <c r="N128" s="1213"/>
      <c r="O128" s="1886">
        <v>49.265999999999998</v>
      </c>
      <c r="P128" s="1887">
        <v>1.57182</v>
      </c>
      <c r="Q128" s="1228">
        <v>50.439</v>
      </c>
      <c r="R128" s="1228">
        <v>15.249000000000001</v>
      </c>
      <c r="S128" s="1229">
        <v>0.48093000000000002</v>
      </c>
      <c r="T128" s="2026">
        <v>0.16187400000000002</v>
      </c>
      <c r="U128" s="1230">
        <v>9.384E-3</v>
      </c>
      <c r="V128" s="693">
        <f t="shared" si="31"/>
        <v>0.65100000000000013</v>
      </c>
      <c r="W128" s="670">
        <f t="shared" si="32"/>
        <v>1.2670000000000001</v>
      </c>
      <c r="X128" s="693" t="e">
        <f>(#REF!*N128/$G$171)</f>
        <v>#REF!</v>
      </c>
      <c r="Y128" s="670">
        <f t="shared" si="37"/>
        <v>2.94</v>
      </c>
      <c r="Z128" s="693">
        <f t="shared" si="38"/>
        <v>9.3800000000000008E-2</v>
      </c>
      <c r="AA128" s="670">
        <f t="shared" si="33"/>
        <v>3.01</v>
      </c>
      <c r="AB128" s="670">
        <f t="shared" si="34"/>
        <v>0.91</v>
      </c>
      <c r="AC128" s="694">
        <f t="shared" si="35"/>
        <v>2.8699999999999996E-2</v>
      </c>
      <c r="AD128" s="694">
        <f t="shared" si="40"/>
        <v>9.6600000000000002E-3</v>
      </c>
      <c r="AE128" s="694">
        <f t="shared" si="39"/>
        <v>5.6000000000000006E-4</v>
      </c>
      <c r="AF128" s="1245"/>
      <c r="AG128" s="508"/>
      <c r="AH128" s="508"/>
      <c r="AI128" s="508"/>
      <c r="AJ128" s="508"/>
    </row>
    <row r="129" spans="1:36" s="126" customFormat="1" ht="23.25" customHeight="1" thickBot="1" x14ac:dyDescent="0.25">
      <c r="A129" s="1109">
        <v>25.806000000000001</v>
      </c>
      <c r="B129" s="1095" t="s">
        <v>54</v>
      </c>
      <c r="C129" s="1278">
        <v>11362.78062</v>
      </c>
      <c r="D129" s="1884"/>
      <c r="E129" s="1944"/>
      <c r="F129" s="1160" t="s">
        <v>243</v>
      </c>
      <c r="G129" s="332"/>
      <c r="H129" s="1162"/>
      <c r="I129" s="1215">
        <f t="shared" si="30"/>
        <v>0</v>
      </c>
      <c r="J129" s="1125"/>
      <c r="K129" s="1136"/>
      <c r="L129" s="1128">
        <v>11.3781</v>
      </c>
      <c r="M129" s="1129">
        <v>21.465900000000001</v>
      </c>
      <c r="N129" s="1129"/>
      <c r="O129" s="1510">
        <v>49.265999999999998</v>
      </c>
      <c r="P129" s="1511">
        <v>1.57182</v>
      </c>
      <c r="Q129" s="1132">
        <v>41.055</v>
      </c>
      <c r="R129" s="1132">
        <v>15.249000000000001</v>
      </c>
      <c r="S129" s="1133">
        <v>0.52785000000000004</v>
      </c>
      <c r="T129" s="2025">
        <v>0.16187400000000002</v>
      </c>
      <c r="U129" s="1134">
        <v>9.384E-3</v>
      </c>
      <c r="V129" s="653">
        <f t="shared" si="31"/>
        <v>0</v>
      </c>
      <c r="W129" s="322">
        <f t="shared" si="32"/>
        <v>0</v>
      </c>
      <c r="X129" s="653" t="e">
        <f>(#REF!*N129/$G$171)</f>
        <v>#REF!</v>
      </c>
      <c r="Y129" s="322">
        <f t="shared" si="37"/>
        <v>0</v>
      </c>
      <c r="Z129" s="653">
        <f t="shared" si="38"/>
        <v>0</v>
      </c>
      <c r="AA129" s="322">
        <f t="shared" si="33"/>
        <v>0</v>
      </c>
      <c r="AB129" s="322">
        <f t="shared" si="34"/>
        <v>0</v>
      </c>
      <c r="AC129" s="654">
        <f t="shared" si="35"/>
        <v>0</v>
      </c>
      <c r="AD129" s="654">
        <f t="shared" si="40"/>
        <v>0</v>
      </c>
      <c r="AE129" s="654">
        <f t="shared" si="39"/>
        <v>0</v>
      </c>
      <c r="AF129" s="70"/>
      <c r="AG129" s="125"/>
      <c r="AH129" s="125"/>
      <c r="AI129" s="125"/>
      <c r="AJ129" s="125"/>
    </row>
    <row r="130" spans="1:36" s="126" customFormat="1" ht="23.25" hidden="1" customHeight="1" thickBot="1" x14ac:dyDescent="0.25">
      <c r="A130" s="1109"/>
      <c r="B130" s="1095" t="s">
        <v>250</v>
      </c>
      <c r="C130" s="1278">
        <v>11252.659379999999</v>
      </c>
      <c r="D130" s="1884"/>
      <c r="E130" s="1944"/>
      <c r="F130" s="1160" t="s">
        <v>243</v>
      </c>
      <c r="G130" s="332"/>
      <c r="H130" s="1162"/>
      <c r="I130" s="1215">
        <f t="shared" si="30"/>
        <v>0</v>
      </c>
      <c r="J130" s="1125"/>
      <c r="K130" s="1136"/>
      <c r="L130" s="1128">
        <v>10.791599999999999</v>
      </c>
      <c r="M130" s="1129">
        <v>21.935099999999998</v>
      </c>
      <c r="N130" s="1163"/>
      <c r="O130" s="1510">
        <v>49.265999999999998</v>
      </c>
      <c r="P130" s="1511">
        <v>1.57182</v>
      </c>
      <c r="Q130" s="1132">
        <v>49.265999999999998</v>
      </c>
      <c r="R130" s="1132">
        <v>12.903</v>
      </c>
      <c r="S130" s="1133">
        <v>0.51612000000000002</v>
      </c>
      <c r="T130" s="2025">
        <v>0.16187400000000002</v>
      </c>
      <c r="U130" s="1134"/>
      <c r="V130" s="653">
        <f t="shared" si="31"/>
        <v>0</v>
      </c>
      <c r="W130" s="322">
        <f t="shared" si="32"/>
        <v>0</v>
      </c>
      <c r="X130" s="653" t="e">
        <f>(#REF!*N130/$G$171)</f>
        <v>#REF!</v>
      </c>
      <c r="Y130" s="322">
        <f t="shared" si="37"/>
        <v>0</v>
      </c>
      <c r="Z130" s="653">
        <f t="shared" si="38"/>
        <v>0</v>
      </c>
      <c r="AA130" s="322">
        <f t="shared" si="33"/>
        <v>0</v>
      </c>
      <c r="AB130" s="322">
        <f t="shared" si="34"/>
        <v>0</v>
      </c>
      <c r="AC130" s="654">
        <f t="shared" si="35"/>
        <v>0</v>
      </c>
      <c r="AD130" s="654">
        <f t="shared" si="40"/>
        <v>0</v>
      </c>
      <c r="AE130" s="654">
        <f t="shared" si="39"/>
        <v>0</v>
      </c>
      <c r="AF130" s="70"/>
      <c r="AG130" s="125"/>
      <c r="AH130" s="125"/>
      <c r="AI130" s="125"/>
      <c r="AJ130" s="125"/>
    </row>
    <row r="131" spans="1:36" s="126" customFormat="1" ht="21" hidden="1" customHeight="1" thickBot="1" x14ac:dyDescent="0.25">
      <c r="A131" s="1106"/>
      <c r="B131" s="1095" t="s">
        <v>250</v>
      </c>
      <c r="C131" s="1278"/>
      <c r="D131" s="1876"/>
      <c r="E131" s="1947"/>
      <c r="F131" s="1160" t="s">
        <v>243</v>
      </c>
      <c r="G131" s="332"/>
      <c r="H131" s="1162"/>
      <c r="I131" s="1215">
        <f t="shared" si="30"/>
        <v>0</v>
      </c>
      <c r="J131" s="1125"/>
      <c r="K131" s="1136"/>
      <c r="L131" s="1128">
        <v>9.9704999999999995</v>
      </c>
      <c r="M131" s="1129">
        <v>18.1815</v>
      </c>
      <c r="N131" s="1163"/>
      <c r="O131" s="1510">
        <v>58.65</v>
      </c>
      <c r="P131" s="1511">
        <v>1.54836</v>
      </c>
      <c r="Q131" s="1132">
        <v>38.709000000000003</v>
      </c>
      <c r="R131" s="1132">
        <v>8.2110000000000003</v>
      </c>
      <c r="S131" s="1133">
        <v>0.43401000000000001</v>
      </c>
      <c r="T131" s="2025"/>
      <c r="U131" s="1134"/>
      <c r="V131" s="653">
        <f t="shared" si="31"/>
        <v>0</v>
      </c>
      <c r="W131" s="322">
        <f t="shared" si="32"/>
        <v>0</v>
      </c>
      <c r="X131" s="653" t="e">
        <f>(#REF!*N131/$G$171)</f>
        <v>#REF!</v>
      </c>
      <c r="Y131" s="322">
        <f t="shared" si="37"/>
        <v>0</v>
      </c>
      <c r="Z131" s="653">
        <f t="shared" si="38"/>
        <v>0</v>
      </c>
      <c r="AA131" s="322">
        <f t="shared" si="33"/>
        <v>0</v>
      </c>
      <c r="AB131" s="322">
        <f t="shared" si="34"/>
        <v>0</v>
      </c>
      <c r="AC131" s="654">
        <f t="shared" si="35"/>
        <v>0</v>
      </c>
      <c r="AD131" s="694">
        <f t="shared" si="40"/>
        <v>0</v>
      </c>
      <c r="AE131" s="654">
        <f t="shared" si="39"/>
        <v>0</v>
      </c>
      <c r="AF131" s="190"/>
      <c r="AG131" s="125"/>
      <c r="AH131" s="125"/>
      <c r="AI131" s="125"/>
      <c r="AJ131" s="125"/>
    </row>
    <row r="132" spans="1:36" s="126" customFormat="1" ht="21" hidden="1" customHeight="1" thickBot="1" x14ac:dyDescent="0.25">
      <c r="A132" s="1106"/>
      <c r="B132" s="1095" t="s">
        <v>250</v>
      </c>
      <c r="C132" s="1278"/>
      <c r="D132" s="1876"/>
      <c r="E132" s="1947"/>
      <c r="F132" s="1160" t="s">
        <v>243</v>
      </c>
      <c r="G132" s="332"/>
      <c r="H132" s="1162"/>
      <c r="I132" s="1215">
        <f t="shared" si="30"/>
        <v>0</v>
      </c>
      <c r="J132" s="1125"/>
      <c r="K132" s="1136"/>
      <c r="L132" s="1128">
        <v>10.674300000000001</v>
      </c>
      <c r="M132" s="1129">
        <v>19.002600000000001</v>
      </c>
      <c r="N132" s="1163"/>
      <c r="O132" s="1510">
        <v>58.65</v>
      </c>
      <c r="P132" s="1511">
        <v>1.54836</v>
      </c>
      <c r="Q132" s="1132">
        <v>41.055</v>
      </c>
      <c r="R132" s="1132">
        <v>10.557</v>
      </c>
      <c r="S132" s="1133">
        <v>0.53957999999999995</v>
      </c>
      <c r="T132" s="2025"/>
      <c r="U132" s="1134"/>
      <c r="V132" s="653">
        <f t="shared" si="31"/>
        <v>0</v>
      </c>
      <c r="W132" s="322">
        <f t="shared" si="32"/>
        <v>0</v>
      </c>
      <c r="X132" s="653" t="e">
        <f>(#REF!*N132/$G$171)</f>
        <v>#REF!</v>
      </c>
      <c r="Y132" s="322">
        <f t="shared" si="37"/>
        <v>0</v>
      </c>
      <c r="Z132" s="653">
        <f t="shared" si="38"/>
        <v>0</v>
      </c>
      <c r="AA132" s="322">
        <f t="shared" si="33"/>
        <v>0</v>
      </c>
      <c r="AB132" s="322">
        <f t="shared" si="34"/>
        <v>0</v>
      </c>
      <c r="AC132" s="654">
        <f t="shared" si="35"/>
        <v>0</v>
      </c>
      <c r="AD132" s="694">
        <f t="shared" si="40"/>
        <v>0</v>
      </c>
      <c r="AE132" s="654">
        <f t="shared" si="39"/>
        <v>0</v>
      </c>
      <c r="AF132" s="190"/>
      <c r="AG132" s="125"/>
      <c r="AH132" s="125"/>
      <c r="AI132" s="125"/>
      <c r="AJ132" s="125"/>
    </row>
    <row r="133" spans="1:36" s="126" customFormat="1" ht="21" hidden="1" customHeight="1" thickBot="1" x14ac:dyDescent="0.25">
      <c r="A133" s="1106"/>
      <c r="B133" s="1095" t="s">
        <v>250</v>
      </c>
      <c r="C133" s="1278"/>
      <c r="D133" s="1876"/>
      <c r="E133" s="1947"/>
      <c r="F133" s="1160" t="s">
        <v>243</v>
      </c>
      <c r="G133" s="332"/>
      <c r="H133" s="1162"/>
      <c r="I133" s="1215">
        <f t="shared" si="30"/>
        <v>0</v>
      </c>
      <c r="J133" s="1125"/>
      <c r="K133" s="1136"/>
      <c r="L133" s="1128">
        <v>9.6185999999999989</v>
      </c>
      <c r="M133" s="1129">
        <v>22.052399999999999</v>
      </c>
      <c r="N133" s="1129"/>
      <c r="O133" s="1510">
        <v>58.65</v>
      </c>
      <c r="P133" s="1511">
        <v>1.54836</v>
      </c>
      <c r="Q133" s="1132">
        <v>50.439</v>
      </c>
      <c r="R133" s="1132">
        <v>9.3840000000000003</v>
      </c>
      <c r="S133" s="1133">
        <v>0.56303999999999998</v>
      </c>
      <c r="T133" s="2025"/>
      <c r="U133" s="1134"/>
      <c r="V133" s="653">
        <f t="shared" si="31"/>
        <v>0</v>
      </c>
      <c r="W133" s="322">
        <f t="shared" si="32"/>
        <v>0</v>
      </c>
      <c r="X133" s="653" t="e">
        <f>(#REF!*N133/$G$171)</f>
        <v>#REF!</v>
      </c>
      <c r="Y133" s="322">
        <f t="shared" si="37"/>
        <v>0</v>
      </c>
      <c r="Z133" s="653">
        <f t="shared" si="38"/>
        <v>0</v>
      </c>
      <c r="AA133" s="322">
        <f t="shared" si="33"/>
        <v>0</v>
      </c>
      <c r="AB133" s="322">
        <f t="shared" si="34"/>
        <v>0</v>
      </c>
      <c r="AC133" s="654">
        <f t="shared" si="35"/>
        <v>0</v>
      </c>
      <c r="AD133" s="694">
        <f t="shared" si="40"/>
        <v>0</v>
      </c>
      <c r="AE133" s="654">
        <f t="shared" si="39"/>
        <v>0</v>
      </c>
      <c r="AF133" s="190"/>
      <c r="AG133" s="125"/>
      <c r="AH133" s="125"/>
      <c r="AI133" s="125"/>
      <c r="AJ133" s="125"/>
    </row>
    <row r="134" spans="1:36" s="126" customFormat="1" ht="21" hidden="1" customHeight="1" thickBot="1" x14ac:dyDescent="0.25">
      <c r="A134" s="1102"/>
      <c r="B134" s="1095" t="s">
        <v>250</v>
      </c>
      <c r="C134" s="1278"/>
      <c r="D134" s="1876"/>
      <c r="E134" s="1947"/>
      <c r="F134" s="1160" t="s">
        <v>243</v>
      </c>
      <c r="G134" s="332"/>
      <c r="H134" s="1162"/>
      <c r="I134" s="1215">
        <f t="shared" ref="I134:I170" si="41">G134*I$171/$G$171</f>
        <v>0</v>
      </c>
      <c r="J134" s="1125"/>
      <c r="K134" s="1136"/>
      <c r="L134" s="1128">
        <v>9.9704999999999995</v>
      </c>
      <c r="M134" s="1129">
        <v>18.768000000000001</v>
      </c>
      <c r="N134" s="1129"/>
      <c r="O134" s="1510">
        <v>58.65</v>
      </c>
      <c r="P134" s="1511">
        <v>1.54836</v>
      </c>
      <c r="Q134" s="1132">
        <v>44.573999999999998</v>
      </c>
      <c r="R134" s="1132">
        <v>10.557</v>
      </c>
      <c r="S134" s="1133">
        <v>0.52785000000000004</v>
      </c>
      <c r="T134" s="2025"/>
      <c r="U134" s="1134"/>
      <c r="V134" s="653">
        <f t="shared" ref="V134:V170" si="42">(G134*L134/$G$171)</f>
        <v>0</v>
      </c>
      <c r="W134" s="322">
        <f t="shared" ref="W134:W170" si="43">(G134*M134/$G$171)</f>
        <v>0</v>
      </c>
      <c r="X134" s="653" t="e">
        <f>(#REF!*N134/$G$171)</f>
        <v>#REF!</v>
      </c>
      <c r="Y134" s="322">
        <f t="shared" si="37"/>
        <v>0</v>
      </c>
      <c r="Z134" s="653">
        <f t="shared" si="38"/>
        <v>0</v>
      </c>
      <c r="AA134" s="322">
        <f t="shared" ref="AA134:AA170" si="44">(G134*Q134/$G$171)</f>
        <v>0</v>
      </c>
      <c r="AB134" s="322">
        <f t="shared" ref="AB134:AB170" si="45">(G134*R134/$G$171)</f>
        <v>0</v>
      </c>
      <c r="AC134" s="654">
        <f t="shared" ref="AC134:AC170" si="46">(G134*S134/$G$171)</f>
        <v>0</v>
      </c>
      <c r="AD134" s="694">
        <f t="shared" si="40"/>
        <v>0</v>
      </c>
      <c r="AE134" s="654">
        <f t="shared" si="39"/>
        <v>0</v>
      </c>
      <c r="AF134" s="190"/>
      <c r="AG134" s="125"/>
      <c r="AH134" s="125"/>
      <c r="AI134" s="125"/>
      <c r="AJ134" s="125"/>
    </row>
    <row r="135" spans="1:36" s="126" customFormat="1" ht="21" hidden="1" customHeight="1" thickBot="1" x14ac:dyDescent="0.25">
      <c r="A135" s="1107"/>
      <c r="B135" s="1097" t="s">
        <v>250</v>
      </c>
      <c r="C135" s="1836"/>
      <c r="D135" s="1864"/>
      <c r="E135" s="1949"/>
      <c r="F135" s="1181" t="s">
        <v>243</v>
      </c>
      <c r="G135" s="1091"/>
      <c r="H135" s="1216"/>
      <c r="I135" s="1217">
        <f t="shared" si="41"/>
        <v>0</v>
      </c>
      <c r="J135" s="406"/>
      <c r="K135" s="1148"/>
      <c r="L135" s="1150">
        <v>11.3781</v>
      </c>
      <c r="M135" s="1151">
        <v>22.404300000000003</v>
      </c>
      <c r="N135" s="1151"/>
      <c r="O135" s="1516">
        <v>58.65</v>
      </c>
      <c r="P135" s="1517">
        <v>1.54836</v>
      </c>
      <c r="Q135" s="1154">
        <v>44.573999999999998</v>
      </c>
      <c r="R135" s="1154">
        <v>10.557</v>
      </c>
      <c r="S135" s="1155">
        <v>0.52785000000000004</v>
      </c>
      <c r="T135" s="1997"/>
      <c r="U135" s="1156"/>
      <c r="V135" s="653">
        <f t="shared" si="42"/>
        <v>0</v>
      </c>
      <c r="W135" s="322">
        <f t="shared" si="43"/>
        <v>0</v>
      </c>
      <c r="X135" s="653" t="e">
        <f>(#REF!*N135/$G$171)</f>
        <v>#REF!</v>
      </c>
      <c r="Y135" s="322">
        <f t="shared" si="37"/>
        <v>0</v>
      </c>
      <c r="Z135" s="653">
        <f t="shared" si="38"/>
        <v>0</v>
      </c>
      <c r="AA135" s="322">
        <f t="shared" si="44"/>
        <v>0</v>
      </c>
      <c r="AB135" s="322">
        <f t="shared" si="45"/>
        <v>0</v>
      </c>
      <c r="AC135" s="654">
        <f t="shared" si="46"/>
        <v>0</v>
      </c>
      <c r="AD135" s="694">
        <f t="shared" si="40"/>
        <v>0</v>
      </c>
      <c r="AE135" s="654">
        <f t="shared" si="39"/>
        <v>0</v>
      </c>
      <c r="AF135" s="190"/>
      <c r="AG135" s="125"/>
      <c r="AH135" s="125"/>
      <c r="AI135" s="125"/>
      <c r="AJ135" s="125"/>
    </row>
    <row r="136" spans="1:36" s="130" customFormat="1" ht="21" hidden="1" customHeight="1" thickBot="1" x14ac:dyDescent="0.25">
      <c r="A136" s="1448"/>
      <c r="B136" s="1469" t="s">
        <v>249</v>
      </c>
      <c r="C136" s="1470">
        <v>13658.03664</v>
      </c>
      <c r="D136" s="1882"/>
      <c r="E136" s="1956"/>
      <c r="F136" s="1982" t="s">
        <v>243</v>
      </c>
      <c r="G136" s="168"/>
      <c r="H136" s="1218"/>
      <c r="I136" s="1443">
        <f t="shared" si="41"/>
        <v>0</v>
      </c>
      <c r="J136" s="1443">
        <f>SUM(I136:I137)</f>
        <v>0</v>
      </c>
      <c r="K136" s="1443" t="str">
        <f>IF(J136=0," ",H136/J136)</f>
        <v xml:space="preserve"> </v>
      </c>
      <c r="L136" s="1371"/>
      <c r="M136" s="1214"/>
      <c r="N136" s="1214"/>
      <c r="O136" s="1372">
        <v>55.131</v>
      </c>
      <c r="P136" s="1373">
        <v>1.54836</v>
      </c>
      <c r="Q136" s="1374"/>
      <c r="R136" s="1374"/>
      <c r="S136" s="1375"/>
      <c r="T136" s="2027"/>
      <c r="U136" s="1376"/>
      <c r="V136" s="1377">
        <f t="shared" si="42"/>
        <v>0</v>
      </c>
      <c r="W136" s="1378">
        <f t="shared" si="43"/>
        <v>0</v>
      </c>
      <c r="X136" s="1377" t="e">
        <f>(#REF!*N136/$G$171)</f>
        <v>#REF!</v>
      </c>
      <c r="Y136" s="1378">
        <f t="shared" si="37"/>
        <v>0</v>
      </c>
      <c r="Z136" s="1377">
        <f t="shared" si="38"/>
        <v>0</v>
      </c>
      <c r="AA136" s="1378">
        <f t="shared" si="44"/>
        <v>0</v>
      </c>
      <c r="AB136" s="1378">
        <f t="shared" si="45"/>
        <v>0</v>
      </c>
      <c r="AC136" s="1379">
        <f t="shared" si="46"/>
        <v>0</v>
      </c>
      <c r="AD136" s="694">
        <f t="shared" si="40"/>
        <v>0</v>
      </c>
      <c r="AE136" s="1379">
        <f t="shared" si="39"/>
        <v>0</v>
      </c>
      <c r="AF136" s="1380"/>
      <c r="AG136" s="147"/>
      <c r="AH136" s="147"/>
      <c r="AI136" s="147"/>
      <c r="AJ136" s="147"/>
    </row>
    <row r="137" spans="1:36" s="126" customFormat="1" ht="21" hidden="1" customHeight="1" thickBot="1" x14ac:dyDescent="0.25">
      <c r="A137" s="1108"/>
      <c r="B137" s="1316" t="s">
        <v>254</v>
      </c>
      <c r="C137" s="873"/>
      <c r="D137" s="1883"/>
      <c r="E137" s="1955"/>
      <c r="F137" s="1206" t="s">
        <v>243</v>
      </c>
      <c r="G137" s="171"/>
      <c r="H137" s="1219"/>
      <c r="I137" s="406">
        <f t="shared" si="41"/>
        <v>0</v>
      </c>
      <c r="J137" s="406"/>
      <c r="K137" s="406"/>
      <c r="L137" s="1208"/>
      <c r="M137" s="1209"/>
      <c r="N137" s="1209"/>
      <c r="O137" s="1522">
        <v>55.131</v>
      </c>
      <c r="P137" s="1523">
        <v>1.54836</v>
      </c>
      <c r="Q137" s="1211"/>
      <c r="R137" s="1211"/>
      <c r="S137" s="1212"/>
      <c r="T137" s="2028"/>
      <c r="U137" s="1220"/>
      <c r="V137" s="653">
        <f t="shared" si="42"/>
        <v>0</v>
      </c>
      <c r="W137" s="322">
        <f t="shared" si="43"/>
        <v>0</v>
      </c>
      <c r="X137" s="653" t="e">
        <f>(#REF!*N137/$G$171)</f>
        <v>#REF!</v>
      </c>
      <c r="Y137" s="322">
        <f t="shared" si="37"/>
        <v>0</v>
      </c>
      <c r="Z137" s="653">
        <f t="shared" si="38"/>
        <v>0</v>
      </c>
      <c r="AA137" s="322">
        <f t="shared" si="44"/>
        <v>0</v>
      </c>
      <c r="AB137" s="322">
        <f t="shared" si="45"/>
        <v>0</v>
      </c>
      <c r="AC137" s="654">
        <f t="shared" si="46"/>
        <v>0</v>
      </c>
      <c r="AD137" s="694">
        <f t="shared" si="40"/>
        <v>0</v>
      </c>
      <c r="AE137" s="654">
        <f t="shared" si="39"/>
        <v>0</v>
      </c>
      <c r="AF137" s="190"/>
      <c r="AG137" s="125"/>
      <c r="AH137" s="125"/>
      <c r="AI137" s="125"/>
      <c r="AJ137" s="125"/>
    </row>
    <row r="138" spans="1:36" s="126" customFormat="1" ht="21" hidden="1" customHeight="1" thickBot="1" x14ac:dyDescent="0.25">
      <c r="A138" s="1085"/>
      <c r="B138" s="1087" t="s">
        <v>332</v>
      </c>
      <c r="C138" s="1306"/>
      <c r="D138" s="1116"/>
      <c r="E138" s="1946"/>
      <c r="F138" s="1157" t="s">
        <v>243</v>
      </c>
      <c r="G138" s="1085"/>
      <c r="H138" s="1158" t="e">
        <v>#REF!</v>
      </c>
      <c r="I138" s="1139">
        <f t="shared" si="41"/>
        <v>0</v>
      </c>
      <c r="J138" s="1139">
        <f>SUM(I138:I139)</f>
        <v>0</v>
      </c>
      <c r="K138" s="1139" t="str">
        <f>IF(J138=0," ",H138/J138)</f>
        <v xml:space="preserve"> </v>
      </c>
      <c r="L138" s="1140">
        <v>11.847300000000001</v>
      </c>
      <c r="M138" s="1141">
        <v>20.058300000000003</v>
      </c>
      <c r="N138" s="1141"/>
      <c r="O138" s="1512">
        <v>58.65</v>
      </c>
      <c r="P138" s="1513">
        <v>1.58355</v>
      </c>
      <c r="Q138" s="1144"/>
      <c r="R138" s="1144">
        <v>7.0380000000000003</v>
      </c>
      <c r="S138" s="1145">
        <v>0.51612000000000002</v>
      </c>
      <c r="T138" s="2025"/>
      <c r="U138" s="1134"/>
      <c r="V138" s="653">
        <f t="shared" si="42"/>
        <v>0</v>
      </c>
      <c r="W138" s="322">
        <f t="shared" si="43"/>
        <v>0</v>
      </c>
      <c r="X138" s="653" t="e">
        <f>(#REF!*N138/$G$171)</f>
        <v>#REF!</v>
      </c>
      <c r="Y138" s="322">
        <f t="shared" si="37"/>
        <v>0</v>
      </c>
      <c r="Z138" s="653">
        <f t="shared" si="38"/>
        <v>0</v>
      </c>
      <c r="AA138" s="322">
        <f t="shared" si="44"/>
        <v>0</v>
      </c>
      <c r="AB138" s="322">
        <f t="shared" si="45"/>
        <v>0</v>
      </c>
      <c r="AC138" s="654">
        <f t="shared" si="46"/>
        <v>0</v>
      </c>
      <c r="AD138" s="694">
        <f t="shared" si="40"/>
        <v>0</v>
      </c>
      <c r="AE138" s="654">
        <f t="shared" si="39"/>
        <v>0</v>
      </c>
      <c r="AF138" s="190"/>
      <c r="AG138" s="125"/>
      <c r="AH138" s="125"/>
      <c r="AI138" s="125"/>
      <c r="AJ138" s="125"/>
    </row>
    <row r="139" spans="1:36" s="126" customFormat="1" ht="21" hidden="1" customHeight="1" thickBot="1" x14ac:dyDescent="0.25">
      <c r="A139" s="1091"/>
      <c r="B139" s="1092" t="s">
        <v>332</v>
      </c>
      <c r="C139" s="1836"/>
      <c r="D139" s="1864"/>
      <c r="E139" s="1949"/>
      <c r="F139" s="1181" t="s">
        <v>243</v>
      </c>
      <c r="G139" s="1091"/>
      <c r="H139" s="1182"/>
      <c r="I139" s="406">
        <f t="shared" si="41"/>
        <v>0</v>
      </c>
      <c r="J139" s="406"/>
      <c r="K139" s="406"/>
      <c r="L139" s="1150"/>
      <c r="M139" s="1151"/>
      <c r="N139" s="1151"/>
      <c r="O139" s="1516">
        <v>58.65</v>
      </c>
      <c r="P139" s="1517">
        <v>1.58355</v>
      </c>
      <c r="Q139" s="1154"/>
      <c r="R139" s="1154"/>
      <c r="S139" s="1155"/>
      <c r="T139" s="2025"/>
      <c r="U139" s="1134"/>
      <c r="V139" s="653">
        <f t="shared" si="42"/>
        <v>0</v>
      </c>
      <c r="W139" s="322">
        <f t="shared" si="43"/>
        <v>0</v>
      </c>
      <c r="X139" s="653" t="e">
        <f>(#REF!*N139/$G$171)</f>
        <v>#REF!</v>
      </c>
      <c r="Y139" s="322">
        <f t="shared" si="37"/>
        <v>0</v>
      </c>
      <c r="Z139" s="653">
        <f t="shared" si="38"/>
        <v>0</v>
      </c>
      <c r="AA139" s="322">
        <f t="shared" si="44"/>
        <v>0</v>
      </c>
      <c r="AB139" s="322">
        <f t="shared" si="45"/>
        <v>0</v>
      </c>
      <c r="AC139" s="654">
        <f t="shared" si="46"/>
        <v>0</v>
      </c>
      <c r="AD139" s="694">
        <f t="shared" si="40"/>
        <v>0</v>
      </c>
      <c r="AE139" s="654">
        <f t="shared" si="39"/>
        <v>0</v>
      </c>
      <c r="AF139" s="190"/>
      <c r="AG139" s="125"/>
      <c r="AH139" s="125"/>
      <c r="AI139" s="125"/>
      <c r="AJ139" s="125"/>
    </row>
    <row r="140" spans="1:36" s="126" customFormat="1" ht="22.5" hidden="1" customHeight="1" thickBot="1" x14ac:dyDescent="0.25">
      <c r="A140" s="1098"/>
      <c r="B140" s="1087" t="s">
        <v>256</v>
      </c>
      <c r="C140" s="1306"/>
      <c r="D140" s="1116"/>
      <c r="E140" s="1946"/>
      <c r="F140" s="1157" t="s">
        <v>243</v>
      </c>
      <c r="G140" s="1085"/>
      <c r="H140" s="1158" t="e">
        <v>#REF!</v>
      </c>
      <c r="I140" s="1186">
        <f t="shared" si="41"/>
        <v>0</v>
      </c>
      <c r="J140" s="1186">
        <f>SUM(I140:I141)</f>
        <v>0</v>
      </c>
      <c r="K140" s="1186" t="str">
        <f>IF(J140=0," ",H140/J140)</f>
        <v xml:space="preserve"> </v>
      </c>
      <c r="L140" s="1188">
        <v>11.2608</v>
      </c>
      <c r="M140" s="1189">
        <v>19.237199999999998</v>
      </c>
      <c r="N140" s="1189"/>
      <c r="O140" s="1518">
        <v>52.784999999999997</v>
      </c>
      <c r="P140" s="1519">
        <v>1.4779800000000001</v>
      </c>
      <c r="Q140" s="1191">
        <v>52.784999999999997</v>
      </c>
      <c r="R140" s="1191">
        <v>11.73</v>
      </c>
      <c r="S140" s="1192">
        <v>0.39882000000000001</v>
      </c>
      <c r="T140" s="2025"/>
      <c r="U140" s="1134"/>
      <c r="V140" s="653">
        <f t="shared" si="42"/>
        <v>0</v>
      </c>
      <c r="W140" s="322">
        <f t="shared" si="43"/>
        <v>0</v>
      </c>
      <c r="X140" s="653" t="e">
        <f>(#REF!*N140/$G$171)</f>
        <v>#REF!</v>
      </c>
      <c r="Y140" s="322">
        <f t="shared" si="37"/>
        <v>0</v>
      </c>
      <c r="Z140" s="653">
        <f t="shared" si="38"/>
        <v>0</v>
      </c>
      <c r="AA140" s="322">
        <f t="shared" si="44"/>
        <v>0</v>
      </c>
      <c r="AB140" s="322">
        <f t="shared" si="45"/>
        <v>0</v>
      </c>
      <c r="AC140" s="654">
        <f t="shared" si="46"/>
        <v>0</v>
      </c>
      <c r="AD140" s="694">
        <f t="shared" si="40"/>
        <v>0</v>
      </c>
      <c r="AE140" s="654">
        <f t="shared" si="39"/>
        <v>0</v>
      </c>
      <c r="AF140" s="190"/>
      <c r="AG140" s="125"/>
      <c r="AH140" s="125"/>
      <c r="AI140" s="125"/>
      <c r="AJ140" s="125"/>
    </row>
    <row r="141" spans="1:36" s="126" customFormat="1" ht="23.25" hidden="1" customHeight="1" thickBot="1" x14ac:dyDescent="0.25">
      <c r="A141" s="332"/>
      <c r="B141" s="1088" t="s">
        <v>256</v>
      </c>
      <c r="C141" s="1278"/>
      <c r="D141" s="1876"/>
      <c r="E141" s="1947"/>
      <c r="F141" s="1160" t="s">
        <v>243</v>
      </c>
      <c r="G141" s="332"/>
      <c r="H141" s="1162"/>
      <c r="I141" s="1125">
        <f t="shared" si="41"/>
        <v>0</v>
      </c>
      <c r="J141" s="1125"/>
      <c r="K141" s="1125"/>
      <c r="L141" s="1128"/>
      <c r="M141" s="1129"/>
      <c r="N141" s="1163"/>
      <c r="O141" s="1510">
        <v>69.206999999999994</v>
      </c>
      <c r="P141" s="1511">
        <v>1.71258</v>
      </c>
      <c r="Q141" s="1132"/>
      <c r="R141" s="1132"/>
      <c r="S141" s="1133"/>
      <c r="T141" s="2025"/>
      <c r="U141" s="1134"/>
      <c r="V141" s="653">
        <f t="shared" si="42"/>
        <v>0</v>
      </c>
      <c r="W141" s="322">
        <f t="shared" si="43"/>
        <v>0</v>
      </c>
      <c r="X141" s="653" t="e">
        <f>(#REF!*N141/$G$171)</f>
        <v>#REF!</v>
      </c>
      <c r="Y141" s="322">
        <f t="shared" si="37"/>
        <v>0</v>
      </c>
      <c r="Z141" s="653">
        <f t="shared" si="38"/>
        <v>0</v>
      </c>
      <c r="AA141" s="322">
        <f t="shared" si="44"/>
        <v>0</v>
      </c>
      <c r="AB141" s="322">
        <f t="shared" si="45"/>
        <v>0</v>
      </c>
      <c r="AC141" s="654">
        <f t="shared" si="46"/>
        <v>0</v>
      </c>
      <c r="AD141" s="694">
        <f t="shared" si="40"/>
        <v>0</v>
      </c>
      <c r="AE141" s="654">
        <f t="shared" si="39"/>
        <v>0</v>
      </c>
      <c r="AF141" s="190"/>
      <c r="AG141" s="125"/>
      <c r="AH141" s="125"/>
      <c r="AI141" s="125"/>
      <c r="AJ141" s="125"/>
    </row>
    <row r="142" spans="1:36" s="126" customFormat="1" ht="20.25" customHeight="1" thickBot="1" x14ac:dyDescent="0.25">
      <c r="A142" s="1101">
        <v>1.173</v>
      </c>
      <c r="B142" s="1094" t="s">
        <v>113</v>
      </c>
      <c r="C142" s="1306">
        <v>11568.278489999999</v>
      </c>
      <c r="D142" s="1116">
        <v>11.73</v>
      </c>
      <c r="E142" s="1946">
        <v>16.285714285714285</v>
      </c>
      <c r="F142" s="1157" t="s">
        <v>14</v>
      </c>
      <c r="G142" s="1085"/>
      <c r="H142" s="1222">
        <v>6700</v>
      </c>
      <c r="I142" s="1139">
        <f t="shared" si="41"/>
        <v>0</v>
      </c>
      <c r="J142" s="1238">
        <f>SUM(I142:I147)</f>
        <v>294.13679535317851</v>
      </c>
      <c r="K142" s="1499">
        <f>IF(J142=0," ",H142/J142)</f>
        <v>22.778517022853659</v>
      </c>
      <c r="L142" s="1140">
        <v>8.3283000000000005</v>
      </c>
      <c r="M142" s="1141">
        <v>23.2254</v>
      </c>
      <c r="N142" s="1197"/>
      <c r="O142" s="1512">
        <v>64.515000000000001</v>
      </c>
      <c r="P142" s="1513">
        <v>1.6422000000000001</v>
      </c>
      <c r="Q142" s="1144">
        <v>35.19</v>
      </c>
      <c r="R142" s="1144">
        <v>14.076000000000001</v>
      </c>
      <c r="S142" s="1145">
        <v>0.43401000000000001</v>
      </c>
      <c r="T142" s="2023">
        <v>0.154836</v>
      </c>
      <c r="U142" s="1198">
        <v>1.16127E-2</v>
      </c>
      <c r="V142" s="2215">
        <f t="shared" si="42"/>
        <v>0</v>
      </c>
      <c r="W142" s="2216">
        <f t="shared" si="43"/>
        <v>0</v>
      </c>
      <c r="X142" s="2215" t="e">
        <f>(#REF!*N142/$G$171)</f>
        <v>#REF!</v>
      </c>
      <c r="Y142" s="2216">
        <f t="shared" si="37"/>
        <v>0</v>
      </c>
      <c r="Z142" s="2215">
        <f t="shared" si="38"/>
        <v>0</v>
      </c>
      <c r="AA142" s="2216">
        <f t="shared" si="44"/>
        <v>0</v>
      </c>
      <c r="AB142" s="2216">
        <f t="shared" si="45"/>
        <v>0</v>
      </c>
      <c r="AC142" s="2217">
        <f t="shared" si="46"/>
        <v>0</v>
      </c>
      <c r="AD142" s="654">
        <f t="shared" si="40"/>
        <v>0</v>
      </c>
      <c r="AE142" s="2217">
        <f t="shared" si="39"/>
        <v>0</v>
      </c>
      <c r="AF142" s="70"/>
      <c r="AG142" s="125"/>
      <c r="AH142" s="125"/>
      <c r="AI142" s="125"/>
      <c r="AJ142" s="125"/>
    </row>
    <row r="143" spans="1:36" s="509" customFormat="1" ht="20.25" customHeight="1" thickBot="1" x14ac:dyDescent="0.25">
      <c r="A143" s="2209">
        <v>2.3460000000000001</v>
      </c>
      <c r="B143" s="2078" t="s">
        <v>113</v>
      </c>
      <c r="C143" s="1839">
        <v>11568.278489999999</v>
      </c>
      <c r="D143" s="2210"/>
      <c r="E143" s="1945"/>
      <c r="F143" s="1241" t="s">
        <v>243</v>
      </c>
      <c r="G143" s="1240">
        <v>9.3840000000000003</v>
      </c>
      <c r="H143" s="1242"/>
      <c r="I143" s="1244">
        <f t="shared" si="41"/>
        <v>181.00725867887908</v>
      </c>
      <c r="J143" s="1244"/>
      <c r="K143" s="2211"/>
      <c r="L143" s="1231">
        <v>8.7974999999999994</v>
      </c>
      <c r="M143" s="1137">
        <v>21.935099999999998</v>
      </c>
      <c r="N143" s="2212"/>
      <c r="O143" s="1232">
        <v>64.515000000000001</v>
      </c>
      <c r="P143" s="1233">
        <v>1.6422000000000001</v>
      </c>
      <c r="Q143" s="1234">
        <v>50.439</v>
      </c>
      <c r="R143" s="1234">
        <v>14.076000000000001</v>
      </c>
      <c r="S143" s="1235">
        <v>0.32844000000000001</v>
      </c>
      <c r="T143" s="2213">
        <v>0.154836</v>
      </c>
      <c r="U143" s="2214"/>
      <c r="V143" s="2165">
        <f t="shared" si="42"/>
        <v>0.6</v>
      </c>
      <c r="W143" s="2166">
        <f t="shared" si="43"/>
        <v>1.496</v>
      </c>
      <c r="X143" s="2165" t="e">
        <f>(#REF!*N143/$G$171)</f>
        <v>#REF!</v>
      </c>
      <c r="Y143" s="2166">
        <f>G143*O143/100</f>
        <v>4.4000000000000004</v>
      </c>
      <c r="Z143" s="2165">
        <f>(G143*P143/100)</f>
        <v>0.11199999999999999</v>
      </c>
      <c r="AA143" s="2166">
        <f t="shared" si="44"/>
        <v>3.44</v>
      </c>
      <c r="AB143" s="2166">
        <f t="shared" si="45"/>
        <v>0.96</v>
      </c>
      <c r="AC143" s="2167">
        <f t="shared" si="46"/>
        <v>2.2400000000000003E-2</v>
      </c>
      <c r="AD143" s="694">
        <f t="shared" si="40"/>
        <v>1.056E-2</v>
      </c>
      <c r="AE143" s="2167"/>
      <c r="AF143" s="1245"/>
      <c r="AG143" s="508"/>
      <c r="AH143" s="508"/>
      <c r="AI143" s="508"/>
      <c r="AJ143" s="508"/>
    </row>
    <row r="144" spans="1:36" s="126" customFormat="1" ht="20.25" hidden="1" customHeight="1" thickBot="1" x14ac:dyDescent="0.25">
      <c r="A144" s="1109"/>
      <c r="B144" s="1095" t="s">
        <v>259</v>
      </c>
      <c r="C144" s="1278">
        <v>11568.278489999999</v>
      </c>
      <c r="D144" s="1884"/>
      <c r="E144" s="1944"/>
      <c r="F144" s="1160" t="s">
        <v>243</v>
      </c>
      <c r="G144" s="332"/>
      <c r="H144" s="1162"/>
      <c r="I144" s="1125">
        <f t="shared" si="41"/>
        <v>0</v>
      </c>
      <c r="J144" s="1125"/>
      <c r="K144" s="1165"/>
      <c r="L144" s="1128">
        <v>9.5013000000000005</v>
      </c>
      <c r="M144" s="1129">
        <v>22.404300000000003</v>
      </c>
      <c r="N144" s="1163"/>
      <c r="O144" s="1510">
        <v>64.515000000000001</v>
      </c>
      <c r="P144" s="1511">
        <v>1.6422000000000001</v>
      </c>
      <c r="Q144" s="1132">
        <v>35.19</v>
      </c>
      <c r="R144" s="1132">
        <v>12.903</v>
      </c>
      <c r="S144" s="1133">
        <v>0.38708999999999999</v>
      </c>
      <c r="T144" s="2025">
        <v>0.154836</v>
      </c>
      <c r="U144" s="1303"/>
      <c r="V144" s="2215">
        <f t="shared" si="42"/>
        <v>0</v>
      </c>
      <c r="W144" s="2216">
        <f t="shared" si="43"/>
        <v>0</v>
      </c>
      <c r="X144" s="2215" t="e">
        <f>(#REF!*N144/$G$171)</f>
        <v>#REF!</v>
      </c>
      <c r="Y144" s="2216">
        <f>G144*O144/100</f>
        <v>0</v>
      </c>
      <c r="Z144" s="2215">
        <f>(G144*P144/100)</f>
        <v>0</v>
      </c>
      <c r="AA144" s="2216">
        <f t="shared" si="44"/>
        <v>0</v>
      </c>
      <c r="AB144" s="2216">
        <f t="shared" si="45"/>
        <v>0</v>
      </c>
      <c r="AC144" s="2217">
        <f t="shared" si="46"/>
        <v>0</v>
      </c>
      <c r="AD144" s="654">
        <f t="shared" si="40"/>
        <v>0</v>
      </c>
      <c r="AE144" s="2217"/>
      <c r="AF144" s="70"/>
      <c r="AG144" s="125"/>
      <c r="AH144" s="125"/>
      <c r="AI144" s="125"/>
      <c r="AJ144" s="125"/>
    </row>
    <row r="145" spans="1:36" s="126" customFormat="1" ht="20.25" customHeight="1" thickBot="1" x14ac:dyDescent="0.25">
      <c r="A145" s="1109">
        <v>9.3840000000000003</v>
      </c>
      <c r="B145" s="1095" t="s">
        <v>113</v>
      </c>
      <c r="C145" s="1278">
        <v>11568.278489999999</v>
      </c>
      <c r="D145" s="1884"/>
      <c r="E145" s="1944"/>
      <c r="F145" s="1160" t="s">
        <v>243</v>
      </c>
      <c r="G145" s="332"/>
      <c r="H145" s="1162"/>
      <c r="I145" s="1125">
        <f t="shared" si="41"/>
        <v>0</v>
      </c>
      <c r="J145" s="1125"/>
      <c r="K145" s="1165"/>
      <c r="L145" s="1128">
        <v>8.3283000000000005</v>
      </c>
      <c r="M145" s="1129">
        <v>23.2254</v>
      </c>
      <c r="N145" s="1163"/>
      <c r="O145" s="1510">
        <v>64.515000000000001</v>
      </c>
      <c r="P145" s="1511">
        <v>1.6422000000000001</v>
      </c>
      <c r="Q145" s="1132">
        <v>35.19</v>
      </c>
      <c r="R145" s="1132">
        <v>14.076000000000001</v>
      </c>
      <c r="S145" s="1133">
        <v>0.43401000000000001</v>
      </c>
      <c r="T145" s="2025">
        <v>0.154836</v>
      </c>
      <c r="U145" s="1303"/>
      <c r="V145" s="2215">
        <f t="shared" si="42"/>
        <v>0</v>
      </c>
      <c r="W145" s="2216">
        <f t="shared" si="43"/>
        <v>0</v>
      </c>
      <c r="X145" s="2215" t="e">
        <f>(#REF!*N145/$G$171)</f>
        <v>#REF!</v>
      </c>
      <c r="Y145" s="2216">
        <f>G145*O145/100</f>
        <v>0</v>
      </c>
      <c r="Z145" s="2215">
        <f>(G145*P145/100)</f>
        <v>0</v>
      </c>
      <c r="AA145" s="2216">
        <f t="shared" si="44"/>
        <v>0</v>
      </c>
      <c r="AB145" s="2216">
        <f t="shared" si="45"/>
        <v>0</v>
      </c>
      <c r="AC145" s="2217">
        <f t="shared" si="46"/>
        <v>0</v>
      </c>
      <c r="AD145" s="654">
        <f t="shared" si="40"/>
        <v>0</v>
      </c>
      <c r="AE145" s="2217"/>
      <c r="AF145" s="70"/>
      <c r="AG145" s="125"/>
      <c r="AH145" s="125"/>
      <c r="AI145" s="125"/>
      <c r="AJ145" s="125"/>
    </row>
    <row r="146" spans="1:36" s="509" customFormat="1" ht="21.75" customHeight="1" thickBot="1" x14ac:dyDescent="0.25">
      <c r="A146" s="2209">
        <v>15.249000000000001</v>
      </c>
      <c r="B146" s="2078" t="s">
        <v>113</v>
      </c>
      <c r="C146" s="1839">
        <v>11568.278489999999</v>
      </c>
      <c r="D146" s="2210"/>
      <c r="E146" s="1945"/>
      <c r="F146" s="1241" t="s">
        <v>243</v>
      </c>
      <c r="G146" s="1240">
        <v>5.8650000000000002</v>
      </c>
      <c r="H146" s="1242"/>
      <c r="I146" s="1244">
        <f t="shared" si="41"/>
        <v>113.12953667429942</v>
      </c>
      <c r="J146" s="1244"/>
      <c r="K146" s="2211"/>
      <c r="L146" s="1231">
        <v>8.6801999999999992</v>
      </c>
      <c r="M146" s="1137">
        <v>21.465900000000001</v>
      </c>
      <c r="N146" s="2212"/>
      <c r="O146" s="1232">
        <v>64.515000000000001</v>
      </c>
      <c r="P146" s="1233">
        <v>1.6422000000000001</v>
      </c>
      <c r="Q146" s="1234">
        <v>34.017000000000003</v>
      </c>
      <c r="R146" s="1234">
        <v>14.076000000000001</v>
      </c>
      <c r="S146" s="1235">
        <v>0.42227999999999999</v>
      </c>
      <c r="T146" s="2213">
        <v>0.154836</v>
      </c>
      <c r="U146" s="2214"/>
      <c r="V146" s="2165">
        <f t="shared" si="42"/>
        <v>0.37</v>
      </c>
      <c r="W146" s="2166">
        <f t="shared" si="43"/>
        <v>0.91500000000000004</v>
      </c>
      <c r="X146" s="2165" t="e">
        <f>(#REF!*N146/$G$171)</f>
        <v>#REF!</v>
      </c>
      <c r="Y146" s="2166">
        <f t="shared" si="37"/>
        <v>2.75</v>
      </c>
      <c r="Z146" s="2165">
        <f t="shared" si="38"/>
        <v>7.0000000000000007E-2</v>
      </c>
      <c r="AA146" s="2166">
        <f t="shared" si="44"/>
        <v>1.45</v>
      </c>
      <c r="AB146" s="2166">
        <f t="shared" si="45"/>
        <v>0.6</v>
      </c>
      <c r="AC146" s="2167">
        <f t="shared" si="46"/>
        <v>1.7999999999999999E-2</v>
      </c>
      <c r="AD146" s="694">
        <f t="shared" si="40"/>
        <v>6.6E-3</v>
      </c>
      <c r="AE146" s="2167">
        <f t="shared" ref="AE146:AE160" si="47">(G146*U146/$G$171)</f>
        <v>0</v>
      </c>
      <c r="AF146" s="1245"/>
      <c r="AG146" s="508"/>
      <c r="AH146" s="508"/>
      <c r="AI146" s="508"/>
      <c r="AJ146" s="508"/>
    </row>
    <row r="147" spans="1:36" s="126" customFormat="1" ht="21" hidden="1" customHeight="1" thickBot="1" x14ac:dyDescent="0.25">
      <c r="A147" s="2218"/>
      <c r="B147" s="1097" t="s">
        <v>259</v>
      </c>
      <c r="C147" s="1836">
        <v>11568.278489999999</v>
      </c>
      <c r="D147" s="1863"/>
      <c r="E147" s="1952"/>
      <c r="F147" s="1181" t="s">
        <v>243</v>
      </c>
      <c r="G147" s="1091"/>
      <c r="H147" s="1182"/>
      <c r="I147" s="406">
        <f t="shared" si="41"/>
        <v>0</v>
      </c>
      <c r="J147" s="406"/>
      <c r="K147" s="406"/>
      <c r="L147" s="1150">
        <v>7.6245000000000003</v>
      </c>
      <c r="M147" s="1151">
        <v>24.398399999999999</v>
      </c>
      <c r="N147" s="1184"/>
      <c r="O147" s="1516">
        <v>64.515000000000001</v>
      </c>
      <c r="P147" s="1517">
        <v>1.6422000000000001</v>
      </c>
      <c r="Q147" s="1154">
        <v>39.881999999999998</v>
      </c>
      <c r="R147" s="1154">
        <v>14.076000000000001</v>
      </c>
      <c r="S147" s="1155">
        <v>0.43401000000000001</v>
      </c>
      <c r="T147" s="1997">
        <v>0.154836</v>
      </c>
      <c r="U147" s="1202">
        <v>1.16127E-2</v>
      </c>
      <c r="V147" s="2062">
        <f t="shared" si="42"/>
        <v>0</v>
      </c>
      <c r="W147" s="2063">
        <f t="shared" si="43"/>
        <v>0</v>
      </c>
      <c r="X147" s="2062" t="e">
        <f>(#REF!*N147/$G$171)</f>
        <v>#REF!</v>
      </c>
      <c r="Y147" s="2063">
        <f t="shared" si="37"/>
        <v>0</v>
      </c>
      <c r="Z147" s="2062">
        <f t="shared" si="38"/>
        <v>0</v>
      </c>
      <c r="AA147" s="2063">
        <f t="shared" si="44"/>
        <v>0</v>
      </c>
      <c r="AB147" s="2063">
        <f t="shared" si="45"/>
        <v>0</v>
      </c>
      <c r="AC147" s="2064">
        <f t="shared" si="46"/>
        <v>0</v>
      </c>
      <c r="AD147" s="654">
        <f t="shared" si="40"/>
        <v>0</v>
      </c>
      <c r="AE147" s="2064">
        <f t="shared" si="47"/>
        <v>0</v>
      </c>
      <c r="AF147" s="70"/>
      <c r="AG147" s="125"/>
      <c r="AH147" s="125"/>
      <c r="AI147" s="125"/>
      <c r="AJ147" s="125"/>
    </row>
    <row r="148" spans="1:36" s="126" customFormat="1" ht="21" hidden="1" customHeight="1" thickBot="1" x14ac:dyDescent="0.25">
      <c r="A148" s="1487"/>
      <c r="B148" s="1444" t="s">
        <v>262</v>
      </c>
      <c r="C148" s="1482">
        <v>13071.184740000001</v>
      </c>
      <c r="D148" s="1881"/>
      <c r="E148" s="1950"/>
      <c r="F148" s="1483" t="s">
        <v>243</v>
      </c>
      <c r="G148" s="1093"/>
      <c r="H148" s="1442">
        <v>0</v>
      </c>
      <c r="I148" s="1443">
        <f t="shared" si="41"/>
        <v>0</v>
      </c>
      <c r="J148" s="1443">
        <f>SUM(I148:I149)</f>
        <v>0</v>
      </c>
      <c r="K148" s="1186" t="str">
        <f>IF(J148=0," ",H148/J148)</f>
        <v xml:space="preserve"> </v>
      </c>
      <c r="L148" s="1188">
        <v>10.0878</v>
      </c>
      <c r="M148" s="1189">
        <v>23.46</v>
      </c>
      <c r="N148" s="1190"/>
      <c r="O148" s="1518">
        <v>59.823</v>
      </c>
      <c r="P148" s="1519">
        <v>1.557744</v>
      </c>
      <c r="Q148" s="1191">
        <v>35.19</v>
      </c>
      <c r="R148" s="1191">
        <v>14.076000000000001</v>
      </c>
      <c r="S148" s="1192">
        <v>0.42227999999999999</v>
      </c>
      <c r="T148" s="1805"/>
      <c r="U148" s="1193">
        <v>1.16127E-2</v>
      </c>
      <c r="V148" s="653">
        <f t="shared" si="42"/>
        <v>0</v>
      </c>
      <c r="W148" s="322">
        <f t="shared" si="43"/>
        <v>0</v>
      </c>
      <c r="X148" s="653" t="e">
        <f>(#REF!*N148/$G$171)</f>
        <v>#REF!</v>
      </c>
      <c r="Y148" s="322">
        <f t="shared" si="37"/>
        <v>0</v>
      </c>
      <c r="Z148" s="653">
        <f t="shared" si="38"/>
        <v>0</v>
      </c>
      <c r="AA148" s="322">
        <f t="shared" si="44"/>
        <v>0</v>
      </c>
      <c r="AB148" s="322">
        <f t="shared" si="45"/>
        <v>0</v>
      </c>
      <c r="AC148" s="654">
        <f t="shared" si="46"/>
        <v>0</v>
      </c>
      <c r="AD148" s="694">
        <f t="shared" si="40"/>
        <v>0</v>
      </c>
      <c r="AE148" s="654">
        <f t="shared" si="47"/>
        <v>0</v>
      </c>
      <c r="AF148" s="70"/>
      <c r="AG148" s="125"/>
      <c r="AH148" s="125"/>
      <c r="AI148" s="125"/>
      <c r="AJ148" s="125"/>
    </row>
    <row r="149" spans="1:36" s="126" customFormat="1" ht="21" hidden="1" customHeight="1" thickBot="1" x14ac:dyDescent="0.25">
      <c r="A149" s="1096"/>
      <c r="B149" s="1097"/>
      <c r="C149" s="1836">
        <v>13657.684740000001</v>
      </c>
      <c r="D149" s="1864"/>
      <c r="E149" s="1949"/>
      <c r="F149" s="1181"/>
      <c r="G149" s="1091"/>
      <c r="H149" s="1216"/>
      <c r="I149" s="1488">
        <f t="shared" si="41"/>
        <v>0</v>
      </c>
      <c r="J149" s="1488"/>
      <c r="K149" s="406"/>
      <c r="L149" s="1150"/>
      <c r="M149" s="1151"/>
      <c r="N149" s="1184"/>
      <c r="O149" s="1516"/>
      <c r="P149" s="1517"/>
      <c r="Q149" s="1154"/>
      <c r="R149" s="1154"/>
      <c r="S149" s="1155"/>
      <c r="T149" s="2025"/>
      <c r="U149" s="1134"/>
      <c r="V149" s="653">
        <f t="shared" si="42"/>
        <v>0</v>
      </c>
      <c r="W149" s="322">
        <f t="shared" si="43"/>
        <v>0</v>
      </c>
      <c r="X149" s="653" t="e">
        <f>(#REF!*N149/$G$171)</f>
        <v>#REF!</v>
      </c>
      <c r="Y149" s="322">
        <f t="shared" si="37"/>
        <v>0</v>
      </c>
      <c r="Z149" s="653">
        <f t="shared" si="38"/>
        <v>0</v>
      </c>
      <c r="AA149" s="322">
        <f t="shared" si="44"/>
        <v>0</v>
      </c>
      <c r="AB149" s="322">
        <f t="shared" si="45"/>
        <v>0</v>
      </c>
      <c r="AC149" s="654">
        <f t="shared" si="46"/>
        <v>0</v>
      </c>
      <c r="AD149" s="694">
        <f t="shared" ref="AD149:AD170" si="48">(G149*T149/$G$171)</f>
        <v>0</v>
      </c>
      <c r="AE149" s="654">
        <f t="shared" si="47"/>
        <v>0</v>
      </c>
      <c r="AF149" s="190"/>
      <c r="AG149" s="125"/>
      <c r="AH149" s="125"/>
      <c r="AI149" s="125"/>
      <c r="AJ149" s="125"/>
    </row>
    <row r="150" spans="1:36" s="126" customFormat="1" ht="21" hidden="1" customHeight="1" thickBot="1" x14ac:dyDescent="0.25">
      <c r="A150" s="1109"/>
      <c r="B150" s="1095" t="s">
        <v>263</v>
      </c>
      <c r="C150" s="1278"/>
      <c r="D150" s="1876"/>
      <c r="E150" s="1947"/>
      <c r="F150" s="1160"/>
      <c r="G150" s="332"/>
      <c r="H150" s="1221"/>
      <c r="I150" s="1446">
        <f t="shared" si="41"/>
        <v>0</v>
      </c>
      <c r="J150" s="1446">
        <f>SUM(I150:I151)</f>
        <v>0</v>
      </c>
      <c r="K150" s="1125" t="str">
        <f>IF(J150=0," ",H150/J150)</f>
        <v xml:space="preserve"> </v>
      </c>
      <c r="L150" s="1128"/>
      <c r="M150" s="1129"/>
      <c r="N150" s="1163"/>
      <c r="O150" s="1510"/>
      <c r="P150" s="1511"/>
      <c r="Q150" s="1132"/>
      <c r="R150" s="1132"/>
      <c r="S150" s="1133"/>
      <c r="T150" s="2025"/>
      <c r="U150" s="1134"/>
      <c r="V150" s="653">
        <f t="shared" si="42"/>
        <v>0</v>
      </c>
      <c r="W150" s="322">
        <f t="shared" si="43"/>
        <v>0</v>
      </c>
      <c r="X150" s="653" t="e">
        <f>(#REF!*N150/$G$171)</f>
        <v>#REF!</v>
      </c>
      <c r="Y150" s="322">
        <f t="shared" si="37"/>
        <v>0</v>
      </c>
      <c r="Z150" s="653">
        <f t="shared" si="38"/>
        <v>0</v>
      </c>
      <c r="AA150" s="322">
        <f t="shared" si="44"/>
        <v>0</v>
      </c>
      <c r="AB150" s="322">
        <f t="shared" si="45"/>
        <v>0</v>
      </c>
      <c r="AC150" s="654">
        <f t="shared" si="46"/>
        <v>0</v>
      </c>
      <c r="AD150" s="694">
        <f t="shared" si="48"/>
        <v>0</v>
      </c>
      <c r="AE150" s="654">
        <f t="shared" si="47"/>
        <v>0</v>
      </c>
      <c r="AF150" s="190"/>
      <c r="AG150" s="125"/>
      <c r="AH150" s="125"/>
      <c r="AI150" s="125"/>
      <c r="AJ150" s="125"/>
    </row>
    <row r="151" spans="1:36" s="126" customFormat="1" ht="21" hidden="1" customHeight="1" thickBot="1" x14ac:dyDescent="0.25">
      <c r="A151" s="1110"/>
      <c r="B151" s="1316"/>
      <c r="C151" s="873"/>
      <c r="D151" s="1883"/>
      <c r="E151" s="1955"/>
      <c r="F151" s="1206"/>
      <c r="G151" s="171"/>
      <c r="H151" s="1219"/>
      <c r="I151" s="1488">
        <f t="shared" si="41"/>
        <v>0</v>
      </c>
      <c r="J151" s="1488"/>
      <c r="K151" s="406"/>
      <c r="L151" s="1208"/>
      <c r="M151" s="1209"/>
      <c r="N151" s="1210"/>
      <c r="O151" s="1522"/>
      <c r="P151" s="1523"/>
      <c r="Q151" s="1211"/>
      <c r="R151" s="1211"/>
      <c r="S151" s="1212"/>
      <c r="T151" s="2025"/>
      <c r="U151" s="1134"/>
      <c r="V151" s="653">
        <f t="shared" si="42"/>
        <v>0</v>
      </c>
      <c r="W151" s="322">
        <f t="shared" si="43"/>
        <v>0</v>
      </c>
      <c r="X151" s="653" t="e">
        <f>(#REF!*N151/$G$171)</f>
        <v>#REF!</v>
      </c>
      <c r="Y151" s="322">
        <f t="shared" si="37"/>
        <v>0</v>
      </c>
      <c r="Z151" s="653">
        <f t="shared" si="38"/>
        <v>0</v>
      </c>
      <c r="AA151" s="322">
        <f t="shared" si="44"/>
        <v>0</v>
      </c>
      <c r="AB151" s="322">
        <f t="shared" si="45"/>
        <v>0</v>
      </c>
      <c r="AC151" s="654">
        <f t="shared" si="46"/>
        <v>0</v>
      </c>
      <c r="AD151" s="694">
        <f t="shared" si="48"/>
        <v>0</v>
      </c>
      <c r="AE151" s="654">
        <f t="shared" si="47"/>
        <v>0</v>
      </c>
      <c r="AF151" s="190"/>
      <c r="AG151" s="125"/>
      <c r="AH151" s="125"/>
      <c r="AI151" s="125"/>
      <c r="AJ151" s="125"/>
    </row>
    <row r="152" spans="1:36" s="126" customFormat="1" ht="21" hidden="1" customHeight="1" thickBot="1" x14ac:dyDescent="0.25">
      <c r="A152" s="1085"/>
      <c r="B152" s="1087" t="s">
        <v>333</v>
      </c>
      <c r="C152" s="1306">
        <v>10429.577010000001</v>
      </c>
      <c r="D152" s="1116"/>
      <c r="E152" s="1946"/>
      <c r="F152" s="1157" t="s">
        <v>265</v>
      </c>
      <c r="G152" s="1085"/>
      <c r="H152" s="1222">
        <v>0</v>
      </c>
      <c r="I152" s="1238">
        <f t="shared" si="41"/>
        <v>0</v>
      </c>
      <c r="J152" s="1238">
        <f>SUM(I152:I153)</f>
        <v>0</v>
      </c>
      <c r="K152" s="1139" t="str">
        <f>IF(J152=0," ",H152/J152)</f>
        <v xml:space="preserve"> </v>
      </c>
      <c r="L152" s="1188">
        <v>10.791599999999999</v>
      </c>
      <c r="M152" s="1189">
        <v>17.243099999999998</v>
      </c>
      <c r="N152" s="1189"/>
      <c r="O152" s="1518">
        <v>46.92</v>
      </c>
      <c r="P152" s="1519">
        <v>1.5248999999999999</v>
      </c>
      <c r="Q152" s="1191">
        <v>41.055</v>
      </c>
      <c r="R152" s="1191">
        <v>8.2110000000000003</v>
      </c>
      <c r="S152" s="1192">
        <v>0.43401000000000001</v>
      </c>
      <c r="T152" s="1805"/>
      <c r="U152" s="1193">
        <v>6.6861000000000004E-3</v>
      </c>
      <c r="V152" s="653">
        <f t="shared" si="42"/>
        <v>0</v>
      </c>
      <c r="W152" s="322">
        <f t="shared" si="43"/>
        <v>0</v>
      </c>
      <c r="X152" s="653" t="e">
        <f>(#REF!*N152/$G$171)</f>
        <v>#REF!</v>
      </c>
      <c r="Y152" s="322">
        <f t="shared" si="37"/>
        <v>0</v>
      </c>
      <c r="Z152" s="653">
        <f t="shared" si="38"/>
        <v>0</v>
      </c>
      <c r="AA152" s="322">
        <f t="shared" si="44"/>
        <v>0</v>
      </c>
      <c r="AB152" s="322">
        <f t="shared" si="45"/>
        <v>0</v>
      </c>
      <c r="AC152" s="654">
        <f t="shared" si="46"/>
        <v>0</v>
      </c>
      <c r="AD152" s="694">
        <f t="shared" si="48"/>
        <v>0</v>
      </c>
      <c r="AE152" s="654">
        <f t="shared" si="47"/>
        <v>0</v>
      </c>
      <c r="AF152" s="190"/>
      <c r="AG152" s="125"/>
      <c r="AH152" s="125"/>
      <c r="AI152" s="125"/>
      <c r="AJ152" s="125"/>
    </row>
    <row r="153" spans="1:36" s="126" customFormat="1" ht="21" hidden="1" customHeight="1" thickBot="1" x14ac:dyDescent="0.25">
      <c r="A153" s="1091"/>
      <c r="B153" s="1092" t="s">
        <v>333</v>
      </c>
      <c r="C153" s="1836">
        <v>10429.577010000001</v>
      </c>
      <c r="D153" s="1864"/>
      <c r="E153" s="1949"/>
      <c r="F153" s="1181" t="s">
        <v>265</v>
      </c>
      <c r="G153" s="1091"/>
      <c r="H153" s="1216"/>
      <c r="I153" s="1488">
        <f t="shared" si="41"/>
        <v>0</v>
      </c>
      <c r="J153" s="1488"/>
      <c r="K153" s="406"/>
      <c r="L153" s="1150">
        <v>8.4456000000000007</v>
      </c>
      <c r="M153" s="1151">
        <v>18.650700000000001</v>
      </c>
      <c r="N153" s="1184"/>
      <c r="O153" s="1516">
        <v>46.92</v>
      </c>
      <c r="P153" s="1517">
        <v>1.5248999999999999</v>
      </c>
      <c r="Q153" s="1154">
        <v>41.055</v>
      </c>
      <c r="R153" s="1154">
        <v>8.2110000000000003</v>
      </c>
      <c r="S153" s="1155">
        <v>0.43401000000000001</v>
      </c>
      <c r="T153" s="1997"/>
      <c r="U153" s="1156">
        <v>6.6861000000000004E-3</v>
      </c>
      <c r="V153" s="653">
        <f t="shared" si="42"/>
        <v>0</v>
      </c>
      <c r="W153" s="322">
        <f t="shared" si="43"/>
        <v>0</v>
      </c>
      <c r="X153" s="653" t="e">
        <f>(#REF!*N153/$G$171)</f>
        <v>#REF!</v>
      </c>
      <c r="Y153" s="322">
        <f t="shared" si="37"/>
        <v>0</v>
      </c>
      <c r="Z153" s="653">
        <f t="shared" si="38"/>
        <v>0</v>
      </c>
      <c r="AA153" s="322">
        <f t="shared" si="44"/>
        <v>0</v>
      </c>
      <c r="AB153" s="322">
        <f t="shared" si="45"/>
        <v>0</v>
      </c>
      <c r="AC153" s="654">
        <f t="shared" si="46"/>
        <v>0</v>
      </c>
      <c r="AD153" s="694">
        <f t="shared" si="48"/>
        <v>0</v>
      </c>
      <c r="AE153" s="654">
        <f t="shared" si="47"/>
        <v>0</v>
      </c>
      <c r="AF153" s="190"/>
      <c r="AG153" s="125"/>
      <c r="AH153" s="125"/>
      <c r="AI153" s="125"/>
      <c r="AJ153" s="125"/>
    </row>
    <row r="154" spans="1:36" s="126" customFormat="1" ht="21" customHeight="1" thickBot="1" x14ac:dyDescent="0.25">
      <c r="A154" s="2219"/>
      <c r="B154" s="1087" t="s">
        <v>334</v>
      </c>
      <c r="C154" s="1306">
        <v>9347.1091500000002</v>
      </c>
      <c r="D154" s="1116"/>
      <c r="E154" s="1946">
        <v>0.65306122448979587</v>
      </c>
      <c r="F154" s="1157" t="s">
        <v>5</v>
      </c>
      <c r="G154" s="1085"/>
      <c r="H154" s="1158">
        <v>0</v>
      </c>
      <c r="I154" s="1139">
        <f t="shared" si="41"/>
        <v>0</v>
      </c>
      <c r="J154" s="1139">
        <f>SUM(I154:I156)</f>
        <v>0</v>
      </c>
      <c r="K154" s="1164" t="str">
        <f>IF(J154=0," ",H154/J154)</f>
        <v xml:space="preserve"> </v>
      </c>
      <c r="L154" s="1140">
        <v>11.1435</v>
      </c>
      <c r="M154" s="1141">
        <v>18.1815</v>
      </c>
      <c r="N154" s="1197"/>
      <c r="O154" s="1512">
        <v>62.168999999999997</v>
      </c>
      <c r="P154" s="1513">
        <v>1.8768</v>
      </c>
      <c r="Q154" s="1144">
        <v>39.881999999999998</v>
      </c>
      <c r="R154" s="1144">
        <v>8.2110000000000003</v>
      </c>
      <c r="S154" s="1145">
        <v>0.39882000000000001</v>
      </c>
      <c r="T154" s="2023">
        <v>1.5847230000000001</v>
      </c>
      <c r="U154" s="1146">
        <v>9.5013E-2</v>
      </c>
      <c r="V154" s="653">
        <f t="shared" si="42"/>
        <v>0</v>
      </c>
      <c r="W154" s="322">
        <f t="shared" si="43"/>
        <v>0</v>
      </c>
      <c r="X154" s="653" t="e">
        <f>(#REF!*N154/$G$171)</f>
        <v>#REF!</v>
      </c>
      <c r="Y154" s="322">
        <f t="shared" si="37"/>
        <v>0</v>
      </c>
      <c r="Z154" s="653">
        <f t="shared" si="38"/>
        <v>0</v>
      </c>
      <c r="AA154" s="322">
        <f t="shared" si="44"/>
        <v>0</v>
      </c>
      <c r="AB154" s="322">
        <f t="shared" si="45"/>
        <v>0</v>
      </c>
      <c r="AC154" s="654">
        <f t="shared" si="46"/>
        <v>0</v>
      </c>
      <c r="AD154" s="654">
        <f t="shared" si="48"/>
        <v>0</v>
      </c>
      <c r="AE154" s="654">
        <f t="shared" si="47"/>
        <v>0</v>
      </c>
      <c r="AF154" s="70"/>
      <c r="AG154" s="125"/>
      <c r="AH154" s="125"/>
      <c r="AI154" s="125"/>
      <c r="AJ154" s="125"/>
    </row>
    <row r="155" spans="1:36" s="126" customFormat="1" ht="21" hidden="1" customHeight="1" thickBot="1" x14ac:dyDescent="0.25">
      <c r="A155" s="332"/>
      <c r="B155" s="1088" t="s">
        <v>334</v>
      </c>
      <c r="C155" s="1278">
        <v>9234.2313599999998</v>
      </c>
      <c r="D155" s="1884"/>
      <c r="E155" s="1944"/>
      <c r="F155" s="1160" t="s">
        <v>265</v>
      </c>
      <c r="G155" s="332"/>
      <c r="H155" s="1162"/>
      <c r="I155" s="1125">
        <f t="shared" si="41"/>
        <v>0</v>
      </c>
      <c r="J155" s="1125"/>
      <c r="K155" s="1125"/>
      <c r="L155" s="1150">
        <v>10.674300000000001</v>
      </c>
      <c r="M155" s="1151">
        <v>18.650700000000001</v>
      </c>
      <c r="N155" s="1184"/>
      <c r="O155" s="1516">
        <v>62.168999999999997</v>
      </c>
      <c r="P155" s="1517">
        <v>1.8768</v>
      </c>
      <c r="Q155" s="1154">
        <v>38.709000000000003</v>
      </c>
      <c r="R155" s="1154">
        <v>8.2110000000000003</v>
      </c>
      <c r="S155" s="1155">
        <v>0.39882000000000001</v>
      </c>
      <c r="T155" s="1997">
        <v>1.5847230000000001</v>
      </c>
      <c r="U155" s="1156">
        <v>9.5013E-2</v>
      </c>
      <c r="V155" s="653">
        <f t="shared" si="42"/>
        <v>0</v>
      </c>
      <c r="W155" s="322">
        <f t="shared" si="43"/>
        <v>0</v>
      </c>
      <c r="X155" s="653" t="e">
        <f>(#REF!*N155/$G$171)</f>
        <v>#REF!</v>
      </c>
      <c r="Y155" s="322">
        <f t="shared" si="37"/>
        <v>0</v>
      </c>
      <c r="Z155" s="653">
        <f t="shared" si="38"/>
        <v>0</v>
      </c>
      <c r="AA155" s="322">
        <f t="shared" si="44"/>
        <v>0</v>
      </c>
      <c r="AB155" s="322">
        <f t="shared" si="45"/>
        <v>0</v>
      </c>
      <c r="AC155" s="654">
        <f t="shared" si="46"/>
        <v>0</v>
      </c>
      <c r="AD155" s="654">
        <f t="shared" si="48"/>
        <v>0</v>
      </c>
      <c r="AE155" s="654">
        <f t="shared" si="47"/>
        <v>0</v>
      </c>
      <c r="AF155" s="70"/>
      <c r="AG155" s="125"/>
      <c r="AH155" s="125"/>
      <c r="AI155" s="125"/>
      <c r="AJ155" s="125"/>
    </row>
    <row r="156" spans="1:36" s="126" customFormat="1" ht="21" hidden="1" customHeight="1" thickBot="1" x14ac:dyDescent="0.25">
      <c r="A156" s="1091"/>
      <c r="B156" s="1092" t="s">
        <v>334</v>
      </c>
      <c r="C156" s="1836">
        <v>9176.0388299999995</v>
      </c>
      <c r="D156" s="1864"/>
      <c r="E156" s="1949"/>
      <c r="F156" s="1181" t="s">
        <v>265</v>
      </c>
      <c r="G156" s="1091"/>
      <c r="H156" s="1182"/>
      <c r="I156" s="406">
        <f t="shared" si="41"/>
        <v>0</v>
      </c>
      <c r="J156" s="406"/>
      <c r="K156" s="406"/>
      <c r="L156" s="1150">
        <v>11.2608</v>
      </c>
      <c r="M156" s="1151">
        <v>16.891200000000001</v>
      </c>
      <c r="N156" s="1223"/>
      <c r="O156" s="1516">
        <v>65.688000000000002</v>
      </c>
      <c r="P156" s="1517">
        <v>1.7946899999999999</v>
      </c>
      <c r="Q156" s="1154"/>
      <c r="R156" s="1154">
        <v>5.8650000000000002</v>
      </c>
      <c r="S156" s="1155">
        <v>0.35189999999999999</v>
      </c>
      <c r="T156" s="1997"/>
      <c r="U156" s="1156"/>
      <c r="V156" s="653">
        <f t="shared" si="42"/>
        <v>0</v>
      </c>
      <c r="W156" s="322">
        <f t="shared" si="43"/>
        <v>0</v>
      </c>
      <c r="X156" s="653" t="e">
        <f>(#REF!*N156/$G$171)</f>
        <v>#REF!</v>
      </c>
      <c r="Y156" s="322">
        <f t="shared" si="37"/>
        <v>0</v>
      </c>
      <c r="Z156" s="653">
        <f t="shared" si="38"/>
        <v>0</v>
      </c>
      <c r="AA156" s="322">
        <f t="shared" si="44"/>
        <v>0</v>
      </c>
      <c r="AB156" s="322">
        <f t="shared" si="45"/>
        <v>0</v>
      </c>
      <c r="AC156" s="654">
        <f t="shared" si="46"/>
        <v>0</v>
      </c>
      <c r="AD156" s="694">
        <f t="shared" si="48"/>
        <v>0</v>
      </c>
      <c r="AE156" s="654">
        <f t="shared" si="47"/>
        <v>0</v>
      </c>
      <c r="AF156" s="125"/>
      <c r="AG156" s="125"/>
      <c r="AH156" s="125"/>
      <c r="AI156" s="125"/>
      <c r="AJ156" s="125"/>
    </row>
    <row r="157" spans="1:36" s="130" customFormat="1" ht="21" hidden="1" customHeight="1" thickBot="1" x14ac:dyDescent="0.25">
      <c r="A157" s="1449"/>
      <c r="B157" s="1104" t="s">
        <v>269</v>
      </c>
      <c r="C157" s="1306">
        <v>12525.000749999999</v>
      </c>
      <c r="D157" s="1116"/>
      <c r="E157" s="1946"/>
      <c r="F157" s="1450" t="s">
        <v>265</v>
      </c>
      <c r="G157" s="1449"/>
      <c r="H157" s="1222">
        <v>0</v>
      </c>
      <c r="I157" s="1238">
        <f t="shared" si="41"/>
        <v>0</v>
      </c>
      <c r="J157" s="1238">
        <f>SUM(I157:I159)</f>
        <v>0</v>
      </c>
      <c r="K157" s="1238" t="str">
        <f>IF(J157=0," ",H157/J157)</f>
        <v xml:space="preserve"> </v>
      </c>
      <c r="L157" s="1140">
        <v>11.3781</v>
      </c>
      <c r="M157" s="1141">
        <v>17.125800000000002</v>
      </c>
      <c r="N157" s="1225"/>
      <c r="O157" s="1512">
        <v>55.131</v>
      </c>
      <c r="P157" s="1513">
        <v>1.58355</v>
      </c>
      <c r="Q157" s="1144">
        <v>51.612000000000002</v>
      </c>
      <c r="R157" s="1144">
        <v>8.2110000000000003</v>
      </c>
      <c r="S157" s="1145">
        <v>0.56303999999999998</v>
      </c>
      <c r="T157" s="2025"/>
      <c r="U157" s="1134">
        <v>9.5013E-2</v>
      </c>
      <c r="V157" s="1382">
        <f t="shared" si="42"/>
        <v>0</v>
      </c>
      <c r="W157" s="1383">
        <f t="shared" si="43"/>
        <v>0</v>
      </c>
      <c r="X157" s="1384" t="e">
        <f>(#REF!*N157/$G$171)</f>
        <v>#REF!</v>
      </c>
      <c r="Y157" s="1383">
        <f t="shared" si="37"/>
        <v>0</v>
      </c>
      <c r="Z157" s="1382">
        <f t="shared" si="38"/>
        <v>0</v>
      </c>
      <c r="AA157" s="1385">
        <f t="shared" si="44"/>
        <v>0</v>
      </c>
      <c r="AB157" s="1383">
        <f t="shared" si="45"/>
        <v>0</v>
      </c>
      <c r="AC157" s="1386">
        <f t="shared" si="46"/>
        <v>0</v>
      </c>
      <c r="AD157" s="694">
        <f t="shared" si="48"/>
        <v>0</v>
      </c>
      <c r="AE157" s="1386">
        <f t="shared" si="47"/>
        <v>0</v>
      </c>
      <c r="AF157" s="147"/>
      <c r="AG157" s="147"/>
      <c r="AH157" s="147"/>
      <c r="AI157" s="147"/>
      <c r="AJ157" s="147"/>
    </row>
    <row r="158" spans="1:36" s="126" customFormat="1" ht="21" hidden="1" customHeight="1" thickBot="1" x14ac:dyDescent="0.25">
      <c r="A158" s="332"/>
      <c r="B158" s="1111" t="s">
        <v>269</v>
      </c>
      <c r="C158" s="1278">
        <v>13312.904850000001</v>
      </c>
      <c r="D158" s="1876"/>
      <c r="E158" s="1947"/>
      <c r="F158" s="1160" t="s">
        <v>265</v>
      </c>
      <c r="G158" s="332"/>
      <c r="H158" s="1162"/>
      <c r="I158" s="1125">
        <f t="shared" si="41"/>
        <v>0</v>
      </c>
      <c r="J158" s="1125"/>
      <c r="K158" s="1125"/>
      <c r="L158" s="1128">
        <v>9.6185999999999989</v>
      </c>
      <c r="M158" s="1129">
        <v>20.292899999999999</v>
      </c>
      <c r="N158" s="1224"/>
      <c r="O158" s="1510">
        <v>55.131</v>
      </c>
      <c r="P158" s="1511">
        <v>1.58355</v>
      </c>
      <c r="Q158" s="1132">
        <v>36.363</v>
      </c>
      <c r="R158" s="1132">
        <v>8.2110000000000003</v>
      </c>
      <c r="S158" s="1133">
        <v>0.39882000000000001</v>
      </c>
      <c r="T158" s="2025"/>
      <c r="U158" s="1134">
        <v>9.5013E-2</v>
      </c>
      <c r="V158" s="822">
        <f t="shared" si="42"/>
        <v>0</v>
      </c>
      <c r="W158" s="823">
        <f t="shared" si="43"/>
        <v>0</v>
      </c>
      <c r="X158" s="318" t="e">
        <f>(#REF!*N158/$G$171)</f>
        <v>#REF!</v>
      </c>
      <c r="Y158" s="823">
        <f t="shared" si="37"/>
        <v>0</v>
      </c>
      <c r="Z158" s="822">
        <f t="shared" si="38"/>
        <v>0</v>
      </c>
      <c r="AA158" s="323">
        <f t="shared" si="44"/>
        <v>0</v>
      </c>
      <c r="AB158" s="823">
        <f t="shared" si="45"/>
        <v>0</v>
      </c>
      <c r="AC158" s="824">
        <f t="shared" si="46"/>
        <v>0</v>
      </c>
      <c r="AD158" s="694">
        <f t="shared" si="48"/>
        <v>0</v>
      </c>
      <c r="AE158" s="824">
        <f t="shared" si="47"/>
        <v>0</v>
      </c>
      <c r="AF158" s="125"/>
      <c r="AG158" s="125"/>
      <c r="AH158" s="125"/>
      <c r="AI158" s="125"/>
      <c r="AJ158" s="125"/>
    </row>
    <row r="159" spans="1:36" s="126" customFormat="1" ht="21" hidden="1" customHeight="1" thickBot="1" x14ac:dyDescent="0.25">
      <c r="A159" s="332"/>
      <c r="B159" s="1111" t="s">
        <v>269</v>
      </c>
      <c r="C159" s="1278">
        <v>13312.904850000001</v>
      </c>
      <c r="D159" s="1876"/>
      <c r="E159" s="1947"/>
      <c r="F159" s="1160" t="s">
        <v>265</v>
      </c>
      <c r="G159" s="332"/>
      <c r="H159" s="1162"/>
      <c r="I159" s="1125">
        <f t="shared" si="41"/>
        <v>0</v>
      </c>
      <c r="J159" s="1125"/>
      <c r="K159" s="1125"/>
      <c r="L159" s="1128">
        <v>11.1435</v>
      </c>
      <c r="M159" s="1129">
        <v>17.008500000000002</v>
      </c>
      <c r="N159" s="1224"/>
      <c r="O159" s="1510">
        <v>55.131</v>
      </c>
      <c r="P159" s="1511">
        <v>1.58355</v>
      </c>
      <c r="Q159" s="1132">
        <v>51.612000000000002</v>
      </c>
      <c r="R159" s="1132">
        <v>8.2110000000000003</v>
      </c>
      <c r="S159" s="1133">
        <v>0.56303999999999998</v>
      </c>
      <c r="T159" s="2025"/>
      <c r="U159" s="1134">
        <v>9.5013E-2</v>
      </c>
      <c r="V159" s="822">
        <f t="shared" si="42"/>
        <v>0</v>
      </c>
      <c r="W159" s="823">
        <f t="shared" si="43"/>
        <v>0</v>
      </c>
      <c r="X159" s="318" t="e">
        <f>(#REF!*N159/$G$171)</f>
        <v>#REF!</v>
      </c>
      <c r="Y159" s="823">
        <f t="shared" si="37"/>
        <v>0</v>
      </c>
      <c r="Z159" s="822">
        <f t="shared" si="38"/>
        <v>0</v>
      </c>
      <c r="AA159" s="323">
        <f t="shared" si="44"/>
        <v>0</v>
      </c>
      <c r="AB159" s="823">
        <f t="shared" si="45"/>
        <v>0</v>
      </c>
      <c r="AC159" s="824">
        <f t="shared" si="46"/>
        <v>0</v>
      </c>
      <c r="AD159" s="694">
        <f t="shared" si="48"/>
        <v>0</v>
      </c>
      <c r="AE159" s="824">
        <f t="shared" si="47"/>
        <v>0</v>
      </c>
      <c r="AF159" s="125"/>
      <c r="AG159" s="125"/>
      <c r="AH159" s="125"/>
      <c r="AI159" s="125"/>
      <c r="AJ159" s="125"/>
    </row>
    <row r="160" spans="1:36" s="509" customFormat="1" ht="21" customHeight="1" thickBot="1" x14ac:dyDescent="0.25">
      <c r="A160" s="2179">
        <v>11.73</v>
      </c>
      <c r="B160" s="2145" t="s">
        <v>137</v>
      </c>
      <c r="C160" s="1843">
        <v>9515.5284900000006</v>
      </c>
      <c r="D160" s="1920">
        <v>14.076000000000001</v>
      </c>
      <c r="E160" s="1943">
        <v>14.428571428571429</v>
      </c>
      <c r="F160" s="1916" t="s">
        <v>5</v>
      </c>
      <c r="G160" s="1848">
        <v>10.557</v>
      </c>
      <c r="H160" s="1246">
        <v>4200</v>
      </c>
      <c r="I160" s="1226">
        <f t="shared" si="41"/>
        <v>203.63316601373896</v>
      </c>
      <c r="J160" s="1226">
        <f>SUM(I160:I162)</f>
        <v>407.26633202747792</v>
      </c>
      <c r="K160" s="2178">
        <f>IF(J160=0," ",H160/J160)</f>
        <v>10.312661935719817</v>
      </c>
      <c r="L160" s="1227">
        <v>11.2608</v>
      </c>
      <c r="M160" s="1213">
        <v>19.002600000000001</v>
      </c>
      <c r="N160" s="2180"/>
      <c r="O160" s="1886">
        <v>48.093000000000004</v>
      </c>
      <c r="P160" s="1887">
        <v>1.8064199999999999</v>
      </c>
      <c r="Q160" s="1228">
        <v>37.536000000000001</v>
      </c>
      <c r="R160" s="1228">
        <v>7.0380000000000003</v>
      </c>
      <c r="S160" s="1229">
        <v>0.37536000000000003</v>
      </c>
      <c r="T160" s="2026">
        <v>1.048662</v>
      </c>
      <c r="U160" s="2181"/>
      <c r="V160" s="2073">
        <f t="shared" si="42"/>
        <v>0.86399999999999988</v>
      </c>
      <c r="W160" s="2074">
        <f t="shared" si="43"/>
        <v>1.4579999999999997</v>
      </c>
      <c r="X160" s="2075" t="e">
        <f>(#REF!*N160/$G$171)</f>
        <v>#REF!</v>
      </c>
      <c r="Y160" s="2074">
        <f>G160*O160/100</f>
        <v>3.69</v>
      </c>
      <c r="Z160" s="2073">
        <f>(G160*P160/100)</f>
        <v>0.1386</v>
      </c>
      <c r="AA160" s="2076">
        <f t="shared" si="44"/>
        <v>2.88</v>
      </c>
      <c r="AB160" s="2074">
        <f t="shared" si="45"/>
        <v>0.54</v>
      </c>
      <c r="AC160" s="2077">
        <f t="shared" si="46"/>
        <v>2.8799999999999999E-2</v>
      </c>
      <c r="AD160" s="694">
        <f t="shared" si="48"/>
        <v>8.045999999999999E-2</v>
      </c>
      <c r="AE160" s="2077">
        <f t="shared" si="47"/>
        <v>0</v>
      </c>
      <c r="AF160" s="508"/>
      <c r="AG160" s="508"/>
      <c r="AH160" s="508"/>
      <c r="AI160" s="508"/>
      <c r="AJ160" s="508"/>
    </row>
    <row r="161" spans="1:43" s="126" customFormat="1" ht="21" customHeight="1" thickBot="1" x14ac:dyDescent="0.25">
      <c r="A161" s="1082">
        <v>21.114000000000001</v>
      </c>
      <c r="B161" s="1095" t="s">
        <v>137</v>
      </c>
      <c r="C161" s="1278">
        <v>9515.5284900000006</v>
      </c>
      <c r="D161" s="1884"/>
      <c r="E161" s="1944"/>
      <c r="F161" s="1160" t="s">
        <v>265</v>
      </c>
      <c r="G161" s="332"/>
      <c r="H161" s="1162"/>
      <c r="I161" s="1125">
        <f t="shared" si="41"/>
        <v>0</v>
      </c>
      <c r="J161" s="1125"/>
      <c r="K161" s="1165"/>
      <c r="L161" s="1128">
        <v>9.8531999999999993</v>
      </c>
      <c r="M161" s="1129">
        <v>18.768000000000001</v>
      </c>
      <c r="N161" s="1224"/>
      <c r="O161" s="1510">
        <v>48.093000000000004</v>
      </c>
      <c r="P161" s="1511">
        <v>1.8064199999999999</v>
      </c>
      <c r="Q161" s="1132">
        <v>43.401000000000003</v>
      </c>
      <c r="R161" s="1132">
        <v>7.0380000000000003</v>
      </c>
      <c r="S161" s="1133">
        <v>0.42227999999999999</v>
      </c>
      <c r="T161" s="2025">
        <v>1.048662</v>
      </c>
      <c r="U161" s="1134"/>
      <c r="V161" s="822">
        <f t="shared" si="42"/>
        <v>0</v>
      </c>
      <c r="W161" s="823">
        <f t="shared" si="43"/>
        <v>0</v>
      </c>
      <c r="X161" s="318" t="e">
        <f>(#REF!*N161/$G$171)</f>
        <v>#REF!</v>
      </c>
      <c r="Y161" s="823">
        <f>G161*O161/100</f>
        <v>0</v>
      </c>
      <c r="Z161" s="822">
        <f>(G161*P161/100)</f>
        <v>0</v>
      </c>
      <c r="AA161" s="323">
        <f t="shared" si="44"/>
        <v>0</v>
      </c>
      <c r="AB161" s="823">
        <f t="shared" si="45"/>
        <v>0</v>
      </c>
      <c r="AC161" s="824">
        <f t="shared" si="46"/>
        <v>0</v>
      </c>
      <c r="AD161" s="654">
        <f t="shared" si="48"/>
        <v>0</v>
      </c>
      <c r="AE161" s="824"/>
      <c r="AF161" s="125"/>
      <c r="AG161" s="125"/>
      <c r="AH161" s="125"/>
      <c r="AI161" s="125"/>
      <c r="AJ161" s="125"/>
    </row>
    <row r="162" spans="1:43" s="509" customFormat="1" ht="21" customHeight="1" thickBot="1" x14ac:dyDescent="0.25">
      <c r="A162" s="2226">
        <v>26.978999999999999</v>
      </c>
      <c r="B162" s="2078" t="s">
        <v>137</v>
      </c>
      <c r="C162" s="2228">
        <v>9515.5284900000006</v>
      </c>
      <c r="D162" s="2210"/>
      <c r="E162" s="1945"/>
      <c r="F162" s="1241" t="s">
        <v>265</v>
      </c>
      <c r="G162" s="1240">
        <v>10.557</v>
      </c>
      <c r="H162" s="1242"/>
      <c r="I162" s="1244">
        <f t="shared" si="41"/>
        <v>203.63316601373896</v>
      </c>
      <c r="J162" s="1244"/>
      <c r="K162" s="1244"/>
      <c r="L162" s="1231">
        <v>9.3840000000000003</v>
      </c>
      <c r="M162" s="1137">
        <v>19.237199999999998</v>
      </c>
      <c r="N162" s="2227"/>
      <c r="O162" s="1232">
        <v>48.093000000000004</v>
      </c>
      <c r="P162" s="1233">
        <v>1.8064199999999999</v>
      </c>
      <c r="Q162" s="1234">
        <v>36.363</v>
      </c>
      <c r="R162" s="1234">
        <v>7.0380000000000003</v>
      </c>
      <c r="S162" s="1235">
        <v>0.38708999999999999</v>
      </c>
      <c r="T162" s="2213">
        <v>1.048662</v>
      </c>
      <c r="U162" s="1236"/>
      <c r="V162" s="2073">
        <f t="shared" si="42"/>
        <v>0.72</v>
      </c>
      <c r="W162" s="2074">
        <f t="shared" si="43"/>
        <v>1.476</v>
      </c>
      <c r="X162" s="2075" t="e">
        <f>(#REF!*N162/$G$171)</f>
        <v>#REF!</v>
      </c>
      <c r="Y162" s="2074">
        <f t="shared" si="37"/>
        <v>3.69</v>
      </c>
      <c r="Z162" s="2073">
        <f t="shared" si="38"/>
        <v>0.1386</v>
      </c>
      <c r="AA162" s="2076">
        <f t="shared" si="44"/>
        <v>2.79</v>
      </c>
      <c r="AB162" s="2074">
        <f t="shared" si="45"/>
        <v>0.54</v>
      </c>
      <c r="AC162" s="2077">
        <f t="shared" si="46"/>
        <v>2.9700000000000001E-2</v>
      </c>
      <c r="AD162" s="694">
        <f t="shared" si="48"/>
        <v>8.045999999999999E-2</v>
      </c>
      <c r="AE162" s="2077">
        <f t="shared" ref="AE162:AE170" si="49">(G162*U162/$G$171)</f>
        <v>0</v>
      </c>
      <c r="AF162" s="508"/>
      <c r="AG162" s="508"/>
      <c r="AH162" s="508"/>
      <c r="AI162" s="508"/>
      <c r="AJ162" s="508"/>
    </row>
    <row r="163" spans="1:43" s="126" customFormat="1" ht="21" hidden="1" customHeight="1" thickBot="1" x14ac:dyDescent="0.25">
      <c r="A163" s="1101"/>
      <c r="B163" s="1094" t="s">
        <v>335</v>
      </c>
      <c r="C163" s="1306"/>
      <c r="D163" s="1116"/>
      <c r="E163" s="1946"/>
      <c r="F163" s="1157" t="s">
        <v>265</v>
      </c>
      <c r="G163" s="1085"/>
      <c r="H163" s="1222"/>
      <c r="I163" s="1139">
        <f t="shared" si="41"/>
        <v>0</v>
      </c>
      <c r="J163" s="1139">
        <f>SUM(I163:I164)</f>
        <v>0</v>
      </c>
      <c r="K163" s="1139" t="str">
        <f>IF(J163=0," ",H163/J163)</f>
        <v xml:space="preserve"> </v>
      </c>
      <c r="L163" s="1140"/>
      <c r="M163" s="1141"/>
      <c r="N163" s="1225"/>
      <c r="O163" s="1512"/>
      <c r="P163" s="1513"/>
      <c r="Q163" s="1144"/>
      <c r="R163" s="1144"/>
      <c r="S163" s="1145"/>
      <c r="T163" s="2025"/>
      <c r="U163" s="1134"/>
      <c r="V163" s="822">
        <f t="shared" si="42"/>
        <v>0</v>
      </c>
      <c r="W163" s="823">
        <f t="shared" si="43"/>
        <v>0</v>
      </c>
      <c r="X163" s="318" t="e">
        <f>(#REF!*N163/$G$171)</f>
        <v>#REF!</v>
      </c>
      <c r="Y163" s="823">
        <f t="shared" si="37"/>
        <v>0</v>
      </c>
      <c r="Z163" s="822">
        <f t="shared" si="38"/>
        <v>0</v>
      </c>
      <c r="AA163" s="323">
        <f t="shared" si="44"/>
        <v>0</v>
      </c>
      <c r="AB163" s="823">
        <f t="shared" si="45"/>
        <v>0</v>
      </c>
      <c r="AC163" s="824">
        <f t="shared" si="46"/>
        <v>0</v>
      </c>
      <c r="AD163" s="694">
        <f t="shared" si="48"/>
        <v>0</v>
      </c>
      <c r="AE163" s="824">
        <f t="shared" si="49"/>
        <v>0</v>
      </c>
      <c r="AF163" s="125"/>
      <c r="AG163" s="125"/>
      <c r="AH163" s="125"/>
      <c r="AI163" s="125"/>
      <c r="AJ163" s="125"/>
    </row>
    <row r="164" spans="1:43" s="126" customFormat="1" ht="21" hidden="1" customHeight="1" thickBot="1" x14ac:dyDescent="0.25">
      <c r="A164" s="1112"/>
      <c r="B164" s="1097"/>
      <c r="C164" s="1836"/>
      <c r="D164" s="1864"/>
      <c r="E164" s="1949"/>
      <c r="F164" s="1181" t="s">
        <v>265</v>
      </c>
      <c r="G164" s="1091"/>
      <c r="H164" s="1216"/>
      <c r="I164" s="406">
        <f t="shared" si="41"/>
        <v>0</v>
      </c>
      <c r="J164" s="406"/>
      <c r="K164" s="406"/>
      <c r="L164" s="1150"/>
      <c r="M164" s="1151"/>
      <c r="N164" s="1223"/>
      <c r="O164" s="1516"/>
      <c r="P164" s="1517"/>
      <c r="Q164" s="1154"/>
      <c r="R164" s="1154"/>
      <c r="S164" s="1155"/>
      <c r="T164" s="2025"/>
      <c r="U164" s="1134"/>
      <c r="V164" s="822">
        <f t="shared" si="42"/>
        <v>0</v>
      </c>
      <c r="W164" s="823">
        <f t="shared" si="43"/>
        <v>0</v>
      </c>
      <c r="X164" s="318" t="e">
        <f>(#REF!*N164/$G$171)</f>
        <v>#REF!</v>
      </c>
      <c r="Y164" s="823">
        <f t="shared" si="37"/>
        <v>0</v>
      </c>
      <c r="Z164" s="822">
        <f t="shared" si="38"/>
        <v>0</v>
      </c>
      <c r="AA164" s="323">
        <f t="shared" si="44"/>
        <v>0</v>
      </c>
      <c r="AB164" s="823">
        <f t="shared" si="45"/>
        <v>0</v>
      </c>
      <c r="AC164" s="824">
        <f t="shared" si="46"/>
        <v>0</v>
      </c>
      <c r="AD164" s="694">
        <f t="shared" si="48"/>
        <v>0</v>
      </c>
      <c r="AE164" s="824">
        <f t="shared" si="49"/>
        <v>0</v>
      </c>
      <c r="AF164" s="125"/>
      <c r="AG164" s="125"/>
      <c r="AH164" s="125"/>
      <c r="AI164" s="125"/>
      <c r="AJ164" s="125"/>
    </row>
    <row r="165" spans="1:43" s="126" customFormat="1" ht="21" hidden="1" customHeight="1" thickBot="1" x14ac:dyDescent="0.25">
      <c r="A165" s="1109"/>
      <c r="B165" s="1095" t="s">
        <v>272</v>
      </c>
      <c r="C165" s="1278"/>
      <c r="D165" s="1876"/>
      <c r="E165" s="1947"/>
      <c r="F165" s="1086"/>
      <c r="G165" s="1125"/>
      <c r="H165" s="1221"/>
      <c r="I165" s="1125">
        <f t="shared" si="41"/>
        <v>0</v>
      </c>
      <c r="J165" s="1125">
        <f>SUM(I165:I166)</f>
        <v>0</v>
      </c>
      <c r="K165" s="1125" t="str">
        <f>IF(J165=0," ",H165/J165)</f>
        <v xml:space="preserve"> </v>
      </c>
      <c r="L165" s="1128"/>
      <c r="M165" s="1129"/>
      <c r="N165" s="1224"/>
      <c r="O165" s="1524"/>
      <c r="P165" s="1511">
        <v>2.7448199999999998</v>
      </c>
      <c r="Q165" s="1132"/>
      <c r="R165" s="1132"/>
      <c r="S165" s="1133"/>
      <c r="T165" s="2025"/>
      <c r="U165" s="1134"/>
      <c r="V165" s="822">
        <f t="shared" si="42"/>
        <v>0</v>
      </c>
      <c r="W165" s="823">
        <f t="shared" si="43"/>
        <v>0</v>
      </c>
      <c r="X165" s="318" t="e">
        <f>(#REF!*N165/$G$171)</f>
        <v>#REF!</v>
      </c>
      <c r="Y165" s="823">
        <f t="shared" si="37"/>
        <v>0</v>
      </c>
      <c r="Z165" s="822">
        <f t="shared" si="38"/>
        <v>0</v>
      </c>
      <c r="AA165" s="323">
        <f t="shared" si="44"/>
        <v>0</v>
      </c>
      <c r="AB165" s="823">
        <f t="shared" si="45"/>
        <v>0</v>
      </c>
      <c r="AC165" s="824">
        <f t="shared" si="46"/>
        <v>0</v>
      </c>
      <c r="AD165" s="694">
        <f t="shared" si="48"/>
        <v>0</v>
      </c>
      <c r="AE165" s="824">
        <f t="shared" si="49"/>
        <v>0</v>
      </c>
      <c r="AF165" s="125"/>
      <c r="AG165" s="125"/>
      <c r="AH165" s="125"/>
      <c r="AI165" s="125"/>
      <c r="AJ165" s="125"/>
    </row>
    <row r="166" spans="1:43" s="126" customFormat="1" ht="21" hidden="1" customHeight="1" thickBot="1" x14ac:dyDescent="0.25">
      <c r="A166" s="1109"/>
      <c r="B166" s="1095"/>
      <c r="C166" s="1278"/>
      <c r="D166" s="1876"/>
      <c r="E166" s="1947"/>
      <c r="F166" s="1086"/>
      <c r="G166" s="1125"/>
      <c r="H166" s="1221"/>
      <c r="I166" s="1125">
        <f t="shared" si="41"/>
        <v>0</v>
      </c>
      <c r="J166" s="1125"/>
      <c r="K166" s="1125"/>
      <c r="L166" s="1128"/>
      <c r="M166" s="1129"/>
      <c r="N166" s="1224"/>
      <c r="O166" s="1524"/>
      <c r="P166" s="1511">
        <v>2.7448199999999998</v>
      </c>
      <c r="Q166" s="1132"/>
      <c r="R166" s="1132"/>
      <c r="S166" s="1133"/>
      <c r="T166" s="2025"/>
      <c r="U166" s="1134"/>
      <c r="V166" s="822">
        <f t="shared" si="42"/>
        <v>0</v>
      </c>
      <c r="W166" s="823">
        <f t="shared" si="43"/>
        <v>0</v>
      </c>
      <c r="X166" s="318" t="e">
        <f>(#REF!*N166/$G$171)</f>
        <v>#REF!</v>
      </c>
      <c r="Y166" s="823">
        <f t="shared" si="37"/>
        <v>0</v>
      </c>
      <c r="Z166" s="822">
        <f t="shared" si="38"/>
        <v>0</v>
      </c>
      <c r="AA166" s="323">
        <f t="shared" si="44"/>
        <v>0</v>
      </c>
      <c r="AB166" s="823">
        <f t="shared" si="45"/>
        <v>0</v>
      </c>
      <c r="AC166" s="824">
        <f t="shared" si="46"/>
        <v>0</v>
      </c>
      <c r="AD166" s="694">
        <f t="shared" si="48"/>
        <v>0</v>
      </c>
      <c r="AE166" s="824">
        <f t="shared" si="49"/>
        <v>0</v>
      </c>
      <c r="AF166" s="125"/>
      <c r="AG166" s="125"/>
      <c r="AH166" s="125"/>
      <c r="AI166" s="125"/>
      <c r="AJ166" s="125"/>
    </row>
    <row r="167" spans="1:43" s="126" customFormat="1" ht="21" hidden="1" customHeight="1" thickBot="1" x14ac:dyDescent="0.25">
      <c r="A167" s="1101"/>
      <c r="B167" s="1094" t="s">
        <v>273</v>
      </c>
      <c r="C167" s="1306"/>
      <c r="D167" s="1116"/>
      <c r="E167" s="1946"/>
      <c r="F167" s="1099"/>
      <c r="G167" s="1139"/>
      <c r="H167" s="1222"/>
      <c r="I167" s="1139">
        <f t="shared" si="41"/>
        <v>0</v>
      </c>
      <c r="J167" s="1139">
        <f>SUM(I167:I168)</f>
        <v>0</v>
      </c>
      <c r="K167" s="1139" t="str">
        <f>IF(J167=0," ",H167/J167)</f>
        <v xml:space="preserve"> </v>
      </c>
      <c r="L167" s="1140"/>
      <c r="M167" s="1141"/>
      <c r="N167" s="1225"/>
      <c r="O167" s="1525"/>
      <c r="P167" s="1513"/>
      <c r="Q167" s="1144"/>
      <c r="R167" s="1144"/>
      <c r="S167" s="1145"/>
      <c r="T167" s="2025"/>
      <c r="U167" s="1134"/>
      <c r="V167" s="822">
        <f t="shared" si="42"/>
        <v>0</v>
      </c>
      <c r="W167" s="823">
        <f t="shared" si="43"/>
        <v>0</v>
      </c>
      <c r="X167" s="318" t="e">
        <f>(#REF!*N167/$G$171)</f>
        <v>#REF!</v>
      </c>
      <c r="Y167" s="823">
        <f t="shared" si="37"/>
        <v>0</v>
      </c>
      <c r="Z167" s="822">
        <f t="shared" si="38"/>
        <v>0</v>
      </c>
      <c r="AA167" s="323">
        <f t="shared" si="44"/>
        <v>0</v>
      </c>
      <c r="AB167" s="823">
        <f t="shared" si="45"/>
        <v>0</v>
      </c>
      <c r="AC167" s="824">
        <f t="shared" si="46"/>
        <v>0</v>
      </c>
      <c r="AD167" s="694">
        <f t="shared" si="48"/>
        <v>0</v>
      </c>
      <c r="AE167" s="824">
        <f t="shared" si="49"/>
        <v>0</v>
      </c>
      <c r="AF167" s="125"/>
      <c r="AG167" s="125"/>
      <c r="AH167" s="125"/>
      <c r="AI167" s="125"/>
      <c r="AJ167" s="125"/>
    </row>
    <row r="168" spans="1:43" s="63" customFormat="1" ht="21" hidden="1" customHeight="1" thickBot="1" x14ac:dyDescent="0.25">
      <c r="A168" s="1112"/>
      <c r="B168" s="1097"/>
      <c r="C168" s="1836"/>
      <c r="D168" s="1864"/>
      <c r="E168" s="1949"/>
      <c r="F168" s="1100"/>
      <c r="G168" s="406"/>
      <c r="H168" s="1216"/>
      <c r="I168" s="406">
        <f t="shared" si="41"/>
        <v>0</v>
      </c>
      <c r="J168" s="406"/>
      <c r="K168" s="406"/>
      <c r="L168" s="1150"/>
      <c r="M168" s="1151"/>
      <c r="N168" s="1223"/>
      <c r="O168" s="1526">
        <v>21.583199999999998</v>
      </c>
      <c r="P168" s="1517">
        <v>2.7448199999999998</v>
      </c>
      <c r="Q168" s="1154"/>
      <c r="R168" s="1154"/>
      <c r="S168" s="1155"/>
      <c r="T168" s="2025"/>
      <c r="U168" s="1134"/>
      <c r="V168" s="822">
        <f t="shared" si="42"/>
        <v>0</v>
      </c>
      <c r="W168" s="823">
        <f t="shared" si="43"/>
        <v>0</v>
      </c>
      <c r="X168" s="318" t="e">
        <f>(#REF!*N168/$G$171)</f>
        <v>#REF!</v>
      </c>
      <c r="Y168" s="823">
        <f t="shared" si="37"/>
        <v>0</v>
      </c>
      <c r="Z168" s="822">
        <f t="shared" si="38"/>
        <v>0</v>
      </c>
      <c r="AA168" s="323">
        <f t="shared" si="44"/>
        <v>0</v>
      </c>
      <c r="AB168" s="823">
        <f t="shared" si="45"/>
        <v>0</v>
      </c>
      <c r="AC168" s="824">
        <f t="shared" si="46"/>
        <v>0</v>
      </c>
      <c r="AD168" s="694">
        <f t="shared" si="48"/>
        <v>0</v>
      </c>
      <c r="AE168" s="824">
        <f t="shared" si="49"/>
        <v>0</v>
      </c>
      <c r="AF168" s="68"/>
      <c r="AG168" s="68"/>
      <c r="AH168" s="68"/>
      <c r="AI168" s="68"/>
      <c r="AJ168" s="68"/>
      <c r="AO168" s="63" t="e">
        <f>AVERAGE(AO100:AO106)</f>
        <v>#DIV/0!</v>
      </c>
      <c r="AP168" s="63">
        <f>AVERAGE(AP100:AP106)</f>
        <v>33.299999999999997</v>
      </c>
      <c r="AQ168" s="63">
        <f>AVERAGE(AQ100:AQ106)</f>
        <v>89</v>
      </c>
    </row>
    <row r="169" spans="1:43" s="63" customFormat="1" ht="21.75" customHeight="1" thickBot="1" x14ac:dyDescent="0.25">
      <c r="A169" s="1085">
        <v>19.940999999999999</v>
      </c>
      <c r="B169" s="1094" t="s">
        <v>75</v>
      </c>
      <c r="C169" s="1306">
        <v>9763.8643200000006</v>
      </c>
      <c r="D169" s="1116"/>
      <c r="E169" s="1946">
        <v>0</v>
      </c>
      <c r="F169" s="1157"/>
      <c r="G169" s="1139"/>
      <c r="H169" s="1222">
        <v>0</v>
      </c>
      <c r="I169" s="1139">
        <f t="shared" si="41"/>
        <v>0</v>
      </c>
      <c r="J169" s="1238">
        <f>SUM(I169:I170)</f>
        <v>0</v>
      </c>
      <c r="K169" s="1499" t="str">
        <f>IF(J169=0," ",H169/J169)</f>
        <v xml:space="preserve"> </v>
      </c>
      <c r="L169" s="1140">
        <v>6.4515000000000002</v>
      </c>
      <c r="M169" s="1141">
        <v>40.351199999999999</v>
      </c>
      <c r="N169" s="1225"/>
      <c r="O169" s="1512">
        <v>98.531999999999996</v>
      </c>
      <c r="P169" s="1513">
        <v>1.1026199999999999</v>
      </c>
      <c r="Q169" s="1144">
        <v>19.940999999999999</v>
      </c>
      <c r="R169" s="1144">
        <v>38.709000000000003</v>
      </c>
      <c r="S169" s="1145">
        <v>0.57477</v>
      </c>
      <c r="T169" s="2023">
        <v>0.804678</v>
      </c>
      <c r="U169" s="1198">
        <v>1.4076E-2</v>
      </c>
      <c r="V169" s="1580">
        <f t="shared" si="42"/>
        <v>0</v>
      </c>
      <c r="W169" s="1581">
        <f t="shared" si="43"/>
        <v>0</v>
      </c>
      <c r="X169" s="1582" t="e">
        <f>(#REF!*N169/$G$171)</f>
        <v>#REF!</v>
      </c>
      <c r="Y169" s="1583">
        <f t="shared" si="37"/>
        <v>0</v>
      </c>
      <c r="Z169" s="1580">
        <f t="shared" si="38"/>
        <v>0</v>
      </c>
      <c r="AA169" s="1485">
        <f t="shared" si="44"/>
        <v>0</v>
      </c>
      <c r="AB169" s="1581">
        <f t="shared" si="45"/>
        <v>0</v>
      </c>
      <c r="AC169" s="1584">
        <f t="shared" si="46"/>
        <v>0</v>
      </c>
      <c r="AD169" s="694">
        <f t="shared" si="48"/>
        <v>0</v>
      </c>
      <c r="AE169" s="1584">
        <f t="shared" si="49"/>
        <v>0</v>
      </c>
      <c r="AF169" s="68"/>
      <c r="AG169" s="68"/>
      <c r="AH169" s="68"/>
      <c r="AI169" s="68"/>
      <c r="AJ169" s="68"/>
    </row>
    <row r="170" spans="1:43" s="63" customFormat="1" ht="21" hidden="1" customHeight="1" thickBot="1" x14ac:dyDescent="0.25">
      <c r="A170" s="1082"/>
      <c r="B170" s="1095" t="s">
        <v>314</v>
      </c>
      <c r="C170" s="1278">
        <v>9532.5604500000009</v>
      </c>
      <c r="D170" s="1884"/>
      <c r="E170" s="1944"/>
      <c r="F170" s="1160"/>
      <c r="G170" s="332"/>
      <c r="H170" s="1162"/>
      <c r="I170" s="1125">
        <f t="shared" si="41"/>
        <v>0</v>
      </c>
      <c r="J170" s="1125"/>
      <c r="K170" s="1125"/>
      <c r="L170" s="1128">
        <v>7.9763999999999999</v>
      </c>
      <c r="M170" s="1129">
        <v>42.228000000000002</v>
      </c>
      <c r="N170" s="1129"/>
      <c r="O170" s="1510">
        <v>100.878</v>
      </c>
      <c r="P170" s="1511">
        <v>1.13781</v>
      </c>
      <c r="Q170" s="1132">
        <v>52.784999999999997</v>
      </c>
      <c r="R170" s="1132">
        <v>25.806000000000001</v>
      </c>
      <c r="S170" s="1133">
        <v>0.83282999999999996</v>
      </c>
      <c r="T170" s="2025">
        <v>0.73195200000000005</v>
      </c>
      <c r="U170" s="1202">
        <v>5.5013699999999999E-2</v>
      </c>
      <c r="V170" s="318">
        <f t="shared" si="42"/>
        <v>0</v>
      </c>
      <c r="W170" s="1968">
        <f t="shared" si="43"/>
        <v>0</v>
      </c>
      <c r="X170" s="318">
        <f>(G170*N170/$G$171)</f>
        <v>0</v>
      </c>
      <c r="Y170" s="323">
        <f>G170*O170/100</f>
        <v>0</v>
      </c>
      <c r="Z170" s="318">
        <f>(G170*P170/100)</f>
        <v>0</v>
      </c>
      <c r="AA170" s="323">
        <f t="shared" si="44"/>
        <v>0</v>
      </c>
      <c r="AB170" s="1968">
        <f t="shared" si="45"/>
        <v>0</v>
      </c>
      <c r="AC170" s="1969">
        <f t="shared" si="46"/>
        <v>0</v>
      </c>
      <c r="AD170" s="654">
        <f t="shared" si="48"/>
        <v>0</v>
      </c>
      <c r="AE170" s="1584">
        <f t="shared" si="49"/>
        <v>0</v>
      </c>
      <c r="AF170" s="68"/>
      <c r="AG170" s="68"/>
      <c r="AH170" s="68"/>
      <c r="AI170" s="68"/>
      <c r="AJ170" s="68"/>
    </row>
    <row r="171" spans="1:43" s="419" customFormat="1" ht="23.25" customHeight="1" thickBot="1" x14ac:dyDescent="0.25">
      <c r="A171" s="710"/>
      <c r="B171" s="411" t="s">
        <v>336</v>
      </c>
      <c r="C171" s="412"/>
      <c r="D171" s="1885">
        <f>SUM(D6:D169)</f>
        <v>100</v>
      </c>
      <c r="E171" s="1957">
        <f>SUM(E6:E169)</f>
        <v>99.999999999999986</v>
      </c>
      <c r="F171" s="1983"/>
      <c r="G171" s="413">
        <f>SUM(G6:G170)</f>
        <v>100</v>
      </c>
      <c r="H171" s="414">
        <v>33699.999999999993</v>
      </c>
      <c r="I171" s="413">
        <v>2262.5907334859885</v>
      </c>
      <c r="J171" s="413">
        <f>SUM(J6:J169)</f>
        <v>2262.5907334859885</v>
      </c>
      <c r="K171" s="415"/>
      <c r="L171" s="416"/>
      <c r="M171" s="455"/>
      <c r="N171" s="417"/>
      <c r="O171" s="455"/>
      <c r="P171" s="456"/>
      <c r="Q171" s="417"/>
      <c r="R171" s="455"/>
      <c r="S171" s="498"/>
      <c r="T171" s="2029"/>
      <c r="U171" s="495"/>
      <c r="V171" s="701">
        <f t="shared" ref="V171:AE171" si="50">SUM(V6:V170)</f>
        <v>7.4719999999999986</v>
      </c>
      <c r="W171" s="702">
        <f t="shared" si="50"/>
        <v>26.496999999999993</v>
      </c>
      <c r="X171" s="703" t="e">
        <f t="shared" si="50"/>
        <v>#REF!</v>
      </c>
      <c r="Y171" s="703">
        <f t="shared" si="50"/>
        <v>64.650000000000006</v>
      </c>
      <c r="Z171" s="703">
        <f t="shared" si="50"/>
        <v>1.1638000000000002</v>
      </c>
      <c r="AA171" s="704">
        <f t="shared" si="50"/>
        <v>36.65</v>
      </c>
      <c r="AB171" s="705">
        <f>SUM(AB6:AB170)</f>
        <v>16.64</v>
      </c>
      <c r="AC171" s="1296">
        <f>SUM(AC6:AC170)</f>
        <v>0.51990000000000003</v>
      </c>
      <c r="AD171" s="703">
        <f>SUM(AD6:AD170)</f>
        <v>0.56364000000000003</v>
      </c>
      <c r="AE171" s="703">
        <f t="shared" si="50"/>
        <v>3.3399999999999999E-2</v>
      </c>
      <c r="AF171" s="418"/>
    </row>
    <row r="172" spans="1:43" s="224" customFormat="1" ht="22.5" customHeight="1" thickBot="1" x14ac:dyDescent="0.25">
      <c r="A172" s="2409"/>
      <c r="B172" s="1317" t="s">
        <v>275</v>
      </c>
      <c r="C172" s="1387"/>
      <c r="D172" s="2130" t="e">
        <f>IF(D175+D173=100," ","ПРОВЕРЬ СОСТАВ!!!")</f>
        <v>#REF!</v>
      </c>
      <c r="E172" s="2125" t="e">
        <f>IF(E175+E173=100," ","ПРОВЕРЬ СОСТАВ!!!")</f>
        <v>#REF!</v>
      </c>
      <c r="F172" s="1484"/>
      <c r="G172" s="1078" t="e">
        <f>IF(G175+G173=100," ","ПРОВЕРЬ СОСТАВ!!!")</f>
        <v>#REF!</v>
      </c>
      <c r="H172" s="397" t="str">
        <f>IF(H175+H173=100," ","ПРОВЕРЬ СОСТАВ!!!")</f>
        <v xml:space="preserve"> </v>
      </c>
      <c r="I172" s="1827"/>
      <c r="J172" s="273" t="s">
        <v>276</v>
      </c>
      <c r="K172" s="420" t="s">
        <v>42</v>
      </c>
      <c r="L172" s="2008">
        <f>V171</f>
        <v>7.4719999999999986</v>
      </c>
      <c r="M172" s="2009">
        <f>W171</f>
        <v>26.496999999999993</v>
      </c>
      <c r="N172" s="2009"/>
      <c r="O172" s="2009">
        <f t="shared" ref="O172:U172" si="51">Y171</f>
        <v>64.650000000000006</v>
      </c>
      <c r="P172" s="2010">
        <f t="shared" si="51"/>
        <v>1.1638000000000002</v>
      </c>
      <c r="Q172" s="2009">
        <f t="shared" si="51"/>
        <v>36.65</v>
      </c>
      <c r="R172" s="2009">
        <f>AB171</f>
        <v>16.64</v>
      </c>
      <c r="S172" s="2011">
        <f t="shared" si="51"/>
        <v>0.51990000000000003</v>
      </c>
      <c r="T172" s="2012">
        <f t="shared" si="51"/>
        <v>0.56364000000000003</v>
      </c>
      <c r="U172" s="1501">
        <f t="shared" si="51"/>
        <v>3.3399999999999999E-2</v>
      </c>
      <c r="V172" s="1033">
        <v>8.4456000000000007</v>
      </c>
      <c r="W172" s="1033">
        <v>31.553699999999999</v>
      </c>
      <c r="X172" s="1033"/>
      <c r="Y172" s="1033"/>
      <c r="Z172" s="1034"/>
      <c r="AA172" s="1034">
        <v>45.747</v>
      </c>
      <c r="AB172" s="1034">
        <v>21.114000000000001</v>
      </c>
      <c r="AC172" s="1035">
        <v>0.59823000000000004</v>
      </c>
      <c r="AD172" s="1035"/>
      <c r="AF172" s="225"/>
    </row>
    <row r="173" spans="1:43" s="63" customFormat="1" ht="22.5" customHeight="1" thickBot="1" x14ac:dyDescent="0.25">
      <c r="A173" s="2410"/>
      <c r="B173" s="1318" t="s">
        <v>277</v>
      </c>
      <c r="C173" s="876"/>
      <c r="D173" s="1856" t="e">
        <f>#REF!</f>
        <v>#REF!</v>
      </c>
      <c r="E173" s="1958" t="e">
        <f>#REF!</f>
        <v>#REF!</v>
      </c>
      <c r="F173" s="398"/>
      <c r="G173" s="1935" t="e">
        <f>#REF!</f>
        <v>#REF!</v>
      </c>
      <c r="H173" s="1503">
        <v>40.20771513353116</v>
      </c>
      <c r="I173" s="2337" t="s">
        <v>67</v>
      </c>
      <c r="J173" s="2337"/>
      <c r="K173" s="2338"/>
      <c r="L173" s="457">
        <v>0.35189999999999999</v>
      </c>
      <c r="M173" s="458">
        <f>M172*0.04*1.96/2.77</f>
        <v>0.74995119133573984</v>
      </c>
      <c r="N173" s="458"/>
      <c r="O173" s="459">
        <v>11.73</v>
      </c>
      <c r="P173" s="460">
        <v>5.8650000000000001E-2</v>
      </c>
      <c r="Q173" s="461">
        <v>4.6920000000000002</v>
      </c>
      <c r="R173" s="461">
        <v>2.3460000000000001</v>
      </c>
      <c r="S173" s="1750">
        <f>0.02+S172*0.09</f>
        <v>6.6791000000000003E-2</v>
      </c>
      <c r="T173" s="1785"/>
      <c r="U173" s="274">
        <f>U172*0.1</f>
        <v>3.3400000000000001E-3</v>
      </c>
      <c r="V173" s="226"/>
      <c r="W173" s="227"/>
      <c r="X173" s="227"/>
      <c r="Y173" s="227"/>
      <c r="Z173" s="228"/>
      <c r="AA173" s="228"/>
      <c r="AB173" s="228"/>
      <c r="AC173" s="228"/>
      <c r="AD173" s="228"/>
      <c r="AF173" s="182"/>
      <c r="AG173" s="182"/>
      <c r="AH173" s="182"/>
      <c r="AI173" s="182"/>
      <c r="AJ173" s="182"/>
    </row>
    <row r="174" spans="1:43" s="63" customFormat="1" ht="22.5" customHeight="1" x14ac:dyDescent="0.2">
      <c r="A174" s="2410"/>
      <c r="B174" s="1318" t="s">
        <v>278</v>
      </c>
      <c r="C174" s="876"/>
      <c r="D174" s="1857" t="e">
        <f>#REF!</f>
        <v>#REF!</v>
      </c>
      <c r="E174" s="1959" t="e">
        <f>#REF!</f>
        <v>#REF!</v>
      </c>
      <c r="F174" s="398"/>
      <c r="G174" s="1936" t="e">
        <f>#REF!</f>
        <v>#REF!</v>
      </c>
      <c r="H174" s="1080">
        <v>14.2433234421365</v>
      </c>
      <c r="I174" s="2296" t="s">
        <v>122</v>
      </c>
      <c r="J174" s="2297"/>
      <c r="K174" s="2298"/>
      <c r="L174" s="2382" t="s">
        <v>279</v>
      </c>
      <c r="M174" s="2403" t="s">
        <v>80</v>
      </c>
      <c r="N174" s="400"/>
      <c r="O174" s="2365" t="s">
        <v>281</v>
      </c>
      <c r="P174" s="2403" t="s">
        <v>105</v>
      </c>
      <c r="Q174" s="2412" t="s">
        <v>78</v>
      </c>
      <c r="R174" s="2412"/>
      <c r="S174" s="2405" t="s">
        <v>282</v>
      </c>
      <c r="T174" s="1719"/>
      <c r="U174" s="2401" t="s">
        <v>283</v>
      </c>
      <c r="V174" s="229"/>
      <c r="W174" s="326"/>
      <c r="X174" s="326"/>
      <c r="Y174" s="227"/>
      <c r="AA174" s="228"/>
      <c r="AB174" s="228"/>
      <c r="AC174" s="228"/>
      <c r="AD174" s="228"/>
      <c r="AF174" s="182"/>
      <c r="AG174" s="182"/>
      <c r="AH174" s="182"/>
      <c r="AI174" s="182"/>
      <c r="AJ174" s="182"/>
    </row>
    <row r="175" spans="1:43" s="63" customFormat="1" ht="22.5" customHeight="1" thickBot="1" x14ac:dyDescent="0.25">
      <c r="A175" s="2410"/>
      <c r="B175" s="1318" t="s">
        <v>284</v>
      </c>
      <c r="C175" s="876"/>
      <c r="D175" s="1856" t="e">
        <f>#REF!</f>
        <v>#REF!</v>
      </c>
      <c r="E175" s="1958" t="e">
        <f>#REF!</f>
        <v>#REF!</v>
      </c>
      <c r="F175" s="398"/>
      <c r="G175" s="1937" t="e">
        <f>#REF!</f>
        <v>#REF!</v>
      </c>
      <c r="H175" s="1503">
        <v>59.792284866468847</v>
      </c>
      <c r="I175" s="2299"/>
      <c r="J175" s="2300"/>
      <c r="K175" s="2301"/>
      <c r="L175" s="2383"/>
      <c r="M175" s="2404"/>
      <c r="N175" s="401"/>
      <c r="O175" s="2366"/>
      <c r="P175" s="2404"/>
      <c r="Q175" s="402"/>
      <c r="R175" s="403"/>
      <c r="S175" s="2406"/>
      <c r="T175" s="1720"/>
      <c r="U175" s="2402"/>
      <c r="V175" s="229" t="e">
        <f>SUM(#REF!)</f>
        <v>#REF!</v>
      </c>
      <c r="W175" s="346"/>
      <c r="X175" s="346">
        <f>9*1.3</f>
        <v>11.700000000000001</v>
      </c>
      <c r="Y175" s="227"/>
      <c r="Z175" s="228"/>
      <c r="AA175" s="228"/>
      <c r="AB175" s="228"/>
      <c r="AC175" s="228"/>
      <c r="AD175" s="228"/>
      <c r="AF175" s="182"/>
      <c r="AG175" s="182"/>
      <c r="AH175" s="182"/>
      <c r="AI175" s="182"/>
      <c r="AJ175" s="182"/>
    </row>
    <row r="176" spans="1:43" s="63" customFormat="1" ht="22.5" customHeight="1" thickBot="1" x14ac:dyDescent="0.25">
      <c r="A176" s="2411"/>
      <c r="B176" s="1319" t="s">
        <v>287</v>
      </c>
      <c r="C176" s="876"/>
      <c r="D176" s="1858" t="e">
        <f>#REF!</f>
        <v>#REF!</v>
      </c>
      <c r="E176" s="1960" t="e">
        <f>#REF!</f>
        <v>#REF!</v>
      </c>
      <c r="F176" s="399"/>
      <c r="G176" s="1938" t="e">
        <f>#REF!</f>
        <v>#REF!</v>
      </c>
      <c r="H176" s="1080">
        <v>47.32937685459941</v>
      </c>
      <c r="I176" s="1828" t="s">
        <v>104</v>
      </c>
      <c r="J176" s="846"/>
      <c r="K176" s="1445">
        <f>G177-D177</f>
        <v>-232.86009999999806</v>
      </c>
      <c r="L176" s="2407"/>
      <c r="M176" s="2408"/>
      <c r="N176" s="2408"/>
      <c r="O176" s="2408"/>
      <c r="P176" s="2408"/>
      <c r="Q176" s="2408"/>
      <c r="R176" s="2408"/>
      <c r="S176" s="2408"/>
      <c r="T176" s="1844"/>
      <c r="U176" s="850"/>
      <c r="V176" s="226"/>
      <c r="W176" s="825"/>
      <c r="X176" s="227"/>
      <c r="Y176" s="227"/>
      <c r="Z176" s="228"/>
      <c r="AB176" s="228"/>
      <c r="AC176" s="228"/>
      <c r="AD176" s="228"/>
      <c r="AF176" s="182"/>
      <c r="AG176" s="182"/>
      <c r="AH176" s="182"/>
      <c r="AI176" s="182"/>
      <c r="AJ176" s="182"/>
    </row>
    <row r="177" spans="1:58" s="63" customFormat="1" ht="25.5" customHeight="1" thickBot="1" x14ac:dyDescent="0.25">
      <c r="A177" s="2294" t="s">
        <v>288</v>
      </c>
      <c r="B177" s="2397"/>
      <c r="C177" s="877"/>
      <c r="D177" s="2021">
        <f>SUMPRODUCT($C$6:$C$169,D6:D169)/D171</f>
        <v>9833.1152999999995</v>
      </c>
      <c r="E177" s="2022">
        <f>SUMPRODUCT($C$6:$C$169,E6:E169)/E171</f>
        <v>9699.0445326530626</v>
      </c>
      <c r="F177" s="866"/>
      <c r="G177" s="1940">
        <f>SUMPRODUCT($C$6:$C$170,G6:G170)/G171</f>
        <v>9600.2552000000014</v>
      </c>
      <c r="H177" s="1081"/>
      <c r="I177" s="1829" t="s">
        <v>289</v>
      </c>
      <c r="J177" s="848"/>
      <c r="K177" s="1891">
        <f>'Отклонения от БЮДЖЕТА и ПЛАНА'!P57</f>
        <v>-157.02753673469306</v>
      </c>
      <c r="L177" s="879"/>
      <c r="M177" s="880"/>
      <c r="N177" s="880"/>
      <c r="O177" s="880"/>
      <c r="P177" s="880"/>
      <c r="Q177" s="880"/>
      <c r="R177" s="880"/>
      <c r="S177" s="880"/>
      <c r="T177" s="1825"/>
      <c r="U177" s="851"/>
      <c r="V177" s="2146"/>
      <c r="W177" s="227"/>
      <c r="X177" s="228" t="s">
        <v>0</v>
      </c>
      <c r="Y177" s="228"/>
      <c r="Z177" s="228"/>
      <c r="AA177" s="228"/>
      <c r="AB177" s="230"/>
      <c r="AC177" s="230"/>
      <c r="AD177" s="230"/>
      <c r="AF177" s="182"/>
      <c r="AG177" s="182"/>
      <c r="AH177" s="182"/>
      <c r="AI177" s="182"/>
      <c r="AJ177" s="182"/>
      <c r="AN177" s="63" t="s">
        <v>0</v>
      </c>
    </row>
    <row r="178" spans="1:58" s="63" customFormat="1" ht="41.45" customHeight="1" thickBot="1" x14ac:dyDescent="0.25">
      <c r="A178" s="1830"/>
      <c r="B178" s="1831"/>
      <c r="C178" s="1832" t="s">
        <v>290</v>
      </c>
      <c r="D178" s="1859">
        <f>D21+D48+D51+D55+D102+D111+D142+D154+D169+D76+D125+D100+D160</f>
        <v>71</v>
      </c>
      <c r="E178" s="1961">
        <f>E21+E48+E51+E55+E102+E111+E142+E154+E169+E76+E125+E100+E160</f>
        <v>77.530612244897952</v>
      </c>
      <c r="F178" s="1833"/>
      <c r="G178" s="1893">
        <f>SUM(G6:G55)+SUM(G102:G106)+SUM(G111:G127)+G76+G77+SUM(G100:G101)+SUM(G142:G169)</f>
        <v>80</v>
      </c>
      <c r="H178" s="1826"/>
      <c r="I178" s="2068"/>
      <c r="J178" s="2068"/>
      <c r="K178" s="2068"/>
      <c r="L178" s="2068"/>
      <c r="M178" s="2117"/>
      <c r="N178" s="2117"/>
      <c r="O178" s="2117"/>
      <c r="P178" s="2117"/>
      <c r="Q178" s="2117"/>
      <c r="R178" s="2068"/>
      <c r="S178" s="2068"/>
      <c r="T178" s="2068"/>
      <c r="U178" s="851"/>
      <c r="V178" s="230"/>
      <c r="W178" s="227"/>
      <c r="X178" s="228"/>
      <c r="Y178" s="228"/>
      <c r="Z178" s="228"/>
      <c r="AA178" s="228"/>
      <c r="AB178" s="230"/>
      <c r="AC178" s="230"/>
      <c r="AD178" s="230"/>
      <c r="AF178" s="182"/>
      <c r="AG178" s="182"/>
      <c r="AH178" s="182"/>
      <c r="AI178" s="182"/>
      <c r="AJ178" s="182"/>
    </row>
    <row r="179" spans="1:58" s="449" customFormat="1" ht="22.5" customHeight="1" thickBot="1" x14ac:dyDescent="0.3">
      <c r="A179" s="1818"/>
      <c r="B179" s="1819" t="s">
        <v>337</v>
      </c>
      <c r="C179" s="1819"/>
      <c r="D179" s="1819"/>
      <c r="E179" s="1942"/>
      <c r="F179" s="1819"/>
      <c r="G179" s="1819"/>
      <c r="H179" s="1820"/>
      <c r="I179" s="1823"/>
      <c r="J179" s="1823"/>
      <c r="K179" s="1823"/>
      <c r="L179" s="515"/>
      <c r="M179" s="2118"/>
      <c r="N179" s="2363" t="s">
        <v>338</v>
      </c>
      <c r="O179" s="2363"/>
      <c r="P179" s="2363"/>
      <c r="Q179" s="2118"/>
      <c r="R179" s="515"/>
      <c r="S179" s="1824"/>
      <c r="T179" s="1824"/>
      <c r="U179" s="1822"/>
      <c r="V179" s="447"/>
      <c r="W179" s="448"/>
      <c r="X179" s="448"/>
      <c r="Y179" s="448"/>
      <c r="Z179" s="447"/>
      <c r="AA179" s="447"/>
      <c r="AB179" s="448"/>
      <c r="AE179" s="450"/>
      <c r="AF179" s="451"/>
      <c r="AH179" s="452"/>
    </row>
    <row r="180" spans="1:58" s="28" customFormat="1" ht="24" customHeight="1" thickBot="1" x14ac:dyDescent="0.35">
      <c r="A180" s="1814"/>
      <c r="B180" s="2373" t="s">
        <v>339</v>
      </c>
      <c r="C180" s="2374"/>
      <c r="D180" s="2018">
        <f>'2 блок'!D132*'3 блок'!I256+'3 блок'!D178*'3 блок'!I257</f>
        <v>67.979000000000013</v>
      </c>
      <c r="E180" s="2018">
        <f>'2 блок'!E132*'3 блок'!I256+'3 блок'!E178*'3 блок'!I257</f>
        <v>71.889357142857136</v>
      </c>
      <c r="F180" s="2019"/>
      <c r="G180" s="2020">
        <f>'2 блок'!G132*'3 блок'!I256+'3 блок'!G178*'3 блок'!I257</f>
        <v>72.447500000000005</v>
      </c>
      <c r="H180" s="1821">
        <f>'2 блок'!K125+'3 блок'!H171+'2 блок'!J125</f>
        <v>101000</v>
      </c>
      <c r="I180" s="835"/>
      <c r="J180" s="835"/>
      <c r="K180" s="836"/>
      <c r="L180" s="195"/>
      <c r="M180" s="2119" t="s">
        <v>340</v>
      </c>
      <c r="N180" s="2120">
        <v>121.992</v>
      </c>
      <c r="O180" s="2120">
        <v>5.8650000000000002</v>
      </c>
      <c r="P180" s="2120">
        <f>N180*O180</f>
        <v>520</v>
      </c>
      <c r="Q180" s="2121"/>
      <c r="R180" s="195"/>
      <c r="S180" s="195"/>
      <c r="T180" s="195"/>
      <c r="U180" s="195"/>
      <c r="W180" s="56"/>
      <c r="X180" s="59"/>
      <c r="Y180" s="42"/>
      <c r="Z180" s="54"/>
      <c r="AA180" s="54"/>
      <c r="AB180" s="34"/>
      <c r="AC180" s="34"/>
      <c r="AD180" s="34"/>
      <c r="AE180" s="57"/>
      <c r="AF180" s="33"/>
      <c r="AG180" s="33"/>
      <c r="AH180" s="33"/>
      <c r="AI180" s="50"/>
      <c r="AJ180" s="50"/>
      <c r="AK180" s="54"/>
      <c r="AL180" s="61"/>
      <c r="AM180" s="58"/>
      <c r="AN180" s="33"/>
      <c r="AO180" s="60"/>
      <c r="AV180" s="275"/>
      <c r="AW180" s="275"/>
      <c r="AX180" s="275"/>
      <c r="AY180" s="275"/>
      <c r="AZ180" s="275"/>
      <c r="BA180" s="275"/>
      <c r="BB180" s="275"/>
      <c r="BC180" s="275"/>
      <c r="BD180" s="275"/>
      <c r="BE180" s="275"/>
      <c r="BF180" s="275"/>
    </row>
    <row r="181" spans="1:58" s="28" customFormat="1" ht="17.25" customHeight="1" x14ac:dyDescent="0.25">
      <c r="A181" s="714"/>
      <c r="B181" s="1815"/>
      <c r="C181" s="1816"/>
      <c r="D181" s="1817"/>
      <c r="E181" s="1817"/>
      <c r="F181" s="1816"/>
      <c r="G181" s="1817"/>
      <c r="H181" s="194"/>
      <c r="I181" s="835"/>
      <c r="J181" s="835"/>
      <c r="K181" s="836"/>
      <c r="L181" s="195"/>
      <c r="M181" s="2119" t="s">
        <v>341</v>
      </c>
      <c r="N181" s="2120">
        <v>0</v>
      </c>
      <c r="O181" s="2120">
        <v>5.8650000000000002</v>
      </c>
      <c r="P181" s="2120">
        <f>N181*O181</f>
        <v>0</v>
      </c>
      <c r="Q181" s="2121"/>
      <c r="R181" s="195"/>
      <c r="S181" s="195"/>
      <c r="T181" s="195"/>
      <c r="U181" s="195"/>
      <c r="W181" s="56"/>
      <c r="X181" s="59"/>
      <c r="Y181" s="42"/>
      <c r="Z181" s="54"/>
      <c r="AA181" s="54"/>
      <c r="AB181" s="34"/>
      <c r="AC181" s="34"/>
      <c r="AD181" s="34"/>
      <c r="AE181" s="57"/>
      <c r="AF181" s="33"/>
      <c r="AG181" s="33"/>
      <c r="AH181" s="33"/>
      <c r="AI181" s="50"/>
      <c r="AJ181" s="50"/>
      <c r="AK181" s="54"/>
      <c r="AL181" s="61"/>
      <c r="AM181" s="58"/>
      <c r="AN181" s="33"/>
      <c r="AO181" s="60"/>
      <c r="AV181" s="275"/>
      <c r="AW181" s="275"/>
      <c r="AX181" s="275"/>
      <c r="AY181" s="275"/>
      <c r="AZ181" s="275"/>
      <c r="BA181" s="275"/>
      <c r="BB181" s="275"/>
      <c r="BC181" s="275"/>
      <c r="BD181" s="275"/>
      <c r="BE181" s="275"/>
      <c r="BF181" s="275"/>
    </row>
    <row r="182" spans="1:58" s="257" customFormat="1" ht="23.25" customHeight="1" x14ac:dyDescent="0.25">
      <c r="A182" s="735"/>
      <c r="B182" s="733" t="s">
        <v>342</v>
      </c>
      <c r="C182" s="733"/>
      <c r="D182" s="472"/>
      <c r="E182" s="473"/>
      <c r="F182" s="470"/>
      <c r="G182" s="470"/>
      <c r="H182" s="470"/>
      <c r="I182" s="470"/>
      <c r="J182" s="470"/>
      <c r="K182" s="470"/>
      <c r="L182" s="470"/>
      <c r="M182" s="2122" t="s">
        <v>343</v>
      </c>
      <c r="N182" s="2123">
        <v>-38.709000000000003</v>
      </c>
      <c r="O182" s="2123">
        <f>30-10</f>
        <v>20</v>
      </c>
      <c r="P182" s="2123">
        <f>N182*O182</f>
        <v>-660</v>
      </c>
      <c r="Q182" s="2124"/>
      <c r="R182" s="470"/>
      <c r="S182" s="470"/>
      <c r="T182" s="470"/>
      <c r="U182" s="264"/>
      <c r="V182" s="43"/>
      <c r="W182" s="56"/>
      <c r="X182" s="59"/>
      <c r="Y182" s="54"/>
      <c r="AA182" s="54"/>
      <c r="AB182" s="34"/>
      <c r="AC182" s="34"/>
      <c r="AD182" s="34"/>
      <c r="AE182" s="57"/>
      <c r="AF182" s="33"/>
      <c r="AG182" s="33"/>
      <c r="AH182" s="33"/>
      <c r="AI182" s="50"/>
      <c r="AJ182" s="50"/>
      <c r="AK182" s="54"/>
      <c r="AL182" s="61"/>
      <c r="AM182" s="58"/>
      <c r="AN182" s="33"/>
      <c r="AO182" s="60"/>
      <c r="AV182" s="276"/>
      <c r="AW182" s="276"/>
      <c r="AX182" s="276"/>
      <c r="AY182" s="276"/>
      <c r="AZ182" s="276"/>
      <c r="BA182" s="276"/>
      <c r="BB182" s="276"/>
      <c r="BC182" s="276"/>
      <c r="BD182" s="276"/>
      <c r="BE182" s="276"/>
      <c r="BF182" s="276"/>
    </row>
    <row r="183" spans="1:58" s="257" customFormat="1" ht="29.25" customHeight="1" x14ac:dyDescent="0.2">
      <c r="A183" s="1494">
        <v>1.173</v>
      </c>
      <c r="B183" s="2400" t="s">
        <v>150</v>
      </c>
      <c r="C183" s="2400"/>
      <c r="D183" s="2400"/>
      <c r="E183" s="2400"/>
      <c r="F183" s="2400"/>
      <c r="G183" s="2400"/>
      <c r="H183" s="2400"/>
      <c r="I183" s="2400"/>
      <c r="J183" s="2400"/>
      <c r="K183" s="2400"/>
      <c r="L183" s="2400"/>
      <c r="M183" s="2400"/>
      <c r="N183" s="2400"/>
      <c r="O183" s="2400"/>
      <c r="P183" s="2400"/>
      <c r="Q183" s="2400"/>
      <c r="R183" s="1585"/>
      <c r="S183" s="1585"/>
      <c r="T183" s="1585"/>
      <c r="U183" s="1586"/>
      <c r="V183" s="1587"/>
      <c r="W183" s="1496"/>
      <c r="X183" s="1588"/>
      <c r="Y183" s="1496"/>
      <c r="Z183" s="1496"/>
      <c r="AA183" s="54"/>
      <c r="AB183" s="34"/>
      <c r="AC183" s="34"/>
      <c r="AD183" s="34"/>
      <c r="AE183" s="57"/>
      <c r="AF183" s="33"/>
      <c r="AG183" s="33"/>
      <c r="AH183" s="33"/>
      <c r="AI183" s="50"/>
      <c r="AJ183" s="50"/>
      <c r="AK183" s="54"/>
      <c r="AL183" s="61"/>
      <c r="AM183" s="58"/>
      <c r="AN183" s="33"/>
      <c r="AO183" s="60"/>
      <c r="AV183" s="276"/>
      <c r="AW183" s="276"/>
      <c r="AX183" s="276"/>
      <c r="AY183" s="276"/>
      <c r="AZ183" s="276"/>
      <c r="BA183" s="276"/>
      <c r="BB183" s="276"/>
      <c r="BC183" s="276"/>
      <c r="BD183" s="276"/>
      <c r="BE183" s="276"/>
      <c r="BF183" s="276"/>
    </row>
    <row r="184" spans="1:58" s="257" customFormat="1" ht="33" customHeight="1" x14ac:dyDescent="0.2">
      <c r="A184" s="1497">
        <v>2.3460000000000001</v>
      </c>
      <c r="B184" s="1495" t="s">
        <v>87</v>
      </c>
      <c r="C184" s="1493"/>
      <c r="D184" s="1497"/>
      <c r="E184" s="1495"/>
      <c r="F184" s="1589"/>
      <c r="G184" s="1493"/>
      <c r="H184" s="1586"/>
      <c r="I184" s="1585"/>
      <c r="J184" s="1585"/>
      <c r="K184" s="1585"/>
      <c r="L184" s="1585"/>
      <c r="M184" s="1585"/>
      <c r="N184" s="1585"/>
      <c r="O184" s="1585"/>
      <c r="P184" s="1585"/>
      <c r="Q184" s="1585"/>
      <c r="R184" s="1585"/>
      <c r="S184" s="1585"/>
      <c r="T184" s="1585"/>
      <c r="U184" s="1586"/>
      <c r="V184" s="1587"/>
      <c r="W184" s="1496"/>
      <c r="X184" s="1588"/>
      <c r="Y184" s="1496"/>
      <c r="Z184" s="1496"/>
      <c r="AA184" s="54"/>
      <c r="AB184" s="34"/>
      <c r="AC184" s="34"/>
      <c r="AD184" s="34"/>
      <c r="AE184" s="57"/>
      <c r="AF184" s="33"/>
      <c r="AG184" s="33"/>
      <c r="AH184" s="33"/>
      <c r="AI184" s="50"/>
      <c r="AJ184" s="50"/>
      <c r="AK184" s="54"/>
      <c r="AL184" s="61"/>
      <c r="AM184" s="58"/>
      <c r="AN184" s="33"/>
      <c r="AO184" s="60"/>
      <c r="AV184" s="276"/>
      <c r="AW184" s="276"/>
      <c r="AX184" s="276"/>
      <c r="AY184" s="276"/>
      <c r="AZ184" s="276"/>
      <c r="BA184" s="276"/>
      <c r="BB184" s="276"/>
      <c r="BC184" s="276"/>
      <c r="BD184" s="276"/>
      <c r="BE184" s="276"/>
      <c r="BF184" s="276"/>
    </row>
    <row r="185" spans="1:58" s="136" customFormat="1" ht="29.25" hidden="1" customHeight="1" x14ac:dyDescent="0.2">
      <c r="A185" s="1497">
        <v>3.5190000000000001</v>
      </c>
      <c r="B185" s="2312" t="s">
        <v>139</v>
      </c>
      <c r="C185" s="2312"/>
      <c r="D185" s="2312"/>
      <c r="E185" s="2312"/>
      <c r="F185" s="2312"/>
      <c r="G185" s="2312"/>
      <c r="H185" s="2312"/>
      <c r="I185" s="2312"/>
      <c r="J185" s="2312"/>
      <c r="K185" s="2312"/>
      <c r="L185" s="2312"/>
      <c r="M185" s="2312"/>
      <c r="N185" s="2312"/>
      <c r="O185" s="2312"/>
      <c r="P185" s="2312"/>
      <c r="Q185" s="2312"/>
      <c r="R185" s="2312"/>
      <c r="S185" s="2312"/>
      <c r="T185" s="1716"/>
      <c r="U185" s="1492"/>
      <c r="V185" s="1492"/>
      <c r="W185" s="1492"/>
      <c r="X185" s="1492"/>
      <c r="Y185" s="1496"/>
      <c r="Z185" s="1496"/>
      <c r="AA185" s="54"/>
      <c r="AB185" s="34"/>
      <c r="AC185" s="34"/>
      <c r="AD185" s="34"/>
      <c r="AE185" s="57"/>
      <c r="AF185" s="33"/>
      <c r="AG185" s="33"/>
      <c r="AH185" s="33"/>
      <c r="AI185" s="50"/>
      <c r="AJ185" s="50"/>
      <c r="AK185" s="54"/>
      <c r="AL185" s="33"/>
      <c r="AM185" s="60"/>
      <c r="AN185" s="33"/>
      <c r="AO185" s="60"/>
      <c r="AV185" s="292"/>
      <c r="AW185" s="292"/>
      <c r="AX185" s="292"/>
      <c r="AY185" s="292"/>
      <c r="AZ185" s="292"/>
      <c r="BA185" s="292"/>
      <c r="BB185" s="292"/>
      <c r="BC185" s="292"/>
      <c r="BD185" s="292"/>
      <c r="BE185" s="292"/>
      <c r="BF185" s="292"/>
    </row>
    <row r="186" spans="1:58" s="257" customFormat="1" ht="31.5" hidden="1" customHeight="1" x14ac:dyDescent="0.2">
      <c r="A186" s="1497">
        <v>4.6920000000000002</v>
      </c>
      <c r="B186" s="2312" t="s">
        <v>140</v>
      </c>
      <c r="C186" s="2312"/>
      <c r="D186" s="2312"/>
      <c r="E186" s="2312"/>
      <c r="F186" s="2312"/>
      <c r="G186" s="2312"/>
      <c r="H186" s="2312"/>
      <c r="I186" s="2312"/>
      <c r="J186" s="2312"/>
      <c r="K186" s="2312"/>
      <c r="L186" s="2312"/>
      <c r="M186" s="2312"/>
      <c r="N186" s="2312"/>
      <c r="O186" s="2312"/>
      <c r="P186" s="2312"/>
      <c r="Q186" s="2312"/>
      <c r="R186" s="2312"/>
      <c r="S186" s="2312"/>
      <c r="T186" s="1492"/>
      <c r="U186" s="1586"/>
      <c r="V186" s="1587"/>
      <c r="W186" s="1496"/>
      <c r="X186" s="1588"/>
      <c r="Y186" s="1496"/>
      <c r="Z186" s="1496"/>
      <c r="AA186" s="54"/>
      <c r="AB186" s="34"/>
      <c r="AC186" s="34"/>
      <c r="AD186" s="34"/>
      <c r="AE186" s="57"/>
      <c r="AF186" s="33"/>
      <c r="AG186" s="33"/>
      <c r="AH186" s="33"/>
      <c r="AI186" s="50"/>
      <c r="AJ186" s="50"/>
      <c r="AK186" s="54"/>
      <c r="AL186" s="61"/>
      <c r="AM186" s="58"/>
      <c r="AN186" s="33"/>
      <c r="AO186" s="60"/>
      <c r="AV186" s="276"/>
      <c r="AW186" s="276"/>
      <c r="AX186" s="276"/>
      <c r="AY186" s="276"/>
      <c r="AZ186" s="276"/>
      <c r="BA186" s="276"/>
      <c r="BB186" s="276"/>
      <c r="BC186" s="276"/>
      <c r="BD186" s="276"/>
      <c r="BE186" s="276"/>
      <c r="BF186" s="276"/>
    </row>
    <row r="187" spans="1:58" s="136" customFormat="1" ht="28.5" hidden="1" customHeight="1" x14ac:dyDescent="0.2">
      <c r="A187" s="1494">
        <v>3.5190000000000001</v>
      </c>
      <c r="B187" s="2398" t="s">
        <v>143</v>
      </c>
      <c r="C187" s="2398"/>
      <c r="D187" s="2398"/>
      <c r="E187" s="2398"/>
      <c r="F187" s="2398"/>
      <c r="G187" s="2398"/>
      <c r="H187" s="2398"/>
      <c r="I187" s="2398"/>
      <c r="J187" s="2398"/>
      <c r="K187" s="2398"/>
      <c r="L187" s="2398"/>
      <c r="M187" s="2398"/>
      <c r="N187" s="2398"/>
      <c r="O187" s="2398"/>
      <c r="P187" s="2398"/>
      <c r="Q187" s="2398"/>
      <c r="R187" s="2398"/>
      <c r="S187" s="2398"/>
      <c r="T187" s="2066"/>
      <c r="U187" s="1586"/>
      <c r="V187" s="1587"/>
      <c r="W187" s="1496"/>
      <c r="X187" s="1588"/>
      <c r="Y187" s="1496"/>
      <c r="Z187" s="1496"/>
      <c r="AA187" s="54"/>
      <c r="AB187" s="34"/>
      <c r="AC187" s="34"/>
      <c r="AD187" s="34"/>
      <c r="AE187" s="57"/>
      <c r="AF187" s="33"/>
      <c r="AG187" s="33"/>
      <c r="AH187" s="33"/>
      <c r="AI187" s="50"/>
      <c r="AJ187" s="50"/>
      <c r="AK187" s="54"/>
      <c r="AL187" s="33"/>
      <c r="AM187" s="60"/>
      <c r="AN187" s="33"/>
      <c r="AO187" s="60"/>
      <c r="AV187" s="292"/>
      <c r="AW187" s="292"/>
      <c r="AX187" s="292"/>
      <c r="AY187" s="292"/>
      <c r="AZ187" s="292"/>
      <c r="BA187" s="292"/>
      <c r="BB187" s="292"/>
      <c r="BC187" s="292"/>
      <c r="BD187" s="292"/>
      <c r="BE187" s="292"/>
      <c r="BF187" s="292"/>
    </row>
    <row r="188" spans="1:58" s="136" customFormat="1" ht="41.25" hidden="1" customHeight="1" x14ac:dyDescent="0.2">
      <c r="A188" s="1970">
        <v>7.0380000000000003</v>
      </c>
      <c r="B188" s="2312" t="s">
        <v>132</v>
      </c>
      <c r="C188" s="2312"/>
      <c r="D188" s="2312"/>
      <c r="E188" s="2312"/>
      <c r="F188" s="2312"/>
      <c r="G188" s="2312"/>
      <c r="H188" s="2312"/>
      <c r="I188" s="2312"/>
      <c r="J188" s="2312"/>
      <c r="K188" s="2312"/>
      <c r="L188" s="2312"/>
      <c r="M188" s="2312"/>
      <c r="N188" s="2312"/>
      <c r="O188" s="2312"/>
      <c r="P188" s="2312"/>
      <c r="Q188" s="2312"/>
      <c r="R188" s="2312"/>
      <c r="S188" s="2312"/>
      <c r="T188" s="2067"/>
      <c r="U188" s="2067"/>
      <c r="V188" s="2067"/>
      <c r="W188" s="2067"/>
      <c r="X188" s="2067"/>
      <c r="Y188" s="2067"/>
      <c r="Z188" s="2067"/>
      <c r="AA188" s="54"/>
      <c r="AB188" s="34"/>
      <c r="AC188" s="34"/>
      <c r="AD188" s="34"/>
      <c r="AE188" s="57"/>
      <c r="AF188" s="33"/>
      <c r="AG188" s="33"/>
      <c r="AH188" s="33"/>
      <c r="AI188" s="50"/>
      <c r="AJ188" s="50"/>
      <c r="AK188" s="54"/>
      <c r="AL188" s="33"/>
      <c r="AM188" s="60"/>
      <c r="AN188" s="33"/>
      <c r="AO188" s="60"/>
      <c r="AV188" s="292"/>
      <c r="AW188" s="292"/>
      <c r="AX188" s="292"/>
      <c r="AY188" s="292"/>
      <c r="AZ188" s="292"/>
      <c r="BA188" s="292"/>
      <c r="BB188" s="292"/>
      <c r="BC188" s="292"/>
      <c r="BD188" s="292"/>
      <c r="BE188" s="292"/>
      <c r="BF188" s="292"/>
    </row>
    <row r="189" spans="1:58" s="2192" customFormat="1" ht="28.5" customHeight="1" x14ac:dyDescent="0.25">
      <c r="A189" s="1494"/>
      <c r="B189" s="2312"/>
      <c r="C189" s="2312"/>
      <c r="D189" s="2312"/>
      <c r="E189" s="2312"/>
      <c r="F189" s="2312"/>
      <c r="G189" s="2312"/>
      <c r="H189" s="2312"/>
      <c r="I189" s="2312"/>
      <c r="J189" s="2312"/>
      <c r="K189" s="2312"/>
      <c r="L189" s="2312"/>
      <c r="M189" s="2312"/>
      <c r="N189" s="2312"/>
      <c r="O189" s="2312"/>
      <c r="P189" s="2312"/>
      <c r="Q189" s="2312"/>
      <c r="R189" s="2312"/>
      <c r="S189" s="2312"/>
      <c r="T189" s="2312"/>
      <c r="U189" s="2312"/>
      <c r="V189" s="2312"/>
      <c r="W189" s="2312"/>
      <c r="X189" s="2312"/>
      <c r="Y189" s="1494"/>
      <c r="Z189" s="1716"/>
      <c r="AA189" s="2187"/>
      <c r="AB189" s="342"/>
      <c r="AC189" s="342"/>
      <c r="AD189" s="342"/>
      <c r="AE189" s="2188"/>
      <c r="AF189" s="2189"/>
      <c r="AG189" s="2189"/>
      <c r="AH189" s="2189"/>
      <c r="AI189" s="2190"/>
      <c r="AJ189" s="2190"/>
      <c r="AK189" s="2187"/>
      <c r="AL189" s="2189"/>
      <c r="AM189" s="2191"/>
      <c r="AN189" s="2189"/>
      <c r="AO189" s="2191"/>
      <c r="AV189" s="344"/>
      <c r="AW189" s="344"/>
      <c r="AX189" s="344"/>
      <c r="AY189" s="344"/>
      <c r="AZ189" s="344"/>
      <c r="BA189" s="344"/>
      <c r="BB189" s="344"/>
      <c r="BC189" s="344"/>
      <c r="BD189" s="344"/>
      <c r="BE189" s="344"/>
      <c r="BF189" s="344"/>
    </row>
    <row r="190" spans="1:58" s="257" customFormat="1" ht="23.25" hidden="1" customHeight="1" x14ac:dyDescent="0.35">
      <c r="A190" s="1709"/>
      <c r="B190" s="1048"/>
      <c r="C190" s="1710"/>
      <c r="D190" s="1050"/>
      <c r="E190" s="1048"/>
      <c r="F190" s="1049"/>
      <c r="G190" s="1041"/>
      <c r="H190" s="1051"/>
      <c r="I190" s="1051"/>
      <c r="J190" s="1051"/>
      <c r="K190" s="1051"/>
      <c r="L190" s="1051"/>
      <c r="M190" s="1051"/>
      <c r="N190" s="1052"/>
      <c r="O190" s="1051"/>
      <c r="P190" s="1051"/>
      <c r="Q190" s="1051"/>
      <c r="R190" s="1051"/>
      <c r="S190" s="1051"/>
      <c r="T190" s="1051"/>
      <c r="U190" s="1040"/>
      <c r="V190" s="1052"/>
      <c r="W190" s="1045"/>
      <c r="X190" s="1046"/>
      <c r="Y190" s="1047"/>
      <c r="Z190" s="1047"/>
      <c r="AA190" s="54"/>
      <c r="AB190" s="34"/>
      <c r="AC190" s="34"/>
      <c r="AD190" s="34"/>
      <c r="AE190" s="57"/>
      <c r="AF190" s="33"/>
      <c r="AG190" s="33"/>
      <c r="AH190" s="33"/>
      <c r="AI190" s="50"/>
      <c r="AJ190" s="50"/>
      <c r="AK190" s="54"/>
      <c r="AL190" s="61"/>
      <c r="AM190" s="58"/>
      <c r="AN190" s="33"/>
      <c r="AO190" s="60"/>
      <c r="AV190" s="276"/>
      <c r="AW190" s="276"/>
      <c r="AX190" s="276"/>
      <c r="AY190" s="276"/>
      <c r="AZ190" s="276"/>
      <c r="BA190" s="276"/>
      <c r="BB190" s="276"/>
      <c r="BC190" s="276"/>
      <c r="BD190" s="276"/>
      <c r="BE190" s="276"/>
      <c r="BF190" s="276"/>
    </row>
    <row r="191" spans="1:58" s="257" customFormat="1" ht="23.25" hidden="1" customHeight="1" x14ac:dyDescent="0.35">
      <c r="A191" s="1050"/>
      <c r="B191" s="1048"/>
      <c r="C191" s="1049"/>
      <c r="D191" s="1050"/>
      <c r="E191" s="1053"/>
      <c r="F191" s="1049"/>
      <c r="G191" s="1041"/>
      <c r="H191" s="1042"/>
      <c r="I191" s="1042"/>
      <c r="J191" s="1042"/>
      <c r="K191" s="1042"/>
      <c r="L191" s="1042"/>
      <c r="M191" s="1042"/>
      <c r="N191" s="1052"/>
      <c r="O191" s="1042"/>
      <c r="P191" s="1042"/>
      <c r="Q191" s="1042"/>
      <c r="R191" s="1042"/>
      <c r="S191" s="1042"/>
      <c r="T191" s="1042"/>
      <c r="U191" s="1043"/>
      <c r="V191" s="1044"/>
      <c r="W191" s="1045"/>
      <c r="X191" s="1046"/>
      <c r="Y191" s="1047"/>
      <c r="Z191" s="1047"/>
      <c r="AA191" s="54"/>
      <c r="AB191" s="34"/>
      <c r="AC191" s="34"/>
      <c r="AD191" s="34"/>
      <c r="AE191" s="57"/>
      <c r="AF191" s="33"/>
      <c r="AG191" s="33"/>
      <c r="AH191" s="33"/>
      <c r="AI191" s="50"/>
      <c r="AJ191" s="50"/>
      <c r="AK191" s="54"/>
      <c r="AL191" s="61"/>
      <c r="AM191" s="58"/>
      <c r="AN191" s="33"/>
      <c r="AO191" s="60"/>
      <c r="AV191" s="276"/>
      <c r="AW191" s="276"/>
      <c r="AX191" s="276"/>
      <c r="AY191" s="276"/>
      <c r="AZ191" s="276"/>
      <c r="BA191" s="276"/>
      <c r="BB191" s="276"/>
      <c r="BC191" s="276"/>
      <c r="BD191" s="276"/>
      <c r="BE191" s="276"/>
      <c r="BF191" s="276"/>
    </row>
    <row r="192" spans="1:58" s="257" customFormat="1" ht="23.25" hidden="1" customHeight="1" x14ac:dyDescent="0.35">
      <c r="A192" s="1054"/>
      <c r="B192" s="2399"/>
      <c r="C192" s="2399"/>
      <c r="D192" s="1050"/>
      <c r="E192" s="1056"/>
      <c r="F192" s="1056"/>
      <c r="G192" s="1056"/>
      <c r="H192" s="1056"/>
      <c r="I192" s="1056"/>
      <c r="J192" s="1056"/>
      <c r="K192" s="1056"/>
      <c r="L192" s="1056"/>
      <c r="M192" s="1056"/>
      <c r="N192" s="1056"/>
      <c r="O192" s="1056"/>
      <c r="P192" s="1056"/>
      <c r="Q192" s="1056"/>
      <c r="R192" s="1056"/>
      <c r="S192" s="1056"/>
      <c r="T192" s="1056"/>
      <c r="U192" s="1056"/>
      <c r="V192" s="1056"/>
      <c r="W192" s="1045"/>
      <c r="X192" s="1046"/>
      <c r="Y192" s="1047"/>
      <c r="Z192" s="1047"/>
      <c r="AA192" s="54"/>
      <c r="AB192" s="34"/>
      <c r="AC192" s="34"/>
      <c r="AD192" s="34"/>
      <c r="AE192" s="57"/>
      <c r="AF192" s="33"/>
      <c r="AG192" s="33"/>
      <c r="AH192" s="33"/>
      <c r="AI192" s="50"/>
      <c r="AJ192" s="50"/>
      <c r="AK192" s="54"/>
      <c r="AL192" s="61"/>
      <c r="AM192" s="58"/>
      <c r="AN192" s="33"/>
      <c r="AO192" s="60"/>
      <c r="AV192" s="276"/>
      <c r="AW192" s="276"/>
      <c r="AX192" s="276"/>
      <c r="AY192" s="276"/>
      <c r="AZ192" s="276"/>
      <c r="BA192" s="276"/>
      <c r="BB192" s="276"/>
      <c r="BC192" s="276"/>
      <c r="BD192" s="276"/>
      <c r="BE192" s="276"/>
      <c r="BF192" s="276"/>
    </row>
    <row r="193" spans="1:58" s="257" customFormat="1" ht="23.25" hidden="1" customHeight="1" x14ac:dyDescent="0.35">
      <c r="A193" s="1054"/>
      <c r="B193" s="1055"/>
      <c r="C193" s="1051"/>
      <c r="D193" s="1050"/>
      <c r="E193" s="1056"/>
      <c r="F193" s="1056"/>
      <c r="G193" s="1056"/>
      <c r="H193" s="1056"/>
      <c r="I193" s="1056"/>
      <c r="J193" s="1056"/>
      <c r="K193" s="1056"/>
      <c r="L193" s="1056"/>
      <c r="M193" s="1056"/>
      <c r="N193" s="1056"/>
      <c r="O193" s="1056"/>
      <c r="P193" s="1056"/>
      <c r="Q193" s="1056"/>
      <c r="R193" s="1056"/>
      <c r="S193" s="1056"/>
      <c r="T193" s="1056"/>
      <c r="U193" s="1056"/>
      <c r="V193" s="1056"/>
      <c r="W193" s="1045"/>
      <c r="X193" s="1046"/>
      <c r="Y193" s="1047"/>
      <c r="Z193" s="1047"/>
      <c r="AA193" s="54"/>
      <c r="AB193" s="34"/>
      <c r="AC193" s="34"/>
      <c r="AD193" s="34"/>
      <c r="AE193" s="57"/>
      <c r="AF193" s="33"/>
      <c r="AG193" s="33"/>
      <c r="AH193" s="33"/>
      <c r="AI193" s="50"/>
      <c r="AJ193" s="50"/>
      <c r="AK193" s="54"/>
      <c r="AL193" s="61"/>
      <c r="AM193" s="58"/>
      <c r="AN193" s="33"/>
      <c r="AO193" s="60"/>
      <c r="AV193" s="276"/>
      <c r="AW193" s="276"/>
      <c r="AX193" s="276"/>
      <c r="AY193" s="276"/>
      <c r="AZ193" s="276"/>
      <c r="BA193" s="276"/>
      <c r="BB193" s="276"/>
      <c r="BC193" s="276"/>
      <c r="BD193" s="276"/>
      <c r="BE193" s="276"/>
      <c r="BF193" s="276"/>
    </row>
    <row r="194" spans="1:58" s="257" customFormat="1" ht="23.25" hidden="1" customHeight="1" x14ac:dyDescent="0.35">
      <c r="A194" s="1054"/>
      <c r="B194" s="1055"/>
      <c r="C194" s="1051"/>
      <c r="D194" s="1050"/>
      <c r="E194" s="1056"/>
      <c r="F194" s="1056"/>
      <c r="G194" s="1056"/>
      <c r="H194" s="1056"/>
      <c r="I194" s="1056"/>
      <c r="J194" s="1056"/>
      <c r="K194" s="1056"/>
      <c r="L194" s="1056"/>
      <c r="M194" s="1056"/>
      <c r="N194" s="1056"/>
      <c r="O194" s="1056"/>
      <c r="P194" s="1056"/>
      <c r="Q194" s="1056"/>
      <c r="R194" s="1056"/>
      <c r="S194" s="1056"/>
      <c r="T194" s="1056"/>
      <c r="U194" s="1056"/>
      <c r="V194" s="1037"/>
      <c r="W194" s="1045"/>
      <c r="X194" s="1046"/>
      <c r="Y194" s="1047"/>
      <c r="Z194" s="1047"/>
      <c r="AA194" s="54"/>
      <c r="AB194" s="34"/>
      <c r="AC194" s="34"/>
      <c r="AD194" s="34"/>
      <c r="AE194" s="57"/>
      <c r="AF194" s="33"/>
      <c r="AG194" s="33"/>
      <c r="AH194" s="33"/>
      <c r="AI194" s="50"/>
      <c r="AJ194" s="50"/>
      <c r="AK194" s="54"/>
      <c r="AL194" s="61"/>
      <c r="AM194" s="58"/>
      <c r="AN194" s="33"/>
      <c r="AO194" s="60"/>
      <c r="AV194" s="276"/>
      <c r="AW194" s="276"/>
      <c r="AX194" s="276"/>
      <c r="AY194" s="276"/>
      <c r="AZ194" s="276"/>
      <c r="BA194" s="276"/>
      <c r="BB194" s="276"/>
      <c r="BC194" s="276"/>
      <c r="BD194" s="276"/>
      <c r="BE194" s="276"/>
      <c r="BF194" s="276"/>
    </row>
    <row r="195" spans="1:58" s="257" customFormat="1" ht="23.25" hidden="1" customHeight="1" x14ac:dyDescent="0.35">
      <c r="A195" s="1054"/>
      <c r="B195" s="1055"/>
      <c r="C195" s="1051"/>
      <c r="D195" s="1050"/>
      <c r="E195" s="1057"/>
      <c r="F195" s="1058"/>
      <c r="G195" s="1059"/>
      <c r="H195" s="1051"/>
      <c r="I195" s="1051"/>
      <c r="J195" s="1051"/>
      <c r="K195" s="1051"/>
      <c r="L195" s="1051"/>
      <c r="M195" s="1051"/>
      <c r="N195" s="1051"/>
      <c r="O195" s="1051"/>
      <c r="P195" s="1051"/>
      <c r="Q195" s="1051"/>
      <c r="R195" s="1051"/>
      <c r="S195" s="1051"/>
      <c r="T195" s="1051"/>
      <c r="U195" s="1040"/>
      <c r="V195" s="1044"/>
      <c r="W195" s="1045"/>
      <c r="X195" s="1046"/>
      <c r="Y195" s="1047"/>
      <c r="Z195" s="1047"/>
      <c r="AA195" s="54"/>
      <c r="AB195" s="34"/>
      <c r="AC195" s="34"/>
      <c r="AD195" s="34"/>
      <c r="AE195" s="57"/>
      <c r="AF195" s="33"/>
      <c r="AG195" s="33"/>
      <c r="AH195" s="33"/>
      <c r="AI195" s="50"/>
      <c r="AJ195" s="50"/>
      <c r="AK195" s="54"/>
      <c r="AL195" s="61"/>
      <c r="AM195" s="58"/>
      <c r="AN195" s="33"/>
      <c r="AO195" s="60"/>
      <c r="AV195" s="276"/>
      <c r="AW195" s="276"/>
      <c r="AX195" s="276"/>
      <c r="AY195" s="276"/>
      <c r="AZ195" s="276"/>
      <c r="BA195" s="276"/>
      <c r="BB195" s="276"/>
      <c r="BC195" s="276"/>
      <c r="BD195" s="276"/>
      <c r="BE195" s="276"/>
      <c r="BF195" s="276"/>
    </row>
    <row r="196" spans="1:58" s="257" customFormat="1" ht="23.25" hidden="1" customHeight="1" x14ac:dyDescent="0.35">
      <c r="A196" s="1054"/>
      <c r="B196" s="1060"/>
      <c r="C196" s="1042"/>
      <c r="D196" s="1050"/>
      <c r="E196" s="1048"/>
      <c r="F196" s="1049"/>
      <c r="G196" s="1041"/>
      <c r="H196" s="1042"/>
      <c r="I196" s="1042"/>
      <c r="J196" s="1042"/>
      <c r="K196" s="1042"/>
      <c r="L196" s="1042"/>
      <c r="M196" s="1042"/>
      <c r="N196" s="1042"/>
      <c r="O196" s="1042"/>
      <c r="P196" s="1042"/>
      <c r="Q196" s="1042"/>
      <c r="R196" s="1042"/>
      <c r="S196" s="1042"/>
      <c r="T196" s="1042"/>
      <c r="U196" s="1043"/>
      <c r="V196" s="1044"/>
      <c r="W196" s="1045"/>
      <c r="X196" s="1046"/>
      <c r="Y196" s="1047"/>
      <c r="Z196" s="1047"/>
      <c r="AA196" s="54"/>
      <c r="AB196" s="34"/>
      <c r="AC196" s="34"/>
      <c r="AD196" s="34"/>
      <c r="AE196" s="57"/>
      <c r="AF196" s="33"/>
      <c r="AG196" s="33"/>
      <c r="AH196" s="33"/>
      <c r="AI196" s="50"/>
      <c r="AJ196" s="50"/>
      <c r="AK196" s="54"/>
      <c r="AL196" s="61"/>
      <c r="AM196" s="58"/>
      <c r="AN196" s="33"/>
      <c r="AO196" s="60"/>
      <c r="AV196" s="276"/>
      <c r="AW196" s="276"/>
      <c r="AX196" s="276"/>
      <c r="AY196" s="276"/>
      <c r="AZ196" s="276"/>
      <c r="BA196" s="276"/>
      <c r="BB196" s="276"/>
      <c r="BC196" s="276"/>
      <c r="BD196" s="276"/>
      <c r="BE196" s="276"/>
      <c r="BF196" s="276"/>
    </row>
    <row r="197" spans="1:58" s="257" customFormat="1" ht="23.25" hidden="1" customHeight="1" x14ac:dyDescent="0.35">
      <c r="A197" s="1054"/>
      <c r="B197" s="1036"/>
      <c r="C197" s="1043"/>
      <c r="D197" s="1061"/>
      <c r="E197" s="1062"/>
      <c r="F197" s="1049"/>
      <c r="G197" s="1041"/>
      <c r="H197" s="1040"/>
      <c r="I197" s="1040"/>
      <c r="J197" s="1040"/>
      <c r="K197" s="1040"/>
      <c r="L197" s="1040"/>
      <c r="M197" s="1043"/>
      <c r="N197" s="1063"/>
      <c r="O197" s="1043"/>
      <c r="P197" s="1043"/>
      <c r="Q197" s="1043"/>
      <c r="R197" s="1043"/>
      <c r="S197" s="1043"/>
      <c r="T197" s="1043"/>
      <c r="U197" s="1043"/>
      <c r="V197" s="1044"/>
      <c r="W197" s="1045"/>
      <c r="X197" s="1046"/>
      <c r="Y197" s="1047"/>
      <c r="Z197" s="1047"/>
      <c r="AA197" s="54"/>
      <c r="AB197" s="34"/>
      <c r="AC197" s="34"/>
      <c r="AD197" s="34"/>
      <c r="AE197" s="57"/>
      <c r="AF197" s="33"/>
      <c r="AG197" s="33"/>
      <c r="AH197" s="33"/>
      <c r="AI197" s="50"/>
      <c r="AJ197" s="50"/>
      <c r="AK197" s="54"/>
      <c r="AL197" s="61"/>
      <c r="AM197" s="58"/>
      <c r="AN197" s="33"/>
      <c r="AO197" s="60"/>
      <c r="AV197" s="276"/>
      <c r="AW197" s="276"/>
      <c r="AX197" s="276"/>
      <c r="AY197" s="276"/>
      <c r="AZ197" s="276"/>
      <c r="BA197" s="276"/>
      <c r="BB197" s="276"/>
      <c r="BC197" s="276"/>
      <c r="BD197" s="276"/>
      <c r="BE197" s="276"/>
      <c r="BF197" s="276"/>
    </row>
    <row r="198" spans="1:58" s="257" customFormat="1" ht="23.25" hidden="1" customHeight="1" x14ac:dyDescent="0.35">
      <c r="A198" s="1054"/>
      <c r="B198" s="1036"/>
      <c r="C198" s="1043"/>
      <c r="D198" s="1061"/>
      <c r="E198" s="1062"/>
      <c r="F198" s="1049"/>
      <c r="G198" s="1041"/>
      <c r="H198" s="1040"/>
      <c r="I198" s="1040"/>
      <c r="J198" s="1040"/>
      <c r="K198" s="1040"/>
      <c r="L198" s="1040"/>
      <c r="M198" s="1043"/>
      <c r="N198" s="1063"/>
      <c r="O198" s="1043"/>
      <c r="P198" s="1043"/>
      <c r="Q198" s="1043"/>
      <c r="R198" s="1043"/>
      <c r="S198" s="1043"/>
      <c r="T198" s="1043"/>
      <c r="U198" s="1043"/>
      <c r="V198" s="1044"/>
      <c r="W198" s="1045"/>
      <c r="X198" s="1046"/>
      <c r="Y198" s="1047"/>
      <c r="Z198" s="1047"/>
      <c r="AA198" s="54"/>
      <c r="AB198" s="34"/>
      <c r="AC198" s="34"/>
      <c r="AD198" s="34"/>
      <c r="AE198" s="57"/>
      <c r="AF198" s="33"/>
      <c r="AG198" s="33"/>
      <c r="AH198" s="33"/>
      <c r="AI198" s="50"/>
      <c r="AJ198" s="50"/>
      <c r="AK198" s="54"/>
      <c r="AL198" s="61"/>
      <c r="AM198" s="58"/>
      <c r="AN198" s="33"/>
      <c r="AO198" s="60"/>
      <c r="AV198" s="276"/>
      <c r="AW198" s="276"/>
      <c r="AX198" s="276"/>
      <c r="AY198" s="276"/>
      <c r="AZ198" s="276"/>
      <c r="BA198" s="276"/>
      <c r="BB198" s="276"/>
      <c r="BC198" s="276"/>
      <c r="BD198" s="276"/>
      <c r="BE198" s="276"/>
      <c r="BF198" s="276"/>
    </row>
    <row r="199" spans="1:58" s="258" customFormat="1" ht="17.25" hidden="1" customHeight="1" x14ac:dyDescent="0.3">
      <c r="A199" s="1064"/>
      <c r="B199" s="1065"/>
      <c r="C199" s="1065"/>
      <c r="D199" s="1061"/>
      <c r="E199" s="1062"/>
      <c r="F199" s="1049"/>
      <c r="G199" s="1041"/>
      <c r="H199" s="1066"/>
      <c r="I199" s="1063"/>
      <c r="J199" s="1063"/>
      <c r="K199" s="1063"/>
      <c r="L199" s="1063"/>
      <c r="M199" s="1063"/>
      <c r="N199" s="1063"/>
      <c r="O199" s="1067"/>
      <c r="P199" s="1063"/>
      <c r="Q199" s="1063"/>
      <c r="R199" s="1063"/>
      <c r="S199" s="1063"/>
      <c r="T199" s="1063"/>
      <c r="U199" s="1063"/>
      <c r="V199" s="1068"/>
      <c r="W199" s="1069"/>
      <c r="X199" s="1070"/>
      <c r="Y199" s="1069"/>
      <c r="Z199" s="1069"/>
      <c r="AA199" s="115"/>
      <c r="AB199" s="116"/>
      <c r="AC199" s="116"/>
      <c r="AD199" s="116"/>
      <c r="AE199" s="117"/>
      <c r="AF199" s="118"/>
      <c r="AG199" s="118" t="s">
        <v>344</v>
      </c>
      <c r="AH199" s="118"/>
      <c r="AI199" s="119"/>
      <c r="AJ199" s="119"/>
      <c r="AK199" s="115"/>
      <c r="AL199" s="120"/>
      <c r="AM199" s="121"/>
      <c r="AN199" s="118"/>
      <c r="AO199" s="122"/>
      <c r="AV199" s="277"/>
      <c r="AW199" s="277"/>
      <c r="AX199" s="277"/>
      <c r="AY199" s="277"/>
      <c r="AZ199" s="277"/>
      <c r="BA199" s="277"/>
      <c r="BB199" s="277"/>
      <c r="BC199" s="277"/>
      <c r="BD199" s="277"/>
      <c r="BE199" s="277"/>
      <c r="BF199" s="277"/>
    </row>
    <row r="200" spans="1:58" s="258" customFormat="1" ht="8.25" hidden="1" customHeight="1" x14ac:dyDescent="0.3">
      <c r="A200" s="1064"/>
      <c r="B200" s="1065"/>
      <c r="C200" s="1065"/>
      <c r="D200" s="1061"/>
      <c r="E200" s="1062"/>
      <c r="F200" s="1071"/>
      <c r="G200" s="1071"/>
      <c r="H200" s="1072"/>
      <c r="I200" s="1073"/>
      <c r="J200" s="1074"/>
      <c r="K200" s="1075"/>
      <c r="L200" s="1076"/>
      <c r="M200" s="1076"/>
      <c r="N200" s="1063"/>
      <c r="O200" s="1063"/>
      <c r="P200" s="1063"/>
      <c r="Q200" s="1063"/>
      <c r="R200" s="1063"/>
      <c r="S200" s="1063"/>
      <c r="T200" s="1063"/>
      <c r="U200" s="1063"/>
      <c r="V200" s="1068"/>
      <c r="W200" s="1069"/>
      <c r="X200" s="1070"/>
      <c r="Y200" s="1069"/>
      <c r="Z200" s="1069"/>
      <c r="AA200" s="115"/>
      <c r="AB200" s="116"/>
      <c r="AC200" s="116"/>
      <c r="AD200" s="116"/>
      <c r="AE200" s="117"/>
      <c r="AF200" s="118"/>
      <c r="AG200" s="118"/>
      <c r="AH200" s="118"/>
      <c r="AI200" s="119"/>
      <c r="AJ200" s="119"/>
      <c r="AK200" s="115"/>
      <c r="AL200" s="120"/>
      <c r="AM200" s="121"/>
      <c r="AN200" s="118"/>
      <c r="AO200" s="122"/>
      <c r="AV200" s="277"/>
      <c r="AW200" s="277"/>
      <c r="AX200" s="277"/>
      <c r="AY200" s="277"/>
      <c r="AZ200" s="277"/>
      <c r="BA200" s="277"/>
      <c r="BB200" s="277"/>
      <c r="BC200" s="277"/>
      <c r="BD200" s="277"/>
      <c r="BE200" s="277"/>
      <c r="BF200" s="277"/>
    </row>
    <row r="201" spans="1:58" s="1980" customFormat="1" ht="34.5" customHeight="1" x14ac:dyDescent="0.2">
      <c r="A201" s="1971"/>
      <c r="B201" s="2372"/>
      <c r="C201" s="2372"/>
      <c r="D201" s="2372"/>
      <c r="E201" s="2372"/>
      <c r="F201" s="2372"/>
      <c r="G201" s="2372"/>
      <c r="H201" s="2372"/>
      <c r="I201" s="2372"/>
      <c r="J201" s="2372"/>
      <c r="K201" s="2372"/>
      <c r="L201" s="2372"/>
      <c r="M201" s="1972"/>
      <c r="N201" s="1972"/>
      <c r="O201" s="1972"/>
      <c r="P201" s="1972"/>
      <c r="Q201" s="1972"/>
      <c r="R201" s="1972"/>
      <c r="S201" s="1972"/>
      <c r="T201" s="1972"/>
      <c r="U201" s="1972"/>
      <c r="V201" s="1972"/>
      <c r="W201" s="1972"/>
      <c r="X201" s="1972"/>
      <c r="Y201" s="1972"/>
      <c r="Z201" s="1973"/>
      <c r="AA201" s="1974"/>
      <c r="AB201" s="1975"/>
      <c r="AC201" s="1975"/>
      <c r="AD201" s="1975"/>
      <c r="AE201" s="1976"/>
      <c r="AF201" s="1977"/>
      <c r="AG201" s="1977"/>
      <c r="AH201" s="1977"/>
      <c r="AI201" s="1978"/>
      <c r="AJ201" s="1978"/>
      <c r="AK201" s="1974"/>
      <c r="AL201" s="1977"/>
      <c r="AM201" s="1979"/>
      <c r="AN201" s="1977"/>
      <c r="AO201" s="1979"/>
      <c r="AV201" s="1981"/>
      <c r="AW201" s="1981"/>
      <c r="AX201" s="1981"/>
      <c r="AY201" s="1981"/>
      <c r="AZ201" s="1981"/>
      <c r="BA201" s="1981"/>
      <c r="BB201" s="1981"/>
      <c r="BC201" s="1981"/>
      <c r="BD201" s="1981"/>
      <c r="BE201" s="1981"/>
      <c r="BF201" s="1981"/>
    </row>
    <row r="202" spans="1:58" s="258" customFormat="1" ht="33.75" customHeight="1" x14ac:dyDescent="0.2">
      <c r="A202" s="1300"/>
      <c r="M202" s="1063"/>
      <c r="N202" s="321">
        <f>G177-D177</f>
        <v>-232.86009999999806</v>
      </c>
      <c r="O202" s="1063"/>
      <c r="P202" s="1063"/>
      <c r="Q202" s="1063"/>
      <c r="R202" s="1063"/>
      <c r="S202" s="1063"/>
      <c r="T202" s="1063"/>
      <c r="U202" s="1063"/>
      <c r="V202" s="1068"/>
      <c r="W202" s="1069"/>
      <c r="X202" s="1070"/>
      <c r="Y202" s="1069"/>
      <c r="Z202" s="1069"/>
      <c r="AA202" s="115"/>
      <c r="AB202" s="116"/>
      <c r="AC202" s="116"/>
      <c r="AD202" s="116"/>
      <c r="AE202" s="117"/>
      <c r="AF202" s="118"/>
      <c r="AG202" s="118"/>
      <c r="AH202" s="118"/>
      <c r="AI202" s="119"/>
      <c r="AJ202" s="119"/>
      <c r="AK202" s="115"/>
      <c r="AL202" s="120"/>
      <c r="AM202" s="121"/>
      <c r="AN202" s="118"/>
      <c r="AO202" s="122"/>
      <c r="AV202" s="277"/>
      <c r="AW202" s="277"/>
      <c r="AX202" s="277"/>
      <c r="AY202" s="277"/>
      <c r="AZ202" s="277"/>
      <c r="BA202" s="277"/>
      <c r="BB202" s="277"/>
      <c r="BC202" s="277"/>
      <c r="BD202" s="277"/>
      <c r="BE202" s="277"/>
      <c r="BF202" s="277"/>
    </row>
    <row r="203" spans="1:58" s="257" customFormat="1" ht="22.5" hidden="1" customHeight="1" x14ac:dyDescent="0.3">
      <c r="A203" s="1077"/>
      <c r="B203" s="2372"/>
      <c r="C203" s="2372"/>
      <c r="D203" s="2372"/>
      <c r="E203" s="2372"/>
      <c r="F203" s="2372"/>
      <c r="G203" s="2372"/>
      <c r="H203" s="2372"/>
      <c r="I203" s="2372"/>
      <c r="J203" s="2372"/>
      <c r="K203" s="2372"/>
      <c r="L203" s="2372"/>
      <c r="M203" s="198"/>
      <c r="N203" s="198"/>
      <c r="O203" s="198"/>
      <c r="P203" s="198"/>
      <c r="Q203" s="198"/>
      <c r="R203" s="198"/>
      <c r="S203" s="198"/>
      <c r="T203" s="198"/>
      <c r="U203" s="198"/>
      <c r="V203" s="43"/>
      <c r="W203" s="56"/>
      <c r="X203" s="59"/>
      <c r="Y203" s="42"/>
      <c r="Z203" s="54"/>
      <c r="AA203" s="54"/>
      <c r="AB203" s="34"/>
      <c r="AC203" s="34" t="s">
        <v>0</v>
      </c>
      <c r="AD203" s="34"/>
      <c r="AE203" s="57"/>
      <c r="AF203" s="33"/>
      <c r="AG203" s="33"/>
      <c r="AH203" s="33"/>
      <c r="AI203" s="50"/>
      <c r="AJ203" s="50"/>
      <c r="AK203" s="54"/>
      <c r="AL203" s="61"/>
      <c r="AM203" s="58"/>
      <c r="AN203" s="33"/>
      <c r="AO203" s="60"/>
      <c r="AV203" s="276"/>
      <c r="AW203" s="276"/>
      <c r="AX203" s="276"/>
      <c r="AY203" s="276"/>
      <c r="AZ203" s="276"/>
      <c r="BA203" s="276"/>
      <c r="BB203" s="276"/>
      <c r="BC203" s="276"/>
      <c r="BD203" s="276"/>
      <c r="BE203" s="276"/>
      <c r="BF203" s="276"/>
    </row>
    <row r="204" spans="1:58" s="257" customFormat="1" ht="22.5" hidden="1" customHeight="1" x14ac:dyDescent="0.3">
      <c r="A204" s="1077">
        <v>7.0380000000000003</v>
      </c>
      <c r="B204" s="2381" t="s">
        <v>110</v>
      </c>
      <c r="C204" s="2381"/>
      <c r="D204" s="2381"/>
      <c r="E204" s="2381"/>
      <c r="F204" s="2381"/>
      <c r="G204" s="2381"/>
      <c r="H204" s="2381"/>
      <c r="I204" s="2381"/>
      <c r="J204" s="2381"/>
      <c r="K204" s="2381"/>
      <c r="L204" s="2381"/>
      <c r="M204" s="198"/>
      <c r="N204" s="198"/>
      <c r="O204" s="198"/>
      <c r="P204" s="198"/>
      <c r="Q204" s="198"/>
      <c r="R204" s="198"/>
      <c r="S204" s="198"/>
      <c r="T204" s="198"/>
      <c r="U204" s="198"/>
      <c r="V204" s="43"/>
      <c r="W204" s="56"/>
      <c r="X204" s="59"/>
      <c r="Y204" s="42"/>
      <c r="Z204" s="54"/>
      <c r="AA204" s="54"/>
      <c r="AB204" s="34"/>
      <c r="AC204" s="34"/>
      <c r="AD204" s="34"/>
      <c r="AE204" s="57"/>
      <c r="AF204" s="33"/>
      <c r="AG204" s="33"/>
      <c r="AH204" s="33"/>
      <c r="AI204" s="50"/>
      <c r="AJ204" s="50"/>
      <c r="AK204" s="54"/>
      <c r="AL204" s="61"/>
      <c r="AM204" s="58"/>
      <c r="AN204" s="33"/>
      <c r="AO204" s="60"/>
      <c r="AV204" s="276"/>
      <c r="AW204" s="276"/>
      <c r="AX204" s="276"/>
      <c r="AY204" s="276"/>
      <c r="AZ204" s="276"/>
      <c r="BA204" s="276"/>
      <c r="BB204" s="276"/>
      <c r="BC204" s="276"/>
      <c r="BD204" s="276"/>
      <c r="BE204" s="276"/>
      <c r="BF204" s="276"/>
    </row>
    <row r="205" spans="1:58" s="724" customFormat="1" ht="32.25" customHeight="1" thickBot="1" x14ac:dyDescent="0.3">
      <c r="A205" s="713"/>
      <c r="B205" s="1261" t="s">
        <v>345</v>
      </c>
      <c r="C205" s="1264" t="s">
        <v>114</v>
      </c>
      <c r="D205" s="1260" t="s">
        <v>91</v>
      </c>
      <c r="E205" s="1260" t="s">
        <v>115</v>
      </c>
      <c r="F205" s="1260"/>
      <c r="G205" s="1247"/>
      <c r="I205" s="1249"/>
      <c r="J205" s="1260" t="s">
        <v>346</v>
      </c>
      <c r="K205" s="1261"/>
      <c r="L205" s="1262"/>
      <c r="M205" s="1262"/>
      <c r="N205" s="1263" t="s">
        <v>347</v>
      </c>
      <c r="O205" s="1263" t="s">
        <v>91</v>
      </c>
      <c r="P205" s="1265" t="s">
        <v>92</v>
      </c>
      <c r="Q205" s="722"/>
      <c r="R205" s="723"/>
      <c r="S205" s="712"/>
      <c r="T205" s="712"/>
      <c r="U205" s="712"/>
      <c r="V205" s="714"/>
      <c r="W205" s="178"/>
      <c r="X205" s="715"/>
      <c r="Y205" s="716"/>
      <c r="Z205" s="716"/>
      <c r="AA205" s="716"/>
      <c r="AB205" s="717"/>
      <c r="AC205" s="717"/>
      <c r="AD205" s="717"/>
      <c r="AE205" s="718"/>
      <c r="AF205" s="515"/>
      <c r="AG205" s="515"/>
      <c r="AH205" s="515"/>
      <c r="AI205" s="717"/>
      <c r="AJ205" s="717"/>
      <c r="AK205" s="716"/>
      <c r="AL205" s="719"/>
      <c r="AM205" s="720"/>
      <c r="AN205" s="515"/>
      <c r="AO205" s="721"/>
      <c r="AV205" s="725"/>
      <c r="AW205" s="725"/>
      <c r="AX205" s="725"/>
      <c r="AY205" s="725"/>
      <c r="AZ205" s="725"/>
      <c r="BA205" s="725"/>
      <c r="BB205" s="725"/>
      <c r="BC205" s="725"/>
      <c r="BD205" s="725"/>
      <c r="BE205" s="725"/>
      <c r="BF205" s="725"/>
    </row>
    <row r="206" spans="1:58" s="257" customFormat="1" ht="19.5" customHeight="1" x14ac:dyDescent="0.25">
      <c r="A206" s="2333"/>
      <c r="B206" s="2323" t="s">
        <v>348</v>
      </c>
      <c r="C206" s="2353"/>
      <c r="D206" s="2367" t="s">
        <v>349</v>
      </c>
      <c r="E206" s="2368"/>
      <c r="F206" s="2369"/>
      <c r="G206" s="1248"/>
      <c r="H206" s="1247"/>
      <c r="I206" s="1250"/>
      <c r="J206" s="2323" t="s">
        <v>348</v>
      </c>
      <c r="K206" s="2353"/>
      <c r="L206" s="2354"/>
      <c r="M206" s="2367" t="s">
        <v>349</v>
      </c>
      <c r="N206" s="2368"/>
      <c r="O206" s="2369"/>
      <c r="P206" s="510"/>
      <c r="Q206" s="511"/>
      <c r="R206" s="244"/>
      <c r="S206" s="198"/>
      <c r="T206" s="198"/>
      <c r="U206" s="198"/>
      <c r="V206" s="143"/>
      <c r="W206" s="56"/>
      <c r="X206" s="59"/>
      <c r="Y206" s="42"/>
      <c r="Z206" s="54"/>
      <c r="AA206" s="54"/>
      <c r="AB206" s="34"/>
      <c r="AC206" s="34"/>
      <c r="AD206" s="34"/>
      <c r="AE206" s="57"/>
      <c r="AF206" s="33"/>
      <c r="AG206" s="33"/>
      <c r="AH206" s="33"/>
      <c r="AI206" s="50"/>
      <c r="AJ206" s="50"/>
      <c r="AK206" s="54"/>
      <c r="AL206" s="61"/>
      <c r="AM206" s="58"/>
      <c r="AN206" s="33"/>
      <c r="AO206" s="60"/>
      <c r="AV206" s="276"/>
      <c r="AW206" s="276"/>
      <c r="AX206" s="276"/>
      <c r="AY206" s="276"/>
      <c r="AZ206" s="276"/>
      <c r="BA206" s="276"/>
      <c r="BB206" s="276"/>
      <c r="BC206" s="276"/>
      <c r="BD206" s="276"/>
      <c r="BE206" s="276"/>
      <c r="BF206" s="276"/>
    </row>
    <row r="207" spans="1:58" s="257" customFormat="1" ht="19.5" customHeight="1" thickBot="1" x14ac:dyDescent="0.3">
      <c r="A207" s="2333"/>
      <c r="B207" s="2355"/>
      <c r="C207" s="2356"/>
      <c r="D207" s="2360" t="s">
        <v>350</v>
      </c>
      <c r="E207" s="2361"/>
      <c r="F207" s="2362"/>
      <c r="G207" s="1247"/>
      <c r="H207" s="1247"/>
      <c r="I207" s="1250"/>
      <c r="J207" s="2355"/>
      <c r="K207" s="2356"/>
      <c r="L207" s="2357"/>
      <c r="M207" s="2360" t="s">
        <v>350</v>
      </c>
      <c r="N207" s="2361"/>
      <c r="O207" s="2362"/>
      <c r="P207" s="510"/>
      <c r="Q207" s="511"/>
      <c r="R207" s="244"/>
      <c r="S207" s="198"/>
      <c r="T207" s="198"/>
      <c r="U207" s="198"/>
      <c r="W207" s="56"/>
      <c r="X207" s="59"/>
      <c r="Y207" s="42"/>
      <c r="Z207" s="54"/>
      <c r="AA207" s="54"/>
      <c r="AB207" s="34"/>
      <c r="AC207" s="34"/>
      <c r="AD207" s="34"/>
      <c r="AE207" s="57"/>
      <c r="AF207" s="33"/>
      <c r="AG207" s="33"/>
      <c r="AH207" s="33"/>
      <c r="AI207" s="50"/>
      <c r="AJ207" s="50"/>
      <c r="AK207" s="54"/>
      <c r="AL207" s="61"/>
      <c r="AM207" s="58"/>
      <c r="AN207" s="33"/>
      <c r="AO207" s="60"/>
      <c r="AV207" s="276"/>
      <c r="AW207" s="276"/>
      <c r="AX207" s="276"/>
      <c r="AY207" s="276"/>
      <c r="AZ207" s="276"/>
      <c r="BA207" s="276"/>
      <c r="BB207" s="276"/>
      <c r="BC207" s="276"/>
      <c r="BD207" s="276"/>
      <c r="BE207" s="276"/>
      <c r="BF207" s="276"/>
    </row>
    <row r="208" spans="1:58" s="257" customFormat="1" ht="19.5" customHeight="1" thickBot="1" x14ac:dyDescent="0.3">
      <c r="A208" s="2333"/>
      <c r="B208" s="2325"/>
      <c r="C208" s="2326"/>
      <c r="D208" s="1252" t="s">
        <v>351</v>
      </c>
      <c r="E208" s="1253" t="s">
        <v>51</v>
      </c>
      <c r="F208" s="1254" t="s">
        <v>52</v>
      </c>
      <c r="G208" s="1248"/>
      <c r="H208" s="1255"/>
      <c r="I208" s="1255"/>
      <c r="J208" s="2325"/>
      <c r="K208" s="2358"/>
      <c r="L208" s="2359"/>
      <c r="M208" s="1252" t="s">
        <v>351</v>
      </c>
      <c r="N208" s="1253" t="s">
        <v>51</v>
      </c>
      <c r="O208" s="1254" t="s">
        <v>52</v>
      </c>
      <c r="P208" s="512"/>
      <c r="Q208" s="512"/>
      <c r="R208" s="197"/>
      <c r="S208" s="55"/>
      <c r="T208" s="55"/>
      <c r="U208" s="143"/>
      <c r="V208" s="143"/>
      <c r="W208" s="56"/>
      <c r="X208" s="59"/>
      <c r="Y208" s="42"/>
      <c r="Z208" s="54"/>
      <c r="AA208" s="54"/>
      <c r="AB208" s="34"/>
      <c r="AC208" s="34"/>
      <c r="AD208" s="34"/>
      <c r="AE208" s="57"/>
      <c r="AF208" s="33"/>
      <c r="AG208" s="33"/>
      <c r="AH208" s="33"/>
      <c r="AI208" s="50"/>
      <c r="AJ208" s="50"/>
      <c r="AK208" s="54"/>
      <c r="AL208" s="61"/>
      <c r="AM208" s="58"/>
      <c r="AN208" s="33"/>
      <c r="AO208" s="60"/>
      <c r="AV208" s="276"/>
      <c r="AW208" s="276"/>
      <c r="AX208" s="276"/>
      <c r="AY208" s="276"/>
      <c r="AZ208" s="276"/>
      <c r="BA208" s="276"/>
      <c r="BB208" s="276"/>
      <c r="BC208" s="276"/>
      <c r="BD208" s="276"/>
      <c r="BE208" s="276"/>
      <c r="BF208" s="276"/>
    </row>
    <row r="209" spans="1:58" s="257" customFormat="1" ht="19.5" customHeight="1" thickBot="1" x14ac:dyDescent="0.3">
      <c r="A209" s="2352"/>
      <c r="B209" s="2323" t="s">
        <v>352</v>
      </c>
      <c r="C209" s="2324"/>
      <c r="D209" s="1256">
        <v>11.1435</v>
      </c>
      <c r="E209" s="1257">
        <v>88.913399999999996</v>
      </c>
      <c r="F209" s="1258">
        <v>45.043199999999999</v>
      </c>
      <c r="G209" s="1259"/>
      <c r="H209" s="1259"/>
      <c r="I209" s="1255"/>
      <c r="J209" s="2323" t="s">
        <v>353</v>
      </c>
      <c r="K209" s="2353"/>
      <c r="L209" s="2354"/>
      <c r="M209" s="1256">
        <v>12.903</v>
      </c>
      <c r="N209" s="1257">
        <v>87.505799999999994</v>
      </c>
      <c r="O209" s="1258">
        <v>45.5124</v>
      </c>
      <c r="P209" s="513"/>
      <c r="Q209" s="513"/>
      <c r="R209" s="197"/>
      <c r="S209" s="55"/>
      <c r="T209" s="55"/>
      <c r="U209" s="55"/>
      <c r="V209" s="143"/>
      <c r="W209" s="62"/>
      <c r="X209" s="59"/>
      <c r="Y209" s="42"/>
      <c r="Z209" s="54"/>
      <c r="AA209" s="54" t="s">
        <v>354</v>
      </c>
      <c r="AB209" s="34"/>
      <c r="AC209" s="34"/>
      <c r="AD209" s="34"/>
      <c r="AE209" s="57"/>
      <c r="AF209" s="33"/>
      <c r="AG209" s="33"/>
      <c r="AH209" s="33"/>
      <c r="AI209" s="50"/>
      <c r="AJ209" s="50"/>
      <c r="AK209" s="54"/>
      <c r="AL209" s="61"/>
      <c r="AM209" s="58"/>
      <c r="AN209" s="33"/>
      <c r="AO209" s="60"/>
      <c r="AV209" s="276"/>
      <c r="AW209" s="276"/>
      <c r="AX209" s="276"/>
      <c r="AY209" s="276"/>
      <c r="AZ209" s="276"/>
      <c r="BA209" s="276"/>
      <c r="BB209" s="276"/>
      <c r="BC209" s="276"/>
      <c r="BD209" s="276"/>
      <c r="BE209" s="276"/>
      <c r="BF209" s="276"/>
    </row>
    <row r="210" spans="1:58" s="257" customFormat="1" ht="20.25" customHeight="1" thickBot="1" x14ac:dyDescent="0.3">
      <c r="A210" s="2352"/>
      <c r="B210" s="2325"/>
      <c r="C210" s="2326"/>
      <c r="D210" s="1256">
        <v>11.3781</v>
      </c>
      <c r="E210" s="1257">
        <v>88.678799999999995</v>
      </c>
      <c r="F210" s="1258">
        <v>44.925899999999999</v>
      </c>
      <c r="G210" s="1259"/>
      <c r="H210" s="1259"/>
      <c r="I210" s="1255"/>
      <c r="J210" s="2325"/>
      <c r="K210" s="2358"/>
      <c r="L210" s="2359"/>
      <c r="M210" s="1256">
        <v>11.6127</v>
      </c>
      <c r="N210" s="1257">
        <v>87.974999999999994</v>
      </c>
      <c r="O210" s="1258">
        <v>44.222100000000005</v>
      </c>
      <c r="P210" s="513"/>
      <c r="Q210" s="513"/>
      <c r="R210" s="197"/>
      <c r="S210" s="55"/>
      <c r="T210" s="55"/>
      <c r="U210" s="55"/>
      <c r="V210" s="143"/>
      <c r="W210" s="62"/>
      <c r="X210" s="59"/>
      <c r="Y210" s="42"/>
      <c r="Z210" s="54"/>
      <c r="AA210" s="54"/>
      <c r="AB210" s="34"/>
      <c r="AC210" s="34"/>
      <c r="AD210" s="34"/>
      <c r="AE210" s="57"/>
      <c r="AF210" s="33"/>
      <c r="AG210" s="33"/>
      <c r="AH210" s="33"/>
      <c r="AI210" s="50"/>
      <c r="AJ210" s="50"/>
      <c r="AK210" s="54"/>
      <c r="AL210" s="61"/>
      <c r="AM210" s="58"/>
      <c r="AN210" s="33"/>
      <c r="AO210" s="60"/>
      <c r="AV210" s="276"/>
      <c r="AW210" s="276"/>
      <c r="AX210" s="276"/>
      <c r="AY210" s="276"/>
      <c r="AZ210" s="276"/>
      <c r="BA210" s="276"/>
      <c r="BB210" s="276"/>
      <c r="BC210" s="276"/>
      <c r="BD210" s="276"/>
      <c r="BE210" s="276"/>
      <c r="BF210" s="276"/>
    </row>
    <row r="211" spans="1:58" s="48" customFormat="1" ht="29.25" customHeight="1" thickBot="1" x14ac:dyDescent="0.3">
      <c r="A211" s="711"/>
      <c r="B211" s="514"/>
      <c r="C211" s="514"/>
      <c r="D211" s="514"/>
      <c r="E211" s="514"/>
      <c r="F211" s="515"/>
      <c r="G211" s="515"/>
      <c r="H211" s="2345"/>
      <c r="I211" s="2345"/>
      <c r="J211" s="2345"/>
      <c r="K211" s="2345"/>
      <c r="L211" s="2345"/>
      <c r="M211" s="2345"/>
      <c r="N211" s="2345"/>
      <c r="O211" s="516"/>
      <c r="P211" s="516"/>
      <c r="Q211" s="516"/>
      <c r="R211" s="245"/>
      <c r="S211" s="199"/>
      <c r="T211" s="199"/>
      <c r="U211" s="199"/>
      <c r="V211" s="11"/>
      <c r="W211" s="11"/>
      <c r="X211" s="11"/>
      <c r="Y211" s="13"/>
      <c r="Z211" s="11"/>
      <c r="AA211" s="11"/>
      <c r="AB211" s="15"/>
      <c r="AC211" s="4"/>
      <c r="AD211" s="4"/>
      <c r="AE211" s="278"/>
      <c r="AF211" s="279"/>
      <c r="AG211" s="279"/>
      <c r="AH211" s="279"/>
      <c r="AI211" s="279"/>
      <c r="AJ211" s="279"/>
      <c r="AK211" s="35"/>
      <c r="AL211" s="35"/>
      <c r="AM211" s="35"/>
      <c r="AN211" s="35"/>
      <c r="AO211" s="35"/>
      <c r="AP211" s="35"/>
      <c r="AQ211" s="35"/>
      <c r="AR211" s="35"/>
      <c r="AS211" s="35"/>
      <c r="AT211" s="35"/>
      <c r="AU211" s="35"/>
      <c r="AV211" s="35"/>
      <c r="AW211" s="35"/>
      <c r="AX211" s="35"/>
      <c r="AY211" s="35"/>
      <c r="AZ211" s="35"/>
      <c r="BA211" s="35"/>
      <c r="BB211" s="35"/>
      <c r="BC211" s="35"/>
      <c r="BD211" s="35"/>
      <c r="BE211" s="35"/>
      <c r="BF211" s="35"/>
    </row>
    <row r="212" spans="1:58" s="48" customFormat="1" ht="30.75" customHeight="1" thickBot="1" x14ac:dyDescent="0.3">
      <c r="A212" s="2343" t="s">
        <v>355</v>
      </c>
      <c r="B212" s="2346" t="s">
        <v>40</v>
      </c>
      <c r="C212" s="2347"/>
      <c r="D212" s="2347"/>
      <c r="E212" s="2348"/>
      <c r="F212" s="1266" t="s">
        <v>356</v>
      </c>
      <c r="G212" s="1267" t="s">
        <v>31</v>
      </c>
      <c r="H212" s="1266" t="s">
        <v>35</v>
      </c>
      <c r="I212" s="1266" t="s">
        <v>33</v>
      </c>
      <c r="J212" s="2392" t="s">
        <v>41</v>
      </c>
      <c r="K212" s="2393"/>
      <c r="L212" s="2393"/>
      <c r="M212" s="2393"/>
      <c r="N212" s="2393"/>
      <c r="O212" s="2393"/>
      <c r="P212" s="2394"/>
      <c r="Q212" s="192"/>
      <c r="R212" s="245"/>
      <c r="S212" s="199"/>
      <c r="T212" s="199"/>
      <c r="U212" s="199"/>
      <c r="V212" s="11"/>
      <c r="W212" s="11"/>
      <c r="X212" s="11"/>
      <c r="Y212" s="11"/>
      <c r="Z212" s="11"/>
      <c r="AA212" s="11"/>
      <c r="AB212" s="15"/>
      <c r="AC212" s="4"/>
      <c r="AD212" s="4"/>
      <c r="AE212" s="278"/>
      <c r="AF212" s="279"/>
      <c r="AG212" s="279"/>
      <c r="AH212" s="279"/>
      <c r="AI212" s="279"/>
      <c r="AJ212" s="279"/>
      <c r="AK212" s="35"/>
      <c r="AL212" s="35"/>
      <c r="AM212" s="35"/>
      <c r="AN212" s="35"/>
      <c r="AO212" s="35"/>
      <c r="AP212" s="35"/>
      <c r="AQ212" s="35"/>
      <c r="AR212" s="35"/>
      <c r="AS212" s="35"/>
      <c r="AT212" s="35"/>
      <c r="AU212" s="35"/>
      <c r="AV212" s="35"/>
      <c r="AW212" s="35"/>
      <c r="AX212" s="35"/>
      <c r="AY212" s="35"/>
      <c r="AZ212" s="35"/>
      <c r="BA212" s="35"/>
      <c r="BB212" s="35"/>
      <c r="BC212" s="35"/>
      <c r="BD212" s="35"/>
      <c r="BE212" s="35"/>
      <c r="BF212" s="35"/>
    </row>
    <row r="213" spans="1:58" s="48" customFormat="1" ht="27.75" customHeight="1" thickBot="1" x14ac:dyDescent="0.25">
      <c r="A213" s="2344"/>
      <c r="B213" s="2349"/>
      <c r="C213" s="2350"/>
      <c r="D213" s="2350"/>
      <c r="E213" s="2351"/>
      <c r="F213" s="1269" t="s">
        <v>357</v>
      </c>
      <c r="G213" s="1268" t="s">
        <v>32</v>
      </c>
      <c r="H213" s="1270" t="s">
        <v>36</v>
      </c>
      <c r="I213" s="1270"/>
      <c r="J213" s="1271" t="s">
        <v>358</v>
      </c>
      <c r="K213" s="1272" t="s">
        <v>8</v>
      </c>
      <c r="L213" s="1272" t="s">
        <v>29</v>
      </c>
      <c r="M213" s="1273" t="s">
        <v>2</v>
      </c>
      <c r="N213" s="1271" t="s">
        <v>38</v>
      </c>
      <c r="O213" s="1274" t="s">
        <v>6</v>
      </c>
      <c r="P213" s="1272" t="s">
        <v>102</v>
      </c>
      <c r="Q213" s="248"/>
      <c r="R213" s="246"/>
      <c r="S213" s="199"/>
      <c r="T213" s="199"/>
      <c r="U213" s="199"/>
      <c r="V213" s="11"/>
      <c r="W213" s="11"/>
      <c r="X213" s="11"/>
      <c r="Y213" s="11"/>
      <c r="Z213" s="11"/>
      <c r="AA213" s="11"/>
      <c r="AB213" s="11"/>
      <c r="AC213" s="4"/>
      <c r="AD213" s="4"/>
      <c r="AE213" s="278"/>
      <c r="AF213" s="279"/>
      <c r="AG213" s="279"/>
      <c r="AH213" s="279"/>
      <c r="AI213" s="279"/>
      <c r="AJ213" s="279"/>
      <c r="AK213" s="35"/>
      <c r="AL213" s="35"/>
      <c r="AM213" s="35"/>
      <c r="AN213" s="35"/>
      <c r="AO213" s="35"/>
      <c r="AP213" s="35"/>
      <c r="AQ213" s="35"/>
      <c r="AR213" s="35"/>
      <c r="AS213" s="35"/>
      <c r="AT213" s="35"/>
      <c r="AU213" s="35"/>
      <c r="AV213" s="35"/>
      <c r="AW213" s="35"/>
      <c r="AX213" s="35"/>
      <c r="AY213" s="35"/>
      <c r="AZ213" s="35"/>
      <c r="BA213" s="35"/>
      <c r="BB213" s="35"/>
      <c r="BC213" s="35"/>
      <c r="BD213" s="35"/>
      <c r="BE213" s="35"/>
      <c r="BF213" s="35"/>
    </row>
    <row r="214" spans="1:58" s="48" customFormat="1" ht="22.5" customHeight="1" x14ac:dyDescent="0.2">
      <c r="A214" s="2321">
        <v>2.3460000000000001</v>
      </c>
      <c r="B214" s="2375" t="s">
        <v>404</v>
      </c>
      <c r="C214" s="2376"/>
      <c r="D214" s="2376"/>
      <c r="E214" s="2377"/>
      <c r="F214" s="2327">
        <v>187</v>
      </c>
      <c r="G214" s="2330">
        <v>2374.9</v>
      </c>
      <c r="H214" s="2327">
        <f>G214+G216</f>
        <v>4076.9</v>
      </c>
      <c r="I214" s="1276" t="s">
        <v>152</v>
      </c>
      <c r="J214" s="1986">
        <v>6.4515000000000002</v>
      </c>
      <c r="K214" s="1987">
        <v>14.427899999999999</v>
      </c>
      <c r="L214" s="1988">
        <v>0.58650000000000002</v>
      </c>
      <c r="M214" s="1989">
        <v>0.52785000000000004</v>
      </c>
      <c r="N214" s="1990">
        <v>101.4645</v>
      </c>
      <c r="O214" s="2049">
        <v>9.7359000000000009</v>
      </c>
      <c r="P214" s="2390">
        <v>65.688000000000002</v>
      </c>
      <c r="Q214" s="181"/>
      <c r="R214" s="247"/>
      <c r="S214" s="199"/>
      <c r="T214" s="199"/>
      <c r="U214" s="199"/>
      <c r="V214" s="11"/>
      <c r="W214" s="11"/>
      <c r="X214" s="11"/>
      <c r="Y214" s="11"/>
      <c r="Z214" s="11"/>
      <c r="AA214" s="11"/>
      <c r="AB214" s="11"/>
      <c r="AC214" s="4"/>
      <c r="AD214" s="4"/>
      <c r="AE214" s="35"/>
      <c r="AF214" s="279"/>
      <c r="AG214" s="279"/>
      <c r="AH214" s="279"/>
      <c r="AI214" s="279"/>
      <c r="AJ214" s="279"/>
      <c r="AK214" s="35"/>
      <c r="AL214" s="35"/>
      <c r="AM214" s="35"/>
      <c r="AN214" s="35"/>
      <c r="AO214" s="35"/>
      <c r="AP214" s="35"/>
      <c r="AQ214" s="35"/>
      <c r="AR214" s="35"/>
      <c r="AS214" s="35"/>
      <c r="AT214" s="35"/>
      <c r="AU214" s="35"/>
      <c r="AV214" s="35"/>
      <c r="AW214" s="35"/>
      <c r="AX214" s="35"/>
      <c r="AY214" s="35"/>
      <c r="AZ214" s="35"/>
      <c r="BA214" s="35"/>
      <c r="BB214" s="35"/>
      <c r="BC214" s="35"/>
      <c r="BD214" s="35"/>
      <c r="BE214" s="35"/>
      <c r="BF214" s="35"/>
    </row>
    <row r="215" spans="1:58" s="48" customFormat="1" ht="22.5" customHeight="1" thickBot="1" x14ac:dyDescent="0.25">
      <c r="A215" s="2322"/>
      <c r="B215" s="2378"/>
      <c r="C215" s="2379"/>
      <c r="D215" s="2379"/>
      <c r="E215" s="2380"/>
      <c r="F215" s="2332"/>
      <c r="G215" s="2331"/>
      <c r="H215" s="2328"/>
      <c r="I215" s="1277" t="s">
        <v>359</v>
      </c>
      <c r="J215" s="1711">
        <v>7.3898999999999999</v>
      </c>
      <c r="K215" s="1712">
        <v>13.020300000000001</v>
      </c>
      <c r="L215" s="1713">
        <v>0.46920000000000001</v>
      </c>
      <c r="M215" s="1714">
        <v>0.52785000000000004</v>
      </c>
      <c r="N215" s="1991">
        <v>101.6991</v>
      </c>
      <c r="O215" s="2050">
        <v>9.6185999999999989</v>
      </c>
      <c r="P215" s="2391"/>
      <c r="Q215" s="181"/>
      <c r="R215" s="247"/>
      <c r="S215" s="199"/>
      <c r="T215" s="199"/>
      <c r="U215" s="199"/>
      <c r="V215" s="11"/>
      <c r="W215" s="11"/>
      <c r="X215" s="11"/>
      <c r="Y215" s="11"/>
      <c r="Z215" s="11"/>
      <c r="AA215" s="11"/>
      <c r="AB215" s="11"/>
      <c r="AC215" s="4"/>
      <c r="AD215" s="4"/>
      <c r="AE215" s="35"/>
      <c r="AF215" s="279"/>
      <c r="AG215" s="279"/>
      <c r="AH215" s="279"/>
      <c r="AI215" s="279"/>
      <c r="AJ215" s="279"/>
      <c r="AK215" s="35"/>
      <c r="AL215" s="35"/>
      <c r="AM215" s="35"/>
      <c r="AN215" s="35"/>
      <c r="AO215" s="35"/>
      <c r="AP215" s="35"/>
      <c r="AQ215" s="35"/>
      <c r="AR215" s="35"/>
      <c r="AS215" s="35"/>
      <c r="AT215" s="35"/>
      <c r="AU215" s="35"/>
      <c r="AV215" s="35"/>
      <c r="AW215" s="35"/>
      <c r="AX215" s="35"/>
      <c r="AY215" s="35"/>
      <c r="AZ215" s="35"/>
      <c r="BA215" s="35"/>
      <c r="BB215" s="35"/>
      <c r="BC215" s="35"/>
      <c r="BD215" s="35"/>
      <c r="BE215" s="35"/>
      <c r="BF215" s="35"/>
    </row>
    <row r="216" spans="1:58" s="48" customFormat="1" ht="22.5" hidden="1" customHeight="1" x14ac:dyDescent="0.2">
      <c r="A216" s="2321">
        <v>3.5190000000000001</v>
      </c>
      <c r="B216" s="2313" t="s">
        <v>405</v>
      </c>
      <c r="C216" s="2314"/>
      <c r="D216" s="2314"/>
      <c r="E216" s="2315"/>
      <c r="F216" s="2328">
        <v>74</v>
      </c>
      <c r="G216" s="2330">
        <v>1702</v>
      </c>
      <c r="H216" s="2328"/>
      <c r="I216" s="1276"/>
      <c r="J216" s="1990"/>
      <c r="K216" s="1990"/>
      <c r="L216" s="2017"/>
      <c r="M216" s="1989"/>
      <c r="N216" s="1990"/>
      <c r="O216" s="2049"/>
      <c r="P216" s="2395">
        <v>73.3125</v>
      </c>
      <c r="Q216" s="181"/>
      <c r="R216" s="247"/>
      <c r="S216" s="199"/>
      <c r="T216" s="199"/>
      <c r="U216" s="199"/>
      <c r="V216" s="11"/>
      <c r="W216" s="11"/>
      <c r="X216" s="11"/>
      <c r="Y216" s="11"/>
      <c r="Z216" s="11"/>
      <c r="AA216" s="11"/>
      <c r="AB216" s="11"/>
      <c r="AC216" s="4"/>
      <c r="AD216" s="4"/>
      <c r="AE216" s="35"/>
      <c r="AF216" s="279"/>
      <c r="AG216" s="279"/>
      <c r="AH216" s="279"/>
      <c r="AI216" s="279"/>
      <c r="AJ216" s="279"/>
      <c r="AK216" s="35"/>
      <c r="AL216" s="35"/>
      <c r="AM216" s="35"/>
      <c r="AN216" s="35"/>
      <c r="AO216" s="35"/>
      <c r="AP216" s="35"/>
      <c r="AQ216" s="35"/>
      <c r="AR216" s="35"/>
      <c r="AS216" s="35"/>
      <c r="AT216" s="35"/>
      <c r="AU216" s="35"/>
      <c r="AV216" s="35"/>
      <c r="AW216" s="35"/>
      <c r="AX216" s="35"/>
      <c r="AY216" s="35"/>
      <c r="AZ216" s="35"/>
      <c r="BA216" s="35"/>
      <c r="BB216" s="35"/>
      <c r="BC216" s="35"/>
      <c r="BD216" s="35"/>
      <c r="BE216" s="35"/>
      <c r="BF216" s="35"/>
    </row>
    <row r="217" spans="1:58" s="48" customFormat="1" ht="22.5" customHeight="1" thickBot="1" x14ac:dyDescent="0.25">
      <c r="A217" s="2322"/>
      <c r="B217" s="2316"/>
      <c r="C217" s="2317"/>
      <c r="D217" s="2317"/>
      <c r="E217" s="2318"/>
      <c r="F217" s="2329"/>
      <c r="G217" s="2331"/>
      <c r="H217" s="2329"/>
      <c r="I217" s="1277" t="s">
        <v>360</v>
      </c>
      <c r="J217" s="1711">
        <v>0.2346</v>
      </c>
      <c r="K217" s="1712">
        <v>11.964599999999999</v>
      </c>
      <c r="L217" s="1713">
        <v>0.35189999999999999</v>
      </c>
      <c r="M217" s="1714">
        <v>0.50439000000000001</v>
      </c>
      <c r="N217" s="1991">
        <v>105.33540000000001</v>
      </c>
      <c r="O217" s="2050">
        <v>8.4456000000000007</v>
      </c>
      <c r="P217" s="2396"/>
      <c r="Q217" s="181"/>
      <c r="R217" s="247"/>
      <c r="S217" s="199"/>
      <c r="T217" s="199"/>
      <c r="U217" s="199"/>
      <c r="V217" s="11"/>
      <c r="W217" s="11"/>
      <c r="X217" s="11"/>
      <c r="Y217" s="11"/>
      <c r="Z217" s="11"/>
      <c r="AA217" s="11"/>
      <c r="AB217" s="11"/>
      <c r="AC217" s="4"/>
      <c r="AD217" s="4"/>
      <c r="AE217" s="35"/>
      <c r="AF217" s="279"/>
      <c r="AG217" s="279"/>
      <c r="AH217" s="279"/>
      <c r="AI217" s="279"/>
      <c r="AJ217" s="279"/>
      <c r="AK217" s="35"/>
      <c r="AL217" s="35"/>
      <c r="AM217" s="35"/>
      <c r="AN217" s="35"/>
      <c r="AO217" s="35"/>
      <c r="AP217" s="35"/>
      <c r="AQ217" s="35"/>
      <c r="AR217" s="35"/>
      <c r="AS217" s="35"/>
      <c r="AT217" s="35"/>
      <c r="AU217" s="35"/>
      <c r="AV217" s="35"/>
      <c r="AW217" s="35"/>
      <c r="AX217" s="35"/>
      <c r="AY217" s="35"/>
      <c r="AZ217" s="35"/>
      <c r="BA217" s="35"/>
      <c r="BB217" s="35"/>
      <c r="BC217" s="35"/>
      <c r="BD217" s="35"/>
      <c r="BE217" s="35"/>
      <c r="BF217" s="35"/>
    </row>
    <row r="218" spans="1:58" s="48" customFormat="1" ht="33" customHeight="1" thickBot="1" x14ac:dyDescent="0.3">
      <c r="A218" s="1251"/>
      <c r="B218" s="1275"/>
      <c r="C218" s="1275"/>
      <c r="D218" s="1275"/>
      <c r="E218" s="1275"/>
      <c r="F218" s="1248"/>
      <c r="G218" s="1248"/>
      <c r="H218" s="1248"/>
      <c r="I218" s="1248"/>
      <c r="J218" s="2387" t="s">
        <v>361</v>
      </c>
      <c r="K218" s="2388"/>
      <c r="L218" s="2388"/>
      <c r="M218" s="2388"/>
      <c r="N218" s="2388"/>
      <c r="O218" s="2388"/>
      <c r="P218" s="2389"/>
      <c r="Q218" s="181"/>
      <c r="R218" s="247"/>
      <c r="S218" s="199"/>
      <c r="T218" s="199"/>
      <c r="U218" s="199"/>
      <c r="V218" s="11"/>
      <c r="W218" s="11"/>
      <c r="X218" s="11"/>
      <c r="Y218" s="11"/>
      <c r="Z218" s="11"/>
      <c r="AA218" s="11"/>
      <c r="AB218" s="11"/>
      <c r="AC218" s="4"/>
      <c r="AD218" s="4"/>
      <c r="AE218" s="35"/>
      <c r="AF218" s="279"/>
      <c r="AG218" s="279"/>
      <c r="AH218" s="279"/>
      <c r="AI218" s="279"/>
      <c r="AJ218" s="279"/>
      <c r="AK218" s="35"/>
      <c r="AL218" s="35"/>
      <c r="AM218" s="35"/>
      <c r="AN218" s="35"/>
      <c r="AO218" s="35"/>
      <c r="AP218" s="35"/>
      <c r="AQ218" s="35"/>
      <c r="AR218" s="35"/>
      <c r="AS218" s="35"/>
      <c r="AT218" s="35"/>
      <c r="AU218" s="35"/>
      <c r="AV218" s="35"/>
      <c r="AW218" s="35"/>
      <c r="AX218" s="35"/>
      <c r="AY218" s="35"/>
      <c r="AZ218" s="35"/>
      <c r="BA218" s="35"/>
      <c r="BB218" s="35"/>
      <c r="BC218" s="35"/>
      <c r="BD218" s="35"/>
      <c r="BE218" s="35"/>
      <c r="BF218" s="35"/>
    </row>
    <row r="219" spans="1:58" s="48" customFormat="1" ht="33.75" customHeight="1" thickBot="1" x14ac:dyDescent="0.3">
      <c r="A219" s="1251"/>
      <c r="B219" s="1251"/>
      <c r="C219" s="1251"/>
      <c r="D219" s="1251"/>
      <c r="E219" s="1251"/>
      <c r="F219" s="1248"/>
      <c r="G219" s="1248"/>
      <c r="H219" s="1248"/>
      <c r="I219" s="1248"/>
      <c r="J219" s="2384" t="s">
        <v>362</v>
      </c>
      <c r="K219" s="2385"/>
      <c r="L219" s="2385"/>
      <c r="M219" s="2386"/>
      <c r="N219" s="1873" t="s">
        <v>363</v>
      </c>
      <c r="O219" s="1874" t="s">
        <v>128</v>
      </c>
      <c r="P219" s="1873" t="s">
        <v>138</v>
      </c>
      <c r="Q219" s="191"/>
      <c r="R219" s="191"/>
      <c r="S219" s="199"/>
      <c r="T219" s="199"/>
      <c r="V219" s="11"/>
      <c r="W219" s="11"/>
      <c r="X219" s="11"/>
      <c r="Y219" s="11"/>
      <c r="Z219" s="11"/>
      <c r="AA219" s="11"/>
      <c r="AB219" s="11"/>
      <c r="AC219" s="4"/>
      <c r="AD219" s="4"/>
      <c r="AE219" s="35"/>
      <c r="AF219" s="279"/>
      <c r="AG219" s="279"/>
      <c r="AH219" s="279"/>
      <c r="AI219" s="279"/>
      <c r="AJ219" s="279"/>
      <c r="AK219" s="35"/>
      <c r="AL219" s="35"/>
      <c r="AM219" s="35"/>
      <c r="AN219" s="35"/>
      <c r="AO219" s="35"/>
      <c r="AP219" s="35"/>
      <c r="AQ219" s="35"/>
      <c r="AR219" s="35"/>
      <c r="AS219" s="35"/>
      <c r="AT219" s="35"/>
      <c r="AU219" s="35"/>
      <c r="AV219" s="35"/>
      <c r="AW219" s="35"/>
      <c r="AX219" s="35"/>
      <c r="AY219" s="35"/>
      <c r="AZ219" s="35"/>
      <c r="BA219" s="35"/>
      <c r="BB219" s="35"/>
      <c r="BC219" s="35"/>
      <c r="BD219" s="35"/>
      <c r="BE219" s="35"/>
      <c r="BF219" s="35"/>
    </row>
    <row r="220" spans="1:58" s="48" customFormat="1" ht="27.75" customHeight="1" thickBot="1" x14ac:dyDescent="0.3">
      <c r="A220" s="1251"/>
      <c r="B220" s="1251"/>
      <c r="C220" s="1251"/>
      <c r="D220" s="1251"/>
      <c r="E220" s="1251"/>
      <c r="F220" s="1248"/>
      <c r="G220" s="1248"/>
      <c r="H220" s="1248"/>
      <c r="J220" s="2384" t="s">
        <v>364</v>
      </c>
      <c r="K220" s="2385"/>
      <c r="L220" s="2385"/>
      <c r="M220" s="2386"/>
      <c r="N220" s="1873" t="s">
        <v>365</v>
      </c>
      <c r="O220" s="1874" t="s">
        <v>128</v>
      </c>
      <c r="P220" s="1875" t="s">
        <v>148</v>
      </c>
      <c r="Q220" s="191"/>
      <c r="R220" s="191"/>
      <c r="S220" s="199"/>
      <c r="T220" s="199"/>
      <c r="U220" s="199"/>
      <c r="V220" s="11"/>
      <c r="W220" s="11"/>
      <c r="X220" s="11"/>
      <c r="Y220" s="11"/>
      <c r="Z220" s="11"/>
      <c r="AA220" s="11"/>
      <c r="AB220" s="11"/>
      <c r="AC220" s="4"/>
      <c r="AD220" s="4"/>
      <c r="AE220" s="35"/>
      <c r="AF220" s="279"/>
      <c r="AG220" s="279"/>
      <c r="AH220" s="279"/>
      <c r="AI220" s="279"/>
      <c r="AJ220" s="279"/>
      <c r="AK220" s="35"/>
      <c r="AL220" s="35"/>
      <c r="AM220" s="35"/>
      <c r="AN220" s="35"/>
      <c r="AO220" s="35"/>
      <c r="AP220" s="35"/>
      <c r="AQ220" s="35"/>
      <c r="AR220" s="35"/>
      <c r="AS220" s="35"/>
      <c r="AT220" s="35"/>
      <c r="AU220" s="35"/>
      <c r="AV220" s="35"/>
      <c r="AW220" s="35"/>
      <c r="AX220" s="35"/>
      <c r="AY220" s="35"/>
      <c r="AZ220" s="35"/>
      <c r="BA220" s="35"/>
      <c r="BB220" s="35"/>
      <c r="BC220" s="35"/>
      <c r="BD220" s="35"/>
      <c r="BE220" s="35"/>
      <c r="BF220" s="35"/>
    </row>
    <row r="221" spans="1:58" s="48" customFormat="1" x14ac:dyDescent="0.25">
      <c r="A221" s="706"/>
      <c r="B221" s="194"/>
      <c r="C221" s="194"/>
      <c r="D221" s="194"/>
      <c r="E221" s="194"/>
      <c r="F221" s="194"/>
      <c r="G221" s="194"/>
      <c r="H221" s="194"/>
      <c r="I221" s="194"/>
      <c r="J221" s="201"/>
      <c r="K221" s="202"/>
      <c r="L221" s="200"/>
      <c r="M221" s="200"/>
      <c r="N221" s="194"/>
      <c r="O221" s="200"/>
      <c r="P221" s="203"/>
      <c r="Q221" s="203"/>
      <c r="R221" s="204"/>
      <c r="S221" s="204"/>
      <c r="T221" s="204"/>
      <c r="U221" s="204"/>
      <c r="V221" s="41"/>
      <c r="W221" s="4"/>
      <c r="X221" s="4"/>
      <c r="Y221" s="4"/>
      <c r="Z221" s="4"/>
      <c r="AA221" s="4"/>
      <c r="AB221" s="4"/>
      <c r="AC221" s="4"/>
      <c r="AD221" s="4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  <c r="AT221" s="35"/>
      <c r="AU221" s="35"/>
      <c r="AV221" s="35"/>
      <c r="AW221" s="35"/>
      <c r="AX221" s="35"/>
      <c r="AY221" s="35"/>
      <c r="AZ221" s="35"/>
      <c r="BA221" s="35"/>
      <c r="BB221" s="35"/>
      <c r="BC221" s="35"/>
      <c r="BD221" s="35"/>
      <c r="BE221" s="35"/>
      <c r="BF221" s="35"/>
    </row>
    <row r="222" spans="1:58" s="48" customFormat="1" hidden="1" x14ac:dyDescent="0.25">
      <c r="A222" s="706"/>
      <c r="B222" s="194"/>
      <c r="C222" s="194"/>
      <c r="D222" s="194"/>
      <c r="E222" s="194"/>
      <c r="F222" s="194"/>
      <c r="G222" s="194"/>
      <c r="H222" s="194"/>
      <c r="I222" s="194"/>
      <c r="J222" s="201"/>
      <c r="K222" s="202"/>
      <c r="L222" s="200"/>
      <c r="M222" s="200"/>
      <c r="N222" s="194"/>
      <c r="O222" s="200"/>
      <c r="P222" s="203"/>
      <c r="Q222" s="203"/>
      <c r="R222" s="204"/>
      <c r="S222" s="204"/>
      <c r="T222" s="204"/>
      <c r="U222" s="204"/>
      <c r="V222" s="41"/>
      <c r="W222" s="4"/>
      <c r="X222" s="4"/>
      <c r="Y222" s="4"/>
      <c r="Z222" s="4"/>
      <c r="AA222" s="4"/>
      <c r="AB222" s="4"/>
      <c r="AC222" s="4"/>
      <c r="AD222" s="4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  <c r="AT222" s="35"/>
      <c r="AU222" s="35"/>
      <c r="AV222" s="35"/>
      <c r="AW222" s="35"/>
      <c r="AX222" s="35"/>
      <c r="AY222" s="35"/>
      <c r="AZ222" s="35"/>
      <c r="BA222" s="35"/>
      <c r="BB222" s="35"/>
      <c r="BC222" s="35"/>
      <c r="BD222" s="35"/>
      <c r="BE222" s="35"/>
      <c r="BF222" s="35"/>
    </row>
    <row r="223" spans="1:58" s="48" customFormat="1" hidden="1" x14ac:dyDescent="0.25">
      <c r="A223" s="706"/>
      <c r="B223" s="194"/>
      <c r="C223" s="194"/>
      <c r="D223" s="194"/>
      <c r="E223" s="194"/>
      <c r="F223" s="194"/>
      <c r="G223" s="194"/>
      <c r="H223" s="194"/>
      <c r="I223" s="194"/>
      <c r="J223" s="201"/>
      <c r="K223" s="202"/>
      <c r="L223" s="200"/>
      <c r="M223" s="200"/>
      <c r="N223" s="194"/>
      <c r="O223" s="200"/>
      <c r="P223" s="203"/>
      <c r="Q223" s="203"/>
      <c r="R223" s="204"/>
      <c r="S223" s="204"/>
      <c r="T223" s="204"/>
      <c r="U223" s="204"/>
      <c r="V223" s="41"/>
      <c r="W223" s="4"/>
      <c r="X223" s="4"/>
      <c r="Y223" s="4"/>
      <c r="Z223" s="4"/>
      <c r="AA223" s="4"/>
      <c r="AB223" s="4"/>
      <c r="AC223" s="4"/>
      <c r="AD223" s="4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  <c r="AT223" s="35"/>
      <c r="AU223" s="35"/>
      <c r="AV223" s="35"/>
      <c r="AW223" s="35"/>
      <c r="AX223" s="35"/>
      <c r="AY223" s="35"/>
      <c r="AZ223" s="35"/>
      <c r="BA223" s="35"/>
      <c r="BB223" s="35"/>
      <c r="BC223" s="35"/>
      <c r="BD223" s="35"/>
      <c r="BE223" s="35"/>
      <c r="BF223" s="35"/>
    </row>
    <row r="224" spans="1:58" s="48" customFormat="1" hidden="1" x14ac:dyDescent="0.25">
      <c r="A224" s="706"/>
      <c r="B224" s="194"/>
      <c r="C224" s="194"/>
      <c r="D224" s="194"/>
      <c r="E224" s="194"/>
      <c r="F224" s="194"/>
      <c r="G224" s="194"/>
      <c r="H224" s="194"/>
      <c r="I224" s="194"/>
      <c r="J224" s="201"/>
      <c r="K224" s="202"/>
      <c r="L224" s="200"/>
      <c r="M224" s="200"/>
      <c r="N224" s="194"/>
      <c r="O224" s="200"/>
      <c r="P224" s="203"/>
      <c r="Q224" s="203"/>
      <c r="R224" s="204"/>
      <c r="S224" s="204"/>
      <c r="T224" s="204"/>
      <c r="U224" s="204"/>
      <c r="V224" s="41"/>
      <c r="W224" s="4"/>
      <c r="X224" s="4"/>
      <c r="Y224" s="4"/>
      <c r="Z224" s="4"/>
      <c r="AA224" s="4"/>
      <c r="AB224" s="4"/>
      <c r="AC224" s="4"/>
      <c r="AD224" s="4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  <c r="AT224" s="35"/>
      <c r="AU224" s="35"/>
      <c r="AV224" s="35"/>
      <c r="AW224" s="35"/>
      <c r="AX224" s="35"/>
      <c r="AY224" s="35"/>
      <c r="AZ224" s="35"/>
      <c r="BA224" s="35"/>
      <c r="BB224" s="35"/>
      <c r="BC224" s="35"/>
      <c r="BD224" s="35"/>
      <c r="BE224" s="35"/>
      <c r="BF224" s="35"/>
    </row>
    <row r="225" spans="1:58" s="48" customFormat="1" hidden="1" x14ac:dyDescent="0.25">
      <c r="A225" s="706"/>
      <c r="B225" s="194"/>
      <c r="C225" s="194"/>
      <c r="D225" s="194"/>
      <c r="E225" s="194"/>
      <c r="F225" s="194"/>
      <c r="G225" s="194"/>
      <c r="H225" s="194"/>
      <c r="I225" s="194"/>
      <c r="J225" s="206"/>
      <c r="K225" s="207"/>
      <c r="L225" s="205"/>
      <c r="M225" s="205"/>
      <c r="N225" s="194"/>
      <c r="O225" s="205"/>
      <c r="P225" s="203"/>
      <c r="Q225" s="203"/>
      <c r="R225" s="204"/>
      <c r="S225" s="204"/>
      <c r="T225" s="204"/>
      <c r="U225" s="204"/>
      <c r="V225" s="41"/>
      <c r="W225" s="4"/>
      <c r="X225" s="4"/>
      <c r="Y225" s="4"/>
      <c r="Z225" s="4"/>
      <c r="AA225" s="4"/>
      <c r="AB225" s="4"/>
      <c r="AC225" s="4"/>
      <c r="AD225" s="4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  <c r="AT225" s="35"/>
      <c r="AU225" s="35"/>
      <c r="AV225" s="35"/>
      <c r="AW225" s="35"/>
      <c r="AX225" s="35"/>
      <c r="AY225" s="35"/>
      <c r="AZ225" s="35"/>
      <c r="BA225" s="35"/>
      <c r="BB225" s="35"/>
      <c r="BC225" s="35"/>
      <c r="BD225" s="35"/>
      <c r="BE225" s="35"/>
      <c r="BF225" s="35"/>
    </row>
    <row r="226" spans="1:58" s="48" customFormat="1" hidden="1" x14ac:dyDescent="0.25">
      <c r="A226" s="706"/>
      <c r="B226" s="194"/>
      <c r="C226" s="194"/>
      <c r="D226" s="194"/>
      <c r="E226" s="194"/>
      <c r="F226" s="194"/>
      <c r="G226" s="194"/>
      <c r="H226" s="194"/>
      <c r="I226" s="194"/>
      <c r="J226" s="206"/>
      <c r="K226" s="207"/>
      <c r="L226" s="205"/>
      <c r="M226" s="205"/>
      <c r="N226" s="194"/>
      <c r="O226" s="205"/>
      <c r="P226" s="203"/>
      <c r="Q226" s="203"/>
      <c r="R226" s="204"/>
      <c r="S226" s="204"/>
      <c r="T226" s="204"/>
      <c r="U226" s="204"/>
      <c r="V226" s="41"/>
      <c r="W226" s="4"/>
      <c r="X226" s="4"/>
      <c r="Y226" s="4"/>
      <c r="Z226" s="4"/>
      <c r="AA226" s="4"/>
      <c r="AB226" s="4"/>
      <c r="AC226" s="4"/>
      <c r="AD226" s="4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  <c r="AT226" s="35"/>
      <c r="AU226" s="35"/>
      <c r="AV226" s="35"/>
      <c r="AW226" s="35"/>
      <c r="AX226" s="35"/>
      <c r="AY226" s="35"/>
      <c r="AZ226" s="35"/>
      <c r="BA226" s="35"/>
      <c r="BB226" s="35"/>
      <c r="BC226" s="35"/>
      <c r="BD226" s="35"/>
      <c r="BE226" s="35"/>
      <c r="BF226" s="35"/>
    </row>
    <row r="227" spans="1:58" s="48" customFormat="1" hidden="1" x14ac:dyDescent="0.25">
      <c r="A227" s="706"/>
      <c r="B227" s="194"/>
      <c r="C227" s="194"/>
      <c r="D227" s="194"/>
      <c r="E227" s="194"/>
      <c r="F227" s="194"/>
      <c r="G227" s="194"/>
      <c r="H227" s="194"/>
      <c r="I227" s="194"/>
      <c r="J227" s="206"/>
      <c r="K227" s="207"/>
      <c r="L227" s="205"/>
      <c r="M227" s="205"/>
      <c r="N227" s="194"/>
      <c r="O227" s="205"/>
      <c r="P227" s="203"/>
      <c r="Q227" s="203"/>
      <c r="R227" s="208"/>
      <c r="S227" s="204"/>
      <c r="T227" s="204"/>
      <c r="U227" s="204"/>
      <c r="V227" s="41"/>
      <c r="W227" s="4"/>
      <c r="X227" s="4"/>
      <c r="Y227" s="4"/>
      <c r="Z227" s="4"/>
      <c r="AA227" s="4"/>
      <c r="AB227" s="4"/>
      <c r="AC227" s="4"/>
      <c r="AD227" s="4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  <c r="AT227" s="35"/>
      <c r="AU227" s="35"/>
      <c r="AV227" s="35"/>
      <c r="AW227" s="35"/>
      <c r="AX227" s="35"/>
      <c r="AY227" s="35"/>
      <c r="AZ227" s="35"/>
      <c r="BA227" s="35"/>
      <c r="BB227" s="35"/>
      <c r="BC227" s="35"/>
      <c r="BD227" s="35"/>
      <c r="BE227" s="35"/>
      <c r="BF227" s="35"/>
    </row>
    <row r="228" spans="1:58" s="48" customFormat="1" hidden="1" x14ac:dyDescent="0.25">
      <c r="A228" s="706"/>
      <c r="B228" s="194"/>
      <c r="C228" s="194"/>
      <c r="D228" s="194"/>
      <c r="E228" s="194"/>
      <c r="F228" s="194"/>
      <c r="G228" s="194"/>
      <c r="H228" s="194"/>
      <c r="I228" s="194"/>
      <c r="J228" s="209"/>
      <c r="K228" s="210"/>
      <c r="L228" s="194"/>
      <c r="M228" s="194"/>
      <c r="N228" s="194"/>
      <c r="O228" s="194"/>
      <c r="P228" s="203"/>
      <c r="Q228" s="203"/>
      <c r="R228" s="204"/>
      <c r="S228" s="204"/>
      <c r="T228" s="204"/>
      <c r="U228" s="204"/>
      <c r="V228" s="41"/>
      <c r="W228" s="4"/>
      <c r="X228" s="4"/>
      <c r="Y228" s="4"/>
      <c r="Z228" s="4"/>
      <c r="AA228" s="4"/>
      <c r="AB228" s="4"/>
      <c r="AC228" s="4"/>
      <c r="AD228" s="4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S228" s="35"/>
      <c r="AT228" s="35"/>
      <c r="AU228" s="35"/>
      <c r="AV228" s="35"/>
      <c r="AW228" s="35"/>
      <c r="AX228" s="35"/>
      <c r="AY228" s="35"/>
      <c r="AZ228" s="35"/>
      <c r="BA228" s="35"/>
      <c r="BB228" s="35"/>
      <c r="BC228" s="35"/>
      <c r="BD228" s="35"/>
      <c r="BE228" s="35"/>
      <c r="BF228" s="35"/>
    </row>
    <row r="229" spans="1:58" s="48" customFormat="1" hidden="1" x14ac:dyDescent="0.25">
      <c r="A229" s="706"/>
      <c r="B229" s="194"/>
      <c r="C229" s="194"/>
      <c r="D229" s="194"/>
      <c r="E229" s="194"/>
      <c r="F229" s="194"/>
      <c r="G229" s="194"/>
      <c r="H229" s="194"/>
      <c r="I229" s="194"/>
      <c r="J229" s="209"/>
      <c r="K229" s="210"/>
      <c r="L229" s="194"/>
      <c r="M229" s="194"/>
      <c r="N229" s="194"/>
      <c r="O229" s="194"/>
      <c r="P229" s="203"/>
      <c r="Q229" s="203"/>
      <c r="R229" s="204"/>
      <c r="S229" s="204"/>
      <c r="T229" s="204"/>
      <c r="U229" s="204"/>
      <c r="V229" s="41"/>
      <c r="W229" s="4"/>
      <c r="X229" s="4"/>
      <c r="Y229" s="4"/>
      <c r="Z229" s="4"/>
      <c r="AA229" s="4"/>
      <c r="AB229" s="4"/>
      <c r="AC229" s="4"/>
      <c r="AD229" s="4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  <c r="AT229" s="35"/>
      <c r="AU229" s="35"/>
      <c r="AV229" s="35"/>
      <c r="AW229" s="35"/>
      <c r="AX229" s="35"/>
      <c r="AY229" s="35"/>
      <c r="AZ229" s="35"/>
      <c r="BA229" s="35"/>
      <c r="BB229" s="35"/>
      <c r="BC229" s="35"/>
      <c r="BD229" s="35"/>
      <c r="BE229" s="35"/>
      <c r="BF229" s="35"/>
    </row>
    <row r="230" spans="1:58" s="11" customFormat="1" hidden="1" x14ac:dyDescent="0.25">
      <c r="A230" s="706"/>
      <c r="B230" s="194"/>
      <c r="C230" s="194"/>
      <c r="D230" s="194"/>
      <c r="E230" s="194"/>
      <c r="F230" s="194"/>
      <c r="G230" s="194"/>
      <c r="H230" s="194"/>
      <c r="I230" s="194"/>
      <c r="J230" s="209"/>
      <c r="K230" s="210"/>
      <c r="L230" s="194"/>
      <c r="M230" s="194"/>
      <c r="N230" s="194"/>
      <c r="O230" s="194"/>
      <c r="P230" s="203"/>
      <c r="Q230" s="203"/>
      <c r="R230" s="204"/>
      <c r="S230" s="204"/>
      <c r="T230" s="204"/>
      <c r="U230" s="204"/>
      <c r="V230" s="1"/>
      <c r="W230" s="6"/>
      <c r="X230" s="6"/>
      <c r="Y230" s="6"/>
      <c r="Z230" s="6"/>
      <c r="AA230" s="6"/>
      <c r="AB230" s="6"/>
      <c r="AC230" s="6"/>
      <c r="AD230" s="6"/>
      <c r="AE230" s="280"/>
      <c r="AF230" s="280"/>
      <c r="AG230" s="280"/>
      <c r="AH230" s="280"/>
      <c r="AI230" s="280"/>
      <c r="AJ230" s="280"/>
      <c r="AK230" s="280"/>
      <c r="AL230" s="280"/>
      <c r="AM230" s="280"/>
      <c r="AN230" s="280"/>
      <c r="AO230" s="280"/>
      <c r="AP230" s="280"/>
      <c r="AQ230" s="280"/>
      <c r="AR230" s="280"/>
      <c r="AS230" s="280"/>
      <c r="AT230" s="280"/>
      <c r="AU230" s="280"/>
      <c r="AV230" s="280"/>
      <c r="AW230" s="280"/>
      <c r="AX230" s="280"/>
      <c r="AY230" s="280"/>
      <c r="AZ230" s="280"/>
      <c r="BA230" s="280"/>
      <c r="BB230" s="280"/>
      <c r="BC230" s="280"/>
      <c r="BD230" s="280"/>
      <c r="BE230" s="280"/>
      <c r="BF230" s="280"/>
    </row>
    <row r="231" spans="1:58" s="11" customFormat="1" hidden="1" x14ac:dyDescent="0.25">
      <c r="A231" s="706"/>
      <c r="B231" s="194"/>
      <c r="C231" s="194"/>
      <c r="D231" s="194"/>
      <c r="E231" s="194"/>
      <c r="F231" s="194"/>
      <c r="G231" s="194"/>
      <c r="H231" s="194"/>
      <c r="I231" s="194"/>
      <c r="J231" s="209"/>
      <c r="K231" s="210"/>
      <c r="L231" s="194"/>
      <c r="M231" s="194"/>
      <c r="N231" s="194"/>
      <c r="O231" s="194"/>
      <c r="P231" s="203"/>
      <c r="Q231" s="203"/>
      <c r="R231" s="204"/>
      <c r="S231" s="204"/>
      <c r="T231" s="204"/>
      <c r="U231" s="204"/>
      <c r="V231" s="1"/>
      <c r="W231" s="6"/>
      <c r="X231" s="6"/>
      <c r="Y231" s="6"/>
      <c r="Z231" s="6"/>
      <c r="AA231" s="6"/>
      <c r="AB231" s="6"/>
      <c r="AC231" s="6"/>
      <c r="AD231" s="6"/>
      <c r="AE231" s="280"/>
      <c r="AF231" s="280"/>
      <c r="AG231" s="280"/>
      <c r="AH231" s="280"/>
      <c r="AI231" s="280"/>
      <c r="AJ231" s="280"/>
      <c r="AK231" s="280"/>
      <c r="AL231" s="280"/>
      <c r="AM231" s="280"/>
      <c r="AN231" s="280"/>
      <c r="AO231" s="280"/>
      <c r="AP231" s="280"/>
      <c r="AQ231" s="280"/>
      <c r="AR231" s="280"/>
      <c r="AS231" s="280"/>
      <c r="AT231" s="280"/>
      <c r="AU231" s="280"/>
      <c r="AV231" s="280"/>
      <c r="AW231" s="280"/>
      <c r="AX231" s="280"/>
      <c r="AY231" s="280"/>
      <c r="AZ231" s="280"/>
      <c r="BA231" s="280"/>
      <c r="BB231" s="280"/>
      <c r="BC231" s="280"/>
      <c r="BD231" s="280"/>
      <c r="BE231" s="280"/>
      <c r="BF231" s="280"/>
    </row>
    <row r="232" spans="1:58" s="48" customFormat="1" hidden="1" x14ac:dyDescent="0.25">
      <c r="A232" s="706"/>
      <c r="B232" s="194"/>
      <c r="C232" s="194"/>
      <c r="D232" s="194"/>
      <c r="E232" s="194"/>
      <c r="F232" s="194"/>
      <c r="G232" s="194"/>
      <c r="H232" s="194"/>
      <c r="I232" s="194"/>
      <c r="J232" s="212"/>
      <c r="K232" s="211"/>
      <c r="L232" s="194"/>
      <c r="M232" s="194"/>
      <c r="N232" s="194"/>
      <c r="O232" s="194"/>
      <c r="P232" s="213"/>
      <c r="Q232" s="213"/>
      <c r="R232" s="204"/>
      <c r="S232" s="204"/>
      <c r="T232" s="204"/>
      <c r="U232" s="204"/>
      <c r="V232" s="41"/>
      <c r="W232" s="4"/>
      <c r="X232" s="4"/>
      <c r="Y232" s="4"/>
      <c r="Z232" s="4"/>
      <c r="AA232" s="4"/>
      <c r="AB232" s="4"/>
      <c r="AC232" s="4"/>
      <c r="AD232" s="4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  <c r="AT232" s="35"/>
      <c r="AU232" s="35"/>
      <c r="AV232" s="35"/>
      <c r="AW232" s="35"/>
      <c r="AX232" s="35"/>
      <c r="AY232" s="35"/>
      <c r="AZ232" s="35"/>
      <c r="BA232" s="35"/>
      <c r="BB232" s="35"/>
      <c r="BC232" s="35"/>
      <c r="BD232" s="35"/>
      <c r="BE232" s="35"/>
      <c r="BF232" s="35"/>
    </row>
    <row r="233" spans="1:58" s="48" customFormat="1" hidden="1" x14ac:dyDescent="0.25">
      <c r="A233" s="706"/>
      <c r="B233" s="194"/>
      <c r="C233" s="194"/>
      <c r="D233" s="194"/>
      <c r="E233" s="194"/>
      <c r="F233" s="194"/>
      <c r="G233" s="194"/>
      <c r="H233" s="194"/>
      <c r="I233" s="194"/>
      <c r="J233" s="193"/>
      <c r="K233" s="194"/>
      <c r="L233" s="194"/>
      <c r="M233" s="194"/>
      <c r="N233" s="194"/>
      <c r="O233" s="194"/>
      <c r="P233" s="214"/>
      <c r="Q233" s="214"/>
      <c r="R233" s="204"/>
      <c r="S233" s="204"/>
      <c r="T233" s="204"/>
      <c r="U233" s="204"/>
      <c r="V233" s="41"/>
      <c r="W233" s="4"/>
      <c r="X233" s="4"/>
      <c r="Y233" s="4"/>
      <c r="Z233" s="4"/>
      <c r="AA233" s="4"/>
      <c r="AB233" s="4"/>
      <c r="AC233" s="4"/>
      <c r="AD233" s="4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  <c r="AT233" s="35"/>
      <c r="AU233" s="35"/>
      <c r="AV233" s="35"/>
      <c r="AW233" s="35"/>
      <c r="AX233" s="35"/>
      <c r="AY233" s="35"/>
      <c r="AZ233" s="35"/>
      <c r="BA233" s="35"/>
      <c r="BB233" s="35"/>
      <c r="BC233" s="35"/>
      <c r="BD233" s="35"/>
      <c r="BE233" s="35"/>
      <c r="BF233" s="35"/>
    </row>
    <row r="234" spans="1:58" s="257" customFormat="1" ht="15.75" hidden="1" x14ac:dyDescent="0.25">
      <c r="A234" s="706"/>
      <c r="B234" s="55"/>
      <c r="C234" s="55"/>
      <c r="D234" s="55"/>
      <c r="E234" s="55"/>
      <c r="F234" s="197"/>
      <c r="G234" s="197"/>
      <c r="H234" s="215"/>
      <c r="I234" s="197"/>
      <c r="J234" s="197"/>
      <c r="K234" s="197"/>
      <c r="L234" s="197"/>
      <c r="M234" s="197"/>
      <c r="N234" s="197"/>
      <c r="O234" s="197"/>
      <c r="P234" s="216"/>
      <c r="Q234" s="216"/>
      <c r="R234" s="217"/>
      <c r="S234" s="218"/>
      <c r="T234" s="218"/>
      <c r="U234" s="218"/>
      <c r="V234" s="43"/>
      <c r="W234" s="21"/>
      <c r="X234" s="21"/>
      <c r="Y234" s="21"/>
      <c r="Z234" s="21"/>
      <c r="AA234" s="21"/>
      <c r="AB234" s="21"/>
      <c r="AC234" s="21"/>
      <c r="AD234" s="21"/>
      <c r="AE234" s="276"/>
      <c r="AF234" s="276"/>
      <c r="AG234" s="276"/>
      <c r="AH234" s="276"/>
      <c r="AI234" s="276"/>
      <c r="AJ234" s="276"/>
      <c r="AK234" s="276"/>
      <c r="AL234" s="276"/>
      <c r="AM234" s="276"/>
      <c r="AN234" s="276"/>
      <c r="AO234" s="276"/>
      <c r="AP234" s="276"/>
      <c r="AQ234" s="276"/>
      <c r="AR234" s="276"/>
      <c r="AS234" s="276"/>
      <c r="AT234" s="276"/>
      <c r="AU234" s="276"/>
      <c r="AV234" s="276"/>
      <c r="AW234" s="276"/>
      <c r="AX234" s="276"/>
      <c r="AY234" s="276"/>
      <c r="AZ234" s="276"/>
      <c r="BA234" s="276"/>
      <c r="BB234" s="276"/>
      <c r="BC234" s="276"/>
      <c r="BD234" s="276"/>
      <c r="BE234" s="276"/>
      <c r="BF234" s="276"/>
    </row>
    <row r="235" spans="1:58" s="257" customFormat="1" ht="15.75" hidden="1" x14ac:dyDescent="0.25">
      <c r="A235" s="706"/>
      <c r="B235" s="55"/>
      <c r="C235" s="55"/>
      <c r="D235" s="55"/>
      <c r="E235" s="55"/>
      <c r="F235" s="55"/>
      <c r="G235" s="55"/>
      <c r="H235" s="55"/>
      <c r="I235" s="55"/>
      <c r="J235" s="196"/>
      <c r="K235" s="55"/>
      <c r="L235" s="55"/>
      <c r="M235" s="55"/>
      <c r="N235" s="55"/>
      <c r="O235" s="55"/>
      <c r="P235" s="219"/>
      <c r="Q235" s="219"/>
      <c r="R235" s="218"/>
      <c r="S235" s="218"/>
      <c r="T235" s="218"/>
      <c r="U235" s="218"/>
      <c r="V235" s="43"/>
      <c r="W235" s="21"/>
      <c r="X235" s="21"/>
      <c r="Y235" s="21"/>
      <c r="Z235" s="21"/>
      <c r="AA235" s="21"/>
      <c r="AB235" s="21"/>
      <c r="AC235" s="21"/>
      <c r="AD235" s="21"/>
      <c r="AE235" s="276"/>
      <c r="AF235" s="276"/>
      <c r="AG235" s="276"/>
      <c r="AH235" s="276"/>
      <c r="AI235" s="276"/>
      <c r="AJ235" s="276"/>
      <c r="AK235" s="276"/>
      <c r="AL235" s="276"/>
      <c r="AM235" s="276"/>
      <c r="AN235" s="276"/>
      <c r="AO235" s="276"/>
      <c r="AP235" s="276"/>
      <c r="AQ235" s="276"/>
      <c r="AR235" s="276"/>
      <c r="AS235" s="276"/>
      <c r="AT235" s="276"/>
      <c r="AU235" s="276"/>
      <c r="AV235" s="276"/>
      <c r="AW235" s="276"/>
      <c r="AX235" s="276"/>
      <c r="AY235" s="276"/>
      <c r="AZ235" s="276"/>
      <c r="BA235" s="276"/>
      <c r="BB235" s="276"/>
      <c r="BC235" s="276"/>
      <c r="BD235" s="276"/>
      <c r="BE235" s="276"/>
      <c r="BF235" s="276"/>
    </row>
    <row r="236" spans="1:58" s="257" customFormat="1" ht="25.5" hidden="1" customHeight="1" x14ac:dyDescent="0.25">
      <c r="A236" s="706"/>
      <c r="B236" s="55"/>
      <c r="C236" s="55"/>
      <c r="D236" s="55"/>
      <c r="E236" s="55"/>
      <c r="F236" s="196"/>
      <c r="G236" s="196"/>
      <c r="H236" s="220"/>
      <c r="I236" s="196"/>
      <c r="J236" s="196"/>
      <c r="K236" s="55"/>
      <c r="L236" s="55"/>
      <c r="M236" s="55"/>
      <c r="N236" s="55"/>
      <c r="O236" s="55"/>
      <c r="P236" s="219"/>
      <c r="Q236" s="219"/>
      <c r="R236" s="218"/>
      <c r="S236" s="218"/>
      <c r="T236" s="218"/>
      <c r="U236" s="218"/>
      <c r="V236" s="43"/>
      <c r="W236" s="21"/>
      <c r="X236" s="21"/>
      <c r="Y236" s="21"/>
      <c r="Z236" s="21"/>
      <c r="AA236" s="21"/>
      <c r="AB236" s="21"/>
      <c r="AC236" s="21"/>
      <c r="AD236" s="21"/>
      <c r="AE236" s="276"/>
      <c r="AF236" s="276"/>
      <c r="AG236" s="276"/>
      <c r="AH236" s="276"/>
      <c r="AI236" s="276"/>
      <c r="AJ236" s="276"/>
      <c r="AK236" s="276"/>
      <c r="AL236" s="276"/>
      <c r="AM236" s="276"/>
      <c r="AN236" s="276"/>
      <c r="AO236" s="276"/>
      <c r="AP236" s="276"/>
      <c r="AQ236" s="276"/>
      <c r="AR236" s="276"/>
      <c r="AS236" s="276"/>
      <c r="AT236" s="276"/>
      <c r="AU236" s="276"/>
      <c r="AV236" s="276"/>
      <c r="AW236" s="276"/>
      <c r="AX236" s="276"/>
      <c r="AY236" s="276"/>
      <c r="AZ236" s="276"/>
      <c r="BA236" s="276"/>
      <c r="BB236" s="276"/>
      <c r="BC236" s="276"/>
      <c r="BD236" s="276"/>
      <c r="BE236" s="276"/>
      <c r="BF236" s="276"/>
    </row>
    <row r="237" spans="1:58" s="257" customFormat="1" ht="19.5" hidden="1" customHeight="1" x14ac:dyDescent="0.25">
      <c r="A237" s="706"/>
      <c r="B237" s="55"/>
      <c r="C237" s="55"/>
      <c r="D237" s="55"/>
      <c r="E237" s="55"/>
      <c r="F237" s="196"/>
      <c r="G237" s="221"/>
      <c r="H237" s="220"/>
      <c r="I237" s="196"/>
      <c r="J237" s="196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21"/>
      <c r="W237" s="21"/>
      <c r="X237" s="21"/>
      <c r="Y237" s="21"/>
      <c r="Z237" s="21"/>
      <c r="AA237" s="21"/>
      <c r="AB237" s="21"/>
      <c r="AC237" s="21"/>
      <c r="AD237" s="21"/>
      <c r="AE237" s="276"/>
      <c r="AF237" s="276"/>
      <c r="AG237" s="276"/>
      <c r="AH237" s="276"/>
      <c r="AI237" s="276"/>
      <c r="AJ237" s="276"/>
      <c r="AK237" s="276"/>
      <c r="AL237" s="276"/>
      <c r="AM237" s="276"/>
      <c r="AN237" s="276"/>
      <c r="AO237" s="276"/>
      <c r="AP237" s="276"/>
      <c r="AQ237" s="276"/>
      <c r="AR237" s="276"/>
      <c r="AS237" s="276"/>
      <c r="AT237" s="276"/>
      <c r="AU237" s="276"/>
      <c r="AV237" s="276"/>
      <c r="AW237" s="276"/>
      <c r="AX237" s="276"/>
      <c r="AY237" s="276"/>
      <c r="AZ237" s="276"/>
      <c r="BA237" s="276"/>
      <c r="BB237" s="276"/>
      <c r="BC237" s="276"/>
      <c r="BD237" s="276"/>
      <c r="BE237" s="276"/>
      <c r="BF237" s="276"/>
    </row>
    <row r="238" spans="1:58" s="48" customFormat="1" ht="22.5" hidden="1" customHeight="1" x14ac:dyDescent="0.25">
      <c r="A238" s="706"/>
      <c r="B238" s="194"/>
      <c r="C238" s="194"/>
      <c r="D238" s="194"/>
      <c r="E238" s="194"/>
      <c r="F238" s="194"/>
      <c r="G238" s="194"/>
      <c r="H238" s="194"/>
      <c r="I238" s="194"/>
      <c r="J238" s="193"/>
      <c r="K238" s="193"/>
      <c r="L238" s="194"/>
      <c r="M238" s="194"/>
      <c r="N238" s="194"/>
      <c r="O238" s="55"/>
      <c r="P238" s="55"/>
      <c r="Q238" s="55"/>
      <c r="R238" s="55"/>
      <c r="S238" s="194"/>
      <c r="T238" s="194"/>
      <c r="U238" s="194"/>
      <c r="V238" s="4"/>
      <c r="W238" s="4"/>
      <c r="X238" s="4"/>
      <c r="Y238" s="4"/>
      <c r="Z238" s="4"/>
      <c r="AA238" s="4"/>
      <c r="AB238" s="4"/>
      <c r="AC238" s="4"/>
      <c r="AD238" s="4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  <c r="AT238" s="35"/>
      <c r="AU238" s="35"/>
      <c r="AV238" s="35"/>
      <c r="AW238" s="35"/>
      <c r="AX238" s="35"/>
      <c r="AY238" s="35"/>
      <c r="AZ238" s="35"/>
      <c r="BA238" s="35"/>
      <c r="BB238" s="35"/>
      <c r="BC238" s="35"/>
      <c r="BD238" s="35"/>
      <c r="BE238" s="35"/>
      <c r="BF238" s="35"/>
    </row>
    <row r="239" spans="1:58" s="48" customFormat="1" ht="19.5" hidden="1" customHeight="1" x14ac:dyDescent="0.25">
      <c r="A239" s="706"/>
      <c r="B239" s="194"/>
      <c r="C239" s="222"/>
      <c r="D239" s="194"/>
      <c r="E239" s="194"/>
      <c r="F239" s="55"/>
      <c r="G239" s="55"/>
      <c r="H239" s="55"/>
      <c r="I239" s="223"/>
      <c r="K239" s="215"/>
      <c r="L239" s="55"/>
      <c r="M239" s="55"/>
      <c r="N239" s="55"/>
      <c r="O239" s="194"/>
      <c r="P239" s="194"/>
      <c r="Q239" s="194"/>
      <c r="R239" s="194"/>
      <c r="S239" s="194"/>
      <c r="T239" s="194"/>
      <c r="U239" s="194"/>
      <c r="V239" s="4"/>
      <c r="W239" s="4"/>
      <c r="X239" s="4"/>
      <c r="Y239" s="4"/>
      <c r="Z239" s="4"/>
      <c r="AA239" s="4"/>
      <c r="AB239" s="4"/>
      <c r="AC239" s="4"/>
      <c r="AD239" s="4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  <c r="AT239" s="35"/>
      <c r="AU239" s="35"/>
      <c r="AV239" s="35"/>
      <c r="AW239" s="35"/>
      <c r="AX239" s="35"/>
      <c r="AY239" s="35"/>
      <c r="AZ239" s="35"/>
      <c r="BA239" s="35"/>
      <c r="BB239" s="35"/>
      <c r="BC239" s="35"/>
      <c r="BD239" s="35"/>
      <c r="BE239" s="35"/>
      <c r="BF239" s="35"/>
    </row>
    <row r="240" spans="1:58" s="48" customFormat="1" ht="22.5" customHeight="1" x14ac:dyDescent="0.35">
      <c r="A240" s="734"/>
      <c r="B240" s="737" t="s">
        <v>366</v>
      </c>
      <c r="C240" s="737"/>
      <c r="D240" s="738"/>
      <c r="E240" s="738"/>
      <c r="F240" s="738"/>
      <c r="G240" s="738"/>
      <c r="H240" s="739"/>
      <c r="I240" s="738"/>
      <c r="J240" s="740"/>
      <c r="K240" s="738"/>
      <c r="L240" s="738"/>
      <c r="M240" s="738"/>
      <c r="N240" s="738"/>
      <c r="O240" s="738" t="s">
        <v>367</v>
      </c>
      <c r="P240" s="738"/>
      <c r="Q240" s="738"/>
      <c r="R240" s="55"/>
      <c r="S240" s="194"/>
      <c r="T240" s="194"/>
      <c r="U240" s="194"/>
      <c r="V240" s="4"/>
      <c r="W240" s="4"/>
      <c r="X240" s="4"/>
      <c r="Y240" s="4"/>
      <c r="Z240" s="4"/>
      <c r="AA240" s="4"/>
      <c r="AB240" s="4"/>
      <c r="AC240" s="4"/>
      <c r="AD240" s="4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  <c r="AT240" s="35"/>
      <c r="AU240" s="35"/>
      <c r="AV240" s="35"/>
      <c r="AW240" s="35"/>
      <c r="AX240" s="35"/>
      <c r="AY240" s="35"/>
      <c r="AZ240" s="35"/>
      <c r="BA240" s="35"/>
      <c r="BB240" s="35"/>
      <c r="BC240" s="35"/>
      <c r="BD240" s="35"/>
      <c r="BE240" s="35"/>
      <c r="BF240" s="35"/>
    </row>
    <row r="241" spans="1:58" s="48" customFormat="1" ht="22.5" customHeight="1" x14ac:dyDescent="0.35">
      <c r="A241" s="734"/>
      <c r="B241" s="737"/>
      <c r="C241" s="737"/>
      <c r="D241" s="738"/>
      <c r="E241" s="738"/>
      <c r="F241" s="738"/>
      <c r="G241" s="738"/>
      <c r="H241" s="738"/>
      <c r="I241" s="738"/>
      <c r="J241" s="740"/>
      <c r="K241" s="738"/>
      <c r="L241" s="738"/>
      <c r="M241" s="738"/>
      <c r="N241" s="738"/>
      <c r="O241" s="738"/>
      <c r="P241" s="738"/>
      <c r="Q241" s="738"/>
      <c r="R241" s="55"/>
      <c r="S241" s="194"/>
      <c r="T241" s="194"/>
      <c r="U241" s="194"/>
      <c r="V241" s="4"/>
      <c r="W241" s="4"/>
      <c r="X241" s="4"/>
      <c r="Y241" s="4"/>
      <c r="Z241" s="4"/>
      <c r="AA241" s="4"/>
      <c r="AB241" s="4"/>
      <c r="AC241" s="4"/>
      <c r="AD241" s="4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  <c r="AT241" s="35"/>
      <c r="AU241" s="35"/>
      <c r="AV241" s="35"/>
      <c r="AW241" s="35"/>
      <c r="AX241" s="35"/>
      <c r="AY241" s="35"/>
      <c r="AZ241" s="35"/>
      <c r="BA241" s="35"/>
      <c r="BB241" s="35"/>
      <c r="BC241" s="35"/>
      <c r="BD241" s="35"/>
      <c r="BE241" s="35"/>
      <c r="BF241" s="35"/>
    </row>
    <row r="242" spans="1:58" s="48" customFormat="1" ht="22.5" customHeight="1" x14ac:dyDescent="0.35">
      <c r="A242" s="736"/>
      <c r="B242" s="741" t="s">
        <v>368</v>
      </c>
      <c r="C242" s="741"/>
      <c r="D242" s="732"/>
      <c r="E242" s="732"/>
      <c r="F242" s="742"/>
      <c r="G242" s="738"/>
      <c r="H242" s="738"/>
      <c r="I242" s="743"/>
      <c r="J242" s="744"/>
      <c r="K242" s="740"/>
      <c r="L242" s="740"/>
      <c r="M242" s="738"/>
      <c r="N242" s="740"/>
      <c r="O242" s="738" t="s">
        <v>369</v>
      </c>
      <c r="P242" s="738"/>
      <c r="Q242" s="738"/>
      <c r="R242" s="55"/>
      <c r="S242" s="194"/>
      <c r="T242" s="194"/>
      <c r="U242" s="194"/>
      <c r="V242" s="4"/>
      <c r="W242" s="4"/>
      <c r="X242" s="4"/>
      <c r="Y242" s="4"/>
      <c r="Z242" s="4"/>
      <c r="AA242" s="4"/>
      <c r="AB242" s="4"/>
      <c r="AC242" s="4"/>
      <c r="AD242" s="4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  <c r="AT242" s="35"/>
      <c r="AU242" s="35"/>
      <c r="AV242" s="35"/>
      <c r="AW242" s="35"/>
      <c r="AX242" s="35"/>
      <c r="AY242" s="35"/>
      <c r="AZ242" s="35"/>
      <c r="BA242" s="35"/>
      <c r="BB242" s="35"/>
      <c r="BC242" s="35"/>
      <c r="BD242" s="35"/>
      <c r="BE242" s="35"/>
      <c r="BF242" s="35"/>
    </row>
    <row r="243" spans="1:58" s="48" customFormat="1" ht="22.5" customHeight="1" x14ac:dyDescent="0.35">
      <c r="A243" s="736"/>
      <c r="B243" s="741"/>
      <c r="C243" s="741"/>
      <c r="D243" s="732"/>
      <c r="E243" s="732"/>
      <c r="F243" s="742"/>
      <c r="G243" s="738"/>
      <c r="H243" s="741"/>
      <c r="I243" s="743"/>
      <c r="J243" s="744"/>
      <c r="K243" s="745"/>
      <c r="L243" s="738"/>
      <c r="M243" s="738"/>
      <c r="N243" s="738"/>
      <c r="O243" s="745"/>
      <c r="P243" s="738"/>
      <c r="Q243" s="738"/>
      <c r="R243" s="55"/>
      <c r="S243" s="194"/>
      <c r="T243" s="194"/>
      <c r="U243" s="194"/>
      <c r="V243" s="4"/>
      <c r="W243" s="4"/>
      <c r="X243" s="4"/>
      <c r="Y243" s="4"/>
      <c r="Z243" s="4"/>
      <c r="AA243" s="4"/>
      <c r="AB243" s="4"/>
      <c r="AC243" s="4"/>
      <c r="AD243" s="4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  <c r="AR243" s="35"/>
      <c r="AS243" s="35"/>
      <c r="AT243" s="35"/>
      <c r="AU243" s="35"/>
      <c r="AV243" s="35"/>
      <c r="AW243" s="35"/>
      <c r="AX243" s="35"/>
      <c r="AY243" s="35"/>
      <c r="AZ243" s="35"/>
      <c r="BA243" s="35"/>
      <c r="BB243" s="35"/>
      <c r="BC243" s="35"/>
      <c r="BD243" s="35"/>
      <c r="BE243" s="35"/>
      <c r="BF243" s="35"/>
    </row>
    <row r="244" spans="1:58" s="48" customFormat="1" ht="22.5" customHeight="1" x14ac:dyDescent="0.35">
      <c r="A244" s="736"/>
      <c r="B244" s="741" t="s">
        <v>370</v>
      </c>
      <c r="C244" s="741"/>
      <c r="D244" s="732"/>
      <c r="E244" s="732"/>
      <c r="F244" s="742"/>
      <c r="G244" s="738"/>
      <c r="H244" s="741"/>
      <c r="I244" s="743"/>
      <c r="J244" s="744"/>
      <c r="K244" s="741"/>
      <c r="L244" s="740"/>
      <c r="M244" s="738"/>
      <c r="N244" s="740"/>
      <c r="O244" s="741"/>
      <c r="P244" s="738"/>
      <c r="Q244" s="738"/>
      <c r="R244" s="55"/>
      <c r="S244" s="194"/>
      <c r="T244" s="194"/>
      <c r="U244" s="194"/>
      <c r="V244" s="4"/>
      <c r="W244" s="4"/>
      <c r="X244" s="4"/>
      <c r="Y244" s="4"/>
      <c r="Z244" s="4"/>
      <c r="AA244" s="4"/>
      <c r="AB244" s="4"/>
      <c r="AC244" s="4"/>
      <c r="AD244" s="4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  <c r="AT244" s="35"/>
      <c r="AU244" s="35"/>
      <c r="AV244" s="35"/>
      <c r="AW244" s="35"/>
      <c r="AX244" s="35"/>
      <c r="AY244" s="35"/>
      <c r="AZ244" s="35"/>
      <c r="BA244" s="35"/>
      <c r="BB244" s="35"/>
      <c r="BC244" s="35"/>
      <c r="BD244" s="35"/>
      <c r="BE244" s="35"/>
      <c r="BF244" s="35"/>
    </row>
    <row r="245" spans="1:58" s="48" customFormat="1" ht="22.5" customHeight="1" x14ac:dyDescent="0.35">
      <c r="A245" s="736"/>
      <c r="B245" s="741" t="s">
        <v>371</v>
      </c>
      <c r="C245" s="741"/>
      <c r="D245" s="732"/>
      <c r="E245" s="732"/>
      <c r="F245" s="742"/>
      <c r="G245" s="738"/>
      <c r="H245" s="741"/>
      <c r="I245" s="743"/>
      <c r="K245" s="741"/>
      <c r="L245" s="740"/>
      <c r="M245" s="738"/>
      <c r="N245" s="740"/>
      <c r="O245" s="741" t="s">
        <v>372</v>
      </c>
      <c r="P245" s="738"/>
      <c r="Q245" s="738"/>
      <c r="R245" s="55"/>
      <c r="S245" s="194"/>
      <c r="T245" s="194"/>
      <c r="U245" s="194"/>
      <c r="V245" s="4"/>
      <c r="W245" s="4"/>
      <c r="X245" s="4"/>
      <c r="Y245" s="4"/>
      <c r="Z245" s="4"/>
      <c r="AA245" s="4"/>
      <c r="AB245" s="4"/>
      <c r="AC245" s="4"/>
      <c r="AD245" s="4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  <c r="AT245" s="35"/>
      <c r="AU245" s="35"/>
      <c r="AV245" s="35"/>
      <c r="AW245" s="35"/>
      <c r="AX245" s="35"/>
      <c r="AY245" s="35"/>
      <c r="AZ245" s="35"/>
      <c r="BA245" s="35"/>
      <c r="BB245" s="35"/>
      <c r="BC245" s="35"/>
      <c r="BD245" s="35"/>
      <c r="BE245" s="35"/>
      <c r="BF245" s="35"/>
    </row>
    <row r="246" spans="1:58" s="48" customFormat="1" ht="22.5" customHeight="1" x14ac:dyDescent="0.35">
      <c r="A246" s="734"/>
      <c r="B246" s="740"/>
      <c r="C246" s="740"/>
      <c r="D246" s="738"/>
      <c r="E246" s="738"/>
      <c r="F246" s="740"/>
      <c r="G246" s="740"/>
      <c r="H246" s="738"/>
      <c r="I246" s="740"/>
      <c r="J246" s="740"/>
      <c r="K246" s="738"/>
      <c r="L246" s="740"/>
      <c r="M246" s="738"/>
      <c r="N246" s="740"/>
      <c r="O246" s="738"/>
      <c r="P246" s="738"/>
      <c r="Q246" s="738"/>
      <c r="R246" s="55"/>
      <c r="S246" s="194"/>
      <c r="T246" s="194"/>
      <c r="U246" s="194"/>
      <c r="V246" s="4"/>
      <c r="W246" s="4"/>
      <c r="X246" s="4"/>
      <c r="Y246" s="4"/>
      <c r="Z246" s="4"/>
      <c r="AA246" s="4"/>
      <c r="AB246" s="4"/>
      <c r="AC246" s="4"/>
      <c r="AD246" s="4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  <c r="AT246" s="35"/>
      <c r="AU246" s="35"/>
      <c r="AV246" s="35"/>
      <c r="AW246" s="35"/>
      <c r="AX246" s="35"/>
      <c r="AY246" s="35"/>
      <c r="AZ246" s="35"/>
      <c r="BA246" s="35"/>
      <c r="BB246" s="35"/>
      <c r="BC246" s="35"/>
      <c r="BD246" s="35"/>
      <c r="BE246" s="35"/>
      <c r="BF246" s="35"/>
    </row>
    <row r="247" spans="1:58" ht="22.5" customHeight="1" x14ac:dyDescent="0.35">
      <c r="A247" s="736"/>
      <c r="B247" s="741" t="s">
        <v>373</v>
      </c>
      <c r="C247" s="741"/>
      <c r="D247" s="732"/>
      <c r="E247" s="732"/>
      <c r="F247" s="742"/>
      <c r="G247" s="738"/>
      <c r="H247" s="741"/>
      <c r="I247" s="743"/>
      <c r="J247" s="744"/>
      <c r="K247" s="738"/>
      <c r="L247" s="740"/>
      <c r="M247" s="738"/>
      <c r="N247" s="740"/>
      <c r="O247" s="738" t="s">
        <v>374</v>
      </c>
      <c r="P247" s="738"/>
      <c r="Q247" s="738"/>
      <c r="R247" s="55"/>
      <c r="S247" s="194"/>
      <c r="T247" s="194"/>
      <c r="U247" s="194"/>
    </row>
    <row r="248" spans="1:58" ht="15.75" x14ac:dyDescent="0.25">
      <c r="B248" s="469"/>
      <c r="C248" s="469"/>
      <c r="D248" s="55"/>
      <c r="E248" s="55"/>
      <c r="F248" s="55"/>
      <c r="G248" s="55"/>
      <c r="H248" s="55"/>
      <c r="I248" s="55"/>
      <c r="J248" s="223"/>
      <c r="K248" s="55"/>
      <c r="L248" s="55"/>
      <c r="M248" s="55"/>
      <c r="N248" s="55"/>
      <c r="O248" s="55"/>
      <c r="P248" s="55"/>
      <c r="Q248" s="55"/>
      <c r="R248" s="194"/>
      <c r="S248" s="194"/>
      <c r="T248" s="194"/>
      <c r="U248" s="194"/>
    </row>
    <row r="249" spans="1:58" ht="15.75" x14ac:dyDescent="0.25">
      <c r="B249" s="53"/>
      <c r="C249" s="53"/>
      <c r="D249" s="53"/>
      <c r="E249" s="53"/>
      <c r="F249" s="53"/>
      <c r="G249" s="53"/>
      <c r="H249" s="53"/>
      <c r="I249" s="53"/>
      <c r="J249" s="20"/>
      <c r="K249" s="53"/>
      <c r="L249" s="53"/>
      <c r="M249" s="53"/>
      <c r="N249" s="53"/>
      <c r="O249" s="53"/>
      <c r="P249" s="53"/>
      <c r="Q249" s="53"/>
    </row>
    <row r="251" spans="1:58" ht="12.75" customHeight="1" x14ac:dyDescent="0.25">
      <c r="G251" s="263"/>
      <c r="H251" s="253"/>
    </row>
    <row r="254" spans="1:58" ht="17.25" thickBot="1" x14ac:dyDescent="0.35">
      <c r="A254" s="706" t="s">
        <v>375</v>
      </c>
      <c r="B254" s="75"/>
      <c r="C254" s="75"/>
      <c r="D254" s="75"/>
      <c r="E254" s="75"/>
      <c r="F254" s="75"/>
      <c r="G254" s="75"/>
    </row>
    <row r="255" spans="1:58" ht="19.5" customHeight="1" thickBot="1" x14ac:dyDescent="0.35">
      <c r="B255" s="75"/>
      <c r="C255" s="75"/>
      <c r="D255" s="92" t="s">
        <v>376</v>
      </c>
      <c r="E255" s="92" t="s">
        <v>39</v>
      </c>
      <c r="F255" s="92" t="s">
        <v>44</v>
      </c>
      <c r="G255" s="75" t="s">
        <v>45</v>
      </c>
      <c r="J255" s="4"/>
      <c r="K255" s="23"/>
    </row>
    <row r="256" spans="1:58" ht="22.5" customHeight="1" x14ac:dyDescent="0.3">
      <c r="B256" s="93" t="s">
        <v>277</v>
      </c>
      <c r="C256" s="94"/>
      <c r="D256" s="95" t="e">
        <f>'2 блок'!D127*I256+D173*I257</f>
        <v>#REF!</v>
      </c>
      <c r="E256" s="96" t="e">
        <f>+'2 блок'!E127*I256+'3 блок'!E173*I257</f>
        <v>#REF!</v>
      </c>
      <c r="F256" s="110" t="e">
        <f>+E256-D256</f>
        <v>#REF!</v>
      </c>
      <c r="G256" s="113"/>
      <c r="H256" s="97" t="s">
        <v>352</v>
      </c>
      <c r="I256" s="90">
        <v>0.50349999999999995</v>
      </c>
      <c r="J256" s="4"/>
      <c r="L256" s="84" t="s">
        <v>304</v>
      </c>
      <c r="M256" s="85" t="e">
        <f>M258*J259*I260*100</f>
        <v>#REF!</v>
      </c>
      <c r="N256" s="85"/>
      <c r="O256" s="85" t="e">
        <f>O258*L259*K260*100</f>
        <v>#REF!</v>
      </c>
      <c r="P256" s="84"/>
      <c r="Q256" s="84"/>
      <c r="R256" s="86" t="s">
        <v>305</v>
      </c>
      <c r="S256" s="85" t="e">
        <f>S258*N260*100</f>
        <v>#REF!</v>
      </c>
      <c r="T256" s="85"/>
      <c r="U256" s="85"/>
      <c r="V256" s="85" t="e">
        <f>V258*O260*100</f>
        <v>#REF!</v>
      </c>
      <c r="X256" s="22"/>
      <c r="Y256" s="22"/>
      <c r="Z256" s="22"/>
      <c r="AA256" s="22"/>
      <c r="AB256" s="19"/>
      <c r="AC256" s="19"/>
      <c r="AD256" s="19"/>
    </row>
    <row r="257" spans="1:31" ht="22.5" customHeight="1" x14ac:dyDescent="0.3">
      <c r="B257" s="98" t="s">
        <v>278</v>
      </c>
      <c r="C257" s="99"/>
      <c r="D257" s="100" t="e">
        <f>'2 блок'!D128*I256+D174*I257</f>
        <v>#REF!</v>
      </c>
      <c r="E257" s="101" t="e">
        <f>+'2 блок'!E128*I256+'3 блок'!E174*I257</f>
        <v>#REF!</v>
      </c>
      <c r="F257" s="111" t="e">
        <f>+E257-D257</f>
        <v>#REF!</v>
      </c>
      <c r="G257" s="113"/>
      <c r="H257" s="97" t="s">
        <v>353</v>
      </c>
      <c r="I257" s="90">
        <v>0.49650000000000005</v>
      </c>
      <c r="J257" s="4"/>
      <c r="L257" s="84"/>
      <c r="M257" s="84"/>
      <c r="N257" s="87"/>
      <c r="O257" s="84"/>
      <c r="P257" s="84"/>
      <c r="Q257" s="84"/>
      <c r="R257" s="84"/>
      <c r="S257" s="84"/>
      <c r="T257" s="84"/>
      <c r="U257" s="84"/>
      <c r="V257" s="84"/>
    </row>
    <row r="258" spans="1:31" ht="22.5" customHeight="1" x14ac:dyDescent="0.3">
      <c r="B258" s="102" t="s">
        <v>284</v>
      </c>
      <c r="C258" s="103"/>
      <c r="D258" s="104" t="e">
        <f>'2 блок'!D129*I256+D175*I257</f>
        <v>#REF!</v>
      </c>
      <c r="E258" s="105" t="e">
        <f>+'2 блок'!E129*I256+'3 блок'!E175*I257</f>
        <v>#REF!</v>
      </c>
      <c r="F258" s="111" t="e">
        <f>+E258-D258</f>
        <v>#REF!</v>
      </c>
      <c r="G258" s="113"/>
      <c r="H258" s="75"/>
      <c r="I258" s="16"/>
      <c r="J258" s="4"/>
      <c r="L258" s="84" t="s">
        <v>306</v>
      </c>
      <c r="M258" s="88" t="e">
        <f>(100-ABS(43-G173)*2)/100</f>
        <v>#REF!</v>
      </c>
      <c r="N258" s="89"/>
      <c r="O258" s="88" t="e">
        <f>(100-ABS(#REF!-43)*2)/100</f>
        <v>#REF!</v>
      </c>
      <c r="P258" s="84"/>
      <c r="Q258" s="84"/>
      <c r="R258" s="84"/>
      <c r="S258" s="88" t="e">
        <f>(100-ABS(50-G173)*2)/100</f>
        <v>#REF!</v>
      </c>
      <c r="T258" s="88"/>
      <c r="U258" s="88"/>
      <c r="V258" s="88" t="e">
        <f>(100-ABS(50-#REF!)*2)/100</f>
        <v>#REF!</v>
      </c>
      <c r="AB258" s="12"/>
      <c r="AC258" s="12"/>
      <c r="AD258" s="12"/>
    </row>
    <row r="259" spans="1:31" ht="22.5" customHeight="1" thickBot="1" x14ac:dyDescent="0.35">
      <c r="B259" s="106" t="s">
        <v>287</v>
      </c>
      <c r="C259" s="107"/>
      <c r="D259" s="108" t="e">
        <f>'2 блок'!D130*I256+D176*I257</f>
        <v>#REF!</v>
      </c>
      <c r="E259" s="109" t="e">
        <f>+'2 блок'!E130*I256+'3 блок'!E176*I257</f>
        <v>#REF!</v>
      </c>
      <c r="F259" s="112" t="e">
        <f>+E259-D259</f>
        <v>#REF!</v>
      </c>
      <c r="G259" s="75"/>
      <c r="I259" s="84" t="s">
        <v>307</v>
      </c>
      <c r="J259" s="88" t="e">
        <f>(100-ABS(23-G174))/100</f>
        <v>#REF!</v>
      </c>
      <c r="K259" s="89"/>
      <c r="L259" s="88" t="e">
        <f>(100-ABS(23-#REF!))/100</f>
        <v>#REF!</v>
      </c>
      <c r="M259" s="84"/>
      <c r="N259" s="84"/>
      <c r="O259" s="84"/>
      <c r="P259" s="84"/>
      <c r="Q259" s="84"/>
      <c r="X259" s="12"/>
      <c r="Y259" s="12"/>
    </row>
    <row r="260" spans="1:31" ht="17.25" thickBot="1" x14ac:dyDescent="0.35">
      <c r="A260" s="706" t="s">
        <v>377</v>
      </c>
      <c r="B260" s="75"/>
      <c r="C260" s="75"/>
      <c r="D260" s="75"/>
      <c r="E260" s="75"/>
      <c r="F260" s="75"/>
      <c r="G260" s="75"/>
      <c r="H260" s="84" t="s">
        <v>308</v>
      </c>
      <c r="I260" s="88" t="e">
        <f>(100-ABS(37-G176))/100</f>
        <v>#REF!</v>
      </c>
      <c r="J260" s="89"/>
      <c r="K260" s="88" t="e">
        <f>(100-ABS(#REF!-37))/100</f>
        <v>#REF!</v>
      </c>
      <c r="L260" s="84"/>
      <c r="M260" s="84"/>
      <c r="N260" s="88" t="e">
        <f>(100-ABS(40-G176))/100</f>
        <v>#REF!</v>
      </c>
      <c r="O260" s="88" t="e">
        <f>(100-ABS(40-#REF!))/100</f>
        <v>#REF!</v>
      </c>
    </row>
    <row r="261" spans="1:31" ht="17.25" thickBot="1" x14ac:dyDescent="0.35">
      <c r="B261" s="75"/>
      <c r="C261" s="75"/>
      <c r="D261" s="92" t="s">
        <v>376</v>
      </c>
      <c r="E261" s="92" t="s">
        <v>39</v>
      </c>
      <c r="F261" s="92" t="s">
        <v>44</v>
      </c>
      <c r="G261" s="75"/>
      <c r="I261" s="12"/>
      <c r="J261" s="67"/>
      <c r="K261" s="12"/>
      <c r="N261" s="12"/>
      <c r="O261" s="12"/>
    </row>
    <row r="262" spans="1:31" ht="25.5" customHeight="1" thickBot="1" x14ac:dyDescent="0.35">
      <c r="B262" s="75"/>
      <c r="C262" s="75"/>
      <c r="D262" s="123">
        <f>'2 блок'!D131*I256+D177*I257</f>
        <v>10268.921537599999</v>
      </c>
      <c r="E262" s="124">
        <f>'2 блок'!E131*'3 блок'!I256+'3 блок'!E177*'3 блок'!I257</f>
        <v>10177.838090780613</v>
      </c>
      <c r="F262" s="91">
        <f>+E262-D262</f>
        <v>-91.083446819386154</v>
      </c>
      <c r="G262" s="75"/>
    </row>
    <row r="263" spans="1:31" ht="16.5" x14ac:dyDescent="0.3">
      <c r="B263" s="75"/>
      <c r="C263" s="75"/>
      <c r="D263" s="75"/>
      <c r="E263" s="75"/>
      <c r="F263" s="75"/>
      <c r="G263" s="75"/>
    </row>
    <row r="264" spans="1:31" x14ac:dyDescent="0.25">
      <c r="W264" s="48"/>
      <c r="X264" s="48"/>
      <c r="Y264" s="48"/>
      <c r="Z264" s="48"/>
      <c r="AA264" s="48"/>
      <c r="AB264" s="48"/>
      <c r="AC264" s="48"/>
      <c r="AD264" s="48"/>
      <c r="AE264" s="48"/>
    </row>
  </sheetData>
  <mergeCells count="62">
    <mergeCell ref="U174:U175"/>
    <mergeCell ref="P174:P175"/>
    <mergeCell ref="S174:S175"/>
    <mergeCell ref="L176:S176"/>
    <mergeCell ref="A172:A176"/>
    <mergeCell ref="I174:K175"/>
    <mergeCell ref="M174:M175"/>
    <mergeCell ref="Q174:R174"/>
    <mergeCell ref="A177:B177"/>
    <mergeCell ref="B185:S185"/>
    <mergeCell ref="B187:S187"/>
    <mergeCell ref="B186:S186"/>
    <mergeCell ref="B192:C192"/>
    <mergeCell ref="B188:S188"/>
    <mergeCell ref="B183:Q183"/>
    <mergeCell ref="B189:X189"/>
    <mergeCell ref="J220:M220"/>
    <mergeCell ref="J219:M219"/>
    <mergeCell ref="J209:L210"/>
    <mergeCell ref="J218:P218"/>
    <mergeCell ref="P214:P215"/>
    <mergeCell ref="J212:P212"/>
    <mergeCell ref="P216:P217"/>
    <mergeCell ref="M207:O207"/>
    <mergeCell ref="N179:P179"/>
    <mergeCell ref="G216:G217"/>
    <mergeCell ref="V4:AB4"/>
    <mergeCell ref="O174:O175"/>
    <mergeCell ref="T4:T5"/>
    <mergeCell ref="M206:O206"/>
    <mergeCell ref="M4:N4"/>
    <mergeCell ref="B203:L203"/>
    <mergeCell ref="B206:C208"/>
    <mergeCell ref="D206:F206"/>
    <mergeCell ref="B180:C180"/>
    <mergeCell ref="B214:E215"/>
    <mergeCell ref="B201:L201"/>
    <mergeCell ref="B204:L204"/>
    <mergeCell ref="L174:L175"/>
    <mergeCell ref="E1:I1"/>
    <mergeCell ref="J1:N1"/>
    <mergeCell ref="B2:S2"/>
    <mergeCell ref="I173:K173"/>
    <mergeCell ref="F4:F5"/>
    <mergeCell ref="D4:E4"/>
    <mergeCell ref="B4:B5"/>
    <mergeCell ref="B216:E217"/>
    <mergeCell ref="A4:A5"/>
    <mergeCell ref="A214:A215"/>
    <mergeCell ref="B209:C210"/>
    <mergeCell ref="H214:H217"/>
    <mergeCell ref="G214:G215"/>
    <mergeCell ref="A216:A217"/>
    <mergeCell ref="F214:F215"/>
    <mergeCell ref="A206:A208"/>
    <mergeCell ref="F216:F217"/>
    <mergeCell ref="A212:A213"/>
    <mergeCell ref="H211:N211"/>
    <mergeCell ref="B212:E213"/>
    <mergeCell ref="A209:A210"/>
    <mergeCell ref="J206:L208"/>
    <mergeCell ref="D207:F207"/>
  </mergeCells>
  <phoneticPr fontId="0" type="noConversion"/>
  <printOptions horizontalCentered="1"/>
  <pageMargins left="0" right="0" top="0" bottom="0" header="0.43307086614173229" footer="0.15748031496062992"/>
  <pageSetup paperSize="9" scale="32" orientation="landscape" r:id="rId1"/>
  <headerFooter alignWithMargins="0">
    <oddFooter xml:space="preserve">&amp;R&amp;"Arial Cyr,курсив"&amp;10Лист 2&amp;"Arial Cyr,обычный"&amp;12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D108B-BDE2-4D1C-B68F-49FD0F239F42}">
  <sheetPr codeName="Лист2">
    <pageSetUpPr fitToPage="1"/>
  </sheetPr>
  <dimension ref="A1:AH84"/>
  <sheetViews>
    <sheetView tabSelected="1" zoomScale="70" zoomScaleNormal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E54" sqref="E54"/>
    </sheetView>
  </sheetViews>
  <sheetFormatPr defaultRowHeight="12.75" x14ac:dyDescent="0.2"/>
  <cols>
    <col min="1" max="1" width="42.77734375" style="4" customWidth="1"/>
    <col min="2" max="2" width="14.6640625" style="4" customWidth="1"/>
    <col min="3" max="3" width="9.109375" style="4" customWidth="1"/>
    <col min="4" max="4" width="9.109375" style="4" hidden="1" customWidth="1"/>
    <col min="5" max="5" width="11.88671875" style="4" customWidth="1"/>
    <col min="6" max="6" width="12.88671875" style="4" customWidth="1"/>
    <col min="7" max="7" width="10.5546875" style="4" customWidth="1"/>
    <col min="8" max="8" width="10.5546875" style="4" hidden="1" customWidth="1"/>
    <col min="9" max="9" width="13.21875" style="4" customWidth="1"/>
    <col min="10" max="10" width="9.109375" style="4" customWidth="1"/>
    <col min="11" max="11" width="9.109375" style="4" hidden="1" customWidth="1"/>
    <col min="12" max="12" width="12.5546875" style="4" customWidth="1"/>
    <col min="13" max="14" width="9.109375" style="4" customWidth="1"/>
    <col min="15" max="15" width="9.109375" style="4" hidden="1" customWidth="1"/>
    <col min="16" max="16" width="12.44140625" style="4" customWidth="1"/>
    <col min="17" max="17" width="9.109375" style="4" customWidth="1"/>
    <col min="18" max="18" width="9.109375" style="4" hidden="1" customWidth="1"/>
    <col min="19" max="19" width="12.77734375" style="4" customWidth="1"/>
    <col min="20" max="20" width="9.109375" style="4" customWidth="1"/>
    <col min="21" max="21" width="10.109375" style="4" bestFit="1" customWidth="1"/>
    <col min="22" max="22" width="8.88671875" style="4" hidden="1" customWidth="1"/>
    <col min="23" max="23" width="11.5546875" style="4" customWidth="1"/>
    <col min="24" max="24" width="11.88671875" style="4" bestFit="1" customWidth="1"/>
    <col min="25" max="16384" width="8.88671875" style="4"/>
  </cols>
  <sheetData>
    <row r="1" spans="1:34" ht="22.5" customHeight="1" x14ac:dyDescent="0.2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</row>
    <row r="2" spans="1:34" ht="22.5" customHeight="1" x14ac:dyDescent="0.2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</row>
    <row r="3" spans="1:34" ht="22.5" customHeight="1" x14ac:dyDescent="0.3">
      <c r="A3" s="2413" t="s">
        <v>378</v>
      </c>
      <c r="B3" s="2413"/>
      <c r="C3" s="2413"/>
      <c r="D3" s="2413"/>
      <c r="E3" s="2413"/>
      <c r="F3" s="2413"/>
      <c r="G3" s="2413"/>
      <c r="H3" s="2413"/>
      <c r="I3" s="2413"/>
      <c r="J3" s="2413"/>
      <c r="K3" s="2413"/>
      <c r="L3" s="2413"/>
      <c r="M3" s="2413"/>
      <c r="N3" s="2413"/>
      <c r="O3" s="2413"/>
      <c r="P3" s="2413"/>
      <c r="Q3" s="2413"/>
      <c r="R3" s="2413"/>
      <c r="S3" s="2413"/>
      <c r="T3" s="2413"/>
      <c r="U3" s="55"/>
      <c r="V3" s="55"/>
    </row>
    <row r="4" spans="1:34" s="41" customFormat="1" ht="22.5" customHeight="1" thickBot="1" x14ac:dyDescent="0.25">
      <c r="A4" s="526" t="s">
        <v>379</v>
      </c>
      <c r="B4" s="526"/>
      <c r="C4" s="526"/>
      <c r="D4" s="526"/>
      <c r="E4" s="526"/>
      <c r="F4" s="526"/>
      <c r="G4" s="543"/>
      <c r="H4" s="543"/>
      <c r="I4" s="543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</row>
    <row r="5" spans="1:34" s="41" customFormat="1" ht="26.25" customHeight="1" thickBot="1" x14ac:dyDescent="0.25">
      <c r="A5" s="2246" t="s">
        <v>380</v>
      </c>
      <c r="B5" s="2281" t="s">
        <v>134</v>
      </c>
      <c r="C5" s="2250" t="s">
        <v>17</v>
      </c>
      <c r="D5" s="2340"/>
      <c r="E5" s="2340"/>
      <c r="F5" s="2340"/>
      <c r="G5" s="2340"/>
      <c r="H5" s="2340"/>
      <c r="I5" s="2251"/>
      <c r="J5" s="2250" t="s">
        <v>353</v>
      </c>
      <c r="K5" s="2340"/>
      <c r="L5" s="2340"/>
      <c r="M5" s="2340"/>
      <c r="N5" s="2340"/>
      <c r="O5" s="2340"/>
      <c r="P5" s="2251"/>
      <c r="Q5" s="2250" t="s">
        <v>381</v>
      </c>
      <c r="R5" s="2340"/>
      <c r="S5" s="2340"/>
      <c r="T5" s="2340"/>
      <c r="U5" s="2340"/>
      <c r="V5" s="2340"/>
      <c r="W5" s="2251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</row>
    <row r="6" spans="1:34" s="41" customFormat="1" ht="34.5" customHeight="1" thickBot="1" x14ac:dyDescent="0.25">
      <c r="A6" s="2418"/>
      <c r="B6" s="2417"/>
      <c r="C6" s="564"/>
      <c r="D6" s="546"/>
      <c r="E6" s="1455"/>
      <c r="F6" s="524"/>
      <c r="G6" s="2414" t="s">
        <v>382</v>
      </c>
      <c r="H6" s="2415"/>
      <c r="I6" s="2416"/>
      <c r="J6" s="599"/>
      <c r="K6" s="600"/>
      <c r="L6" s="601"/>
      <c r="M6" s="524"/>
      <c r="N6" s="2414" t="s">
        <v>382</v>
      </c>
      <c r="O6" s="2415"/>
      <c r="P6" s="2416"/>
      <c r="Q6" s="517"/>
      <c r="R6" s="519"/>
      <c r="S6" s="519"/>
      <c r="T6" s="518"/>
      <c r="U6" s="2414" t="s">
        <v>382</v>
      </c>
      <c r="V6" s="2415"/>
      <c r="W6" s="2416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</row>
    <row r="7" spans="1:34" s="41" customFormat="1" ht="18.75" thickBot="1" x14ac:dyDescent="0.25">
      <c r="A7" s="2247"/>
      <c r="B7" s="2282"/>
      <c r="C7" s="565" t="s">
        <v>383</v>
      </c>
      <c r="D7" s="545" t="s">
        <v>85</v>
      </c>
      <c r="E7" s="1456" t="s">
        <v>117</v>
      </c>
      <c r="F7" s="558" t="s">
        <v>39</v>
      </c>
      <c r="G7" s="565" t="s">
        <v>108</v>
      </c>
      <c r="H7" s="553" t="s">
        <v>85</v>
      </c>
      <c r="I7" s="571" t="str">
        <f>E7</f>
        <v>Утв. План</v>
      </c>
      <c r="J7" s="565" t="s">
        <v>133</v>
      </c>
      <c r="K7" s="550" t="s">
        <v>85</v>
      </c>
      <c r="L7" s="1456" t="str">
        <f>E7</f>
        <v>Утв. План</v>
      </c>
      <c r="M7" s="558" t="s">
        <v>39</v>
      </c>
      <c r="N7" s="565" t="s">
        <v>108</v>
      </c>
      <c r="O7" s="614" t="s">
        <v>85</v>
      </c>
      <c r="P7" s="1454" t="str">
        <f>E7</f>
        <v>Утв. План</v>
      </c>
      <c r="Q7" s="565" t="s">
        <v>108</v>
      </c>
      <c r="R7" s="521" t="s">
        <v>85</v>
      </c>
      <c r="S7" s="622" t="str">
        <f>E7</f>
        <v>Утв. План</v>
      </c>
      <c r="T7" s="559" t="s">
        <v>39</v>
      </c>
      <c r="U7" s="565" t="s">
        <v>108</v>
      </c>
      <c r="V7" s="545" t="s">
        <v>85</v>
      </c>
      <c r="W7" s="1456" t="str">
        <f>E7</f>
        <v>Утв. План</v>
      </c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</row>
    <row r="8" spans="1:34" s="138" customFormat="1" ht="18.75" customHeight="1" x14ac:dyDescent="0.25">
      <c r="A8" s="390" t="s">
        <v>384</v>
      </c>
      <c r="B8" s="483"/>
      <c r="C8" s="566"/>
      <c r="D8" s="547"/>
      <c r="E8" s="1457"/>
      <c r="F8" s="759"/>
      <c r="G8" s="595">
        <f>+F8-C8</f>
        <v>0</v>
      </c>
      <c r="H8" s="582"/>
      <c r="I8" s="583">
        <f>F8-E8</f>
        <v>0</v>
      </c>
      <c r="J8" s="602"/>
      <c r="K8" s="603"/>
      <c r="L8" s="604"/>
      <c r="M8" s="759"/>
      <c r="N8" s="615">
        <f>+M8-J8</f>
        <v>0</v>
      </c>
      <c r="O8" s="616"/>
      <c r="P8" s="617">
        <f>M8-L8</f>
        <v>0</v>
      </c>
      <c r="Q8" s="625">
        <f t="shared" ref="Q8:Q50" si="0">C8*$B$60+J8*$B$61</f>
        <v>0</v>
      </c>
      <c r="R8" s="539"/>
      <c r="S8" s="627">
        <f t="shared" ref="S8:T13" si="1">E8*$B$60+L8*$B$61</f>
        <v>0</v>
      </c>
      <c r="T8" s="759">
        <f t="shared" si="1"/>
        <v>0</v>
      </c>
      <c r="U8" s="630">
        <f>+T8-Q8</f>
        <v>0</v>
      </c>
      <c r="V8" s="631">
        <f>+T8-R8</f>
        <v>0</v>
      </c>
      <c r="W8" s="632">
        <f>T8-S8</f>
        <v>0</v>
      </c>
    </row>
    <row r="9" spans="1:34" s="48" customFormat="1" ht="21" customHeight="1" x14ac:dyDescent="0.2">
      <c r="A9" s="390" t="s">
        <v>90</v>
      </c>
      <c r="B9" s="483"/>
      <c r="C9" s="590"/>
      <c r="D9" s="588"/>
      <c r="E9" s="1458">
        <v>0</v>
      </c>
      <c r="F9" s="760"/>
      <c r="G9" s="595">
        <f>+F9-C9</f>
        <v>0</v>
      </c>
      <c r="H9" s="582"/>
      <c r="I9" s="583">
        <f>F9-E9</f>
        <v>0</v>
      </c>
      <c r="J9" s="605"/>
      <c r="K9" s="606"/>
      <c r="L9" s="607">
        <v>0</v>
      </c>
      <c r="M9" s="760"/>
      <c r="N9" s="615">
        <f>+M9-J9</f>
        <v>0</v>
      </c>
      <c r="O9" s="616"/>
      <c r="P9" s="617">
        <f>M9-L9</f>
        <v>0</v>
      </c>
      <c r="Q9" s="625">
        <f t="shared" si="0"/>
        <v>0</v>
      </c>
      <c r="R9" s="626"/>
      <c r="S9" s="627">
        <f t="shared" si="1"/>
        <v>0</v>
      </c>
      <c r="T9" s="760">
        <f t="shared" si="1"/>
        <v>0</v>
      </c>
      <c r="U9" s="630">
        <f>+T9-Q9</f>
        <v>0</v>
      </c>
      <c r="V9" s="631">
        <f>+T9-R9</f>
        <v>0</v>
      </c>
      <c r="W9" s="632">
        <f>T9-S9</f>
        <v>0</v>
      </c>
    </row>
    <row r="10" spans="1:34" s="129" customFormat="1" ht="21" customHeight="1" x14ac:dyDescent="0.2">
      <c r="A10" s="390" t="s">
        <v>61</v>
      </c>
      <c r="B10" s="1461">
        <v>9763.8643200000006</v>
      </c>
      <c r="C10" s="590">
        <v>14.05254</v>
      </c>
      <c r="D10" s="588"/>
      <c r="E10" s="1458">
        <f>'2 блок'!D20</f>
        <v>10</v>
      </c>
      <c r="F10" s="760">
        <f>'2 блок'!E20</f>
        <v>11.183673469387756</v>
      </c>
      <c r="G10" s="595">
        <f>+F10-C10</f>
        <v>-0.79632653061224445</v>
      </c>
      <c r="H10" s="582"/>
      <c r="I10" s="583">
        <f t="shared" ref="I10:I50" si="2">F10-E10</f>
        <v>1.183673469387756</v>
      </c>
      <c r="J10" s="605">
        <v>36.304349999999999</v>
      </c>
      <c r="K10" s="606"/>
      <c r="L10" s="607">
        <f>'3 блок'!D21</f>
        <v>36</v>
      </c>
      <c r="M10" s="760">
        <f>'3 блок'!E21</f>
        <v>38.530612244897959</v>
      </c>
      <c r="N10" s="615">
        <f t="shared" ref="N10:N50" si="3">+M10-J10</f>
        <v>7.58061224489796</v>
      </c>
      <c r="O10" s="616"/>
      <c r="P10" s="617">
        <f t="shared" ref="P10:P50" si="4">M10-L10</f>
        <v>2.5306122448979593</v>
      </c>
      <c r="Q10" s="625">
        <f t="shared" si="0"/>
        <v>21.398605</v>
      </c>
      <c r="R10" s="626"/>
      <c r="S10" s="627">
        <f t="shared" si="1"/>
        <v>22.909000000000002</v>
      </c>
      <c r="T10" s="760">
        <f t="shared" si="1"/>
        <v>24.761428571428574</v>
      </c>
      <c r="U10" s="633">
        <f t="shared" ref="U10:U50" si="5">+T10-Q10</f>
        <v>3.3628235714285744</v>
      </c>
      <c r="V10" s="631">
        <f t="shared" ref="V10:V50" si="6">+T10-R10</f>
        <v>24.761428571428574</v>
      </c>
      <c r="W10" s="632">
        <f t="shared" ref="W10:W50" si="7">T10-S10</f>
        <v>1.8524285714285718</v>
      </c>
    </row>
    <row r="11" spans="1:34" s="63" customFormat="1" ht="21.75" hidden="1" customHeight="1" x14ac:dyDescent="0.2">
      <c r="A11" s="388" t="s">
        <v>53</v>
      </c>
      <c r="B11" s="482">
        <v>16279.5978</v>
      </c>
      <c r="C11" s="590"/>
      <c r="D11" s="588"/>
      <c r="E11" s="1458"/>
      <c r="F11" s="760"/>
      <c r="G11" s="595">
        <f t="shared" ref="G11:G50" si="8">+F11-C11</f>
        <v>0</v>
      </c>
      <c r="H11" s="582"/>
      <c r="I11" s="583">
        <f t="shared" si="2"/>
        <v>0</v>
      </c>
      <c r="J11" s="605"/>
      <c r="K11" s="606"/>
      <c r="L11" s="607"/>
      <c r="M11" s="760"/>
      <c r="N11" s="615">
        <f t="shared" si="3"/>
        <v>0</v>
      </c>
      <c r="O11" s="616"/>
      <c r="P11" s="617">
        <f t="shared" si="4"/>
        <v>0</v>
      </c>
      <c r="Q11" s="625">
        <f t="shared" si="0"/>
        <v>0</v>
      </c>
      <c r="R11" s="626"/>
      <c r="S11" s="627">
        <f t="shared" si="1"/>
        <v>0</v>
      </c>
      <c r="T11" s="760">
        <f t="shared" si="1"/>
        <v>0</v>
      </c>
      <c r="U11" s="630">
        <f t="shared" si="5"/>
        <v>0</v>
      </c>
      <c r="V11" s="631">
        <f t="shared" si="6"/>
        <v>0</v>
      </c>
      <c r="W11" s="632">
        <f t="shared" si="7"/>
        <v>0</v>
      </c>
    </row>
    <row r="12" spans="1:34" s="129" customFormat="1" ht="21" hidden="1" customHeight="1" x14ac:dyDescent="0.2">
      <c r="A12" s="388" t="s">
        <v>49</v>
      </c>
      <c r="B12" s="482">
        <v>16763.460299999999</v>
      </c>
      <c r="C12" s="590"/>
      <c r="D12" s="588"/>
      <c r="E12" s="1458"/>
      <c r="F12" s="760"/>
      <c r="G12" s="595">
        <f t="shared" si="8"/>
        <v>0</v>
      </c>
      <c r="H12" s="582"/>
      <c r="I12" s="583">
        <f t="shared" si="2"/>
        <v>0</v>
      </c>
      <c r="J12" s="605"/>
      <c r="K12" s="606"/>
      <c r="L12" s="607"/>
      <c r="M12" s="760"/>
      <c r="N12" s="615">
        <f t="shared" si="3"/>
        <v>0</v>
      </c>
      <c r="O12" s="616"/>
      <c r="P12" s="617">
        <f t="shared" si="4"/>
        <v>0</v>
      </c>
      <c r="Q12" s="625">
        <f t="shared" si="0"/>
        <v>0</v>
      </c>
      <c r="R12" s="626"/>
      <c r="S12" s="627">
        <f t="shared" si="1"/>
        <v>0</v>
      </c>
      <c r="T12" s="760">
        <f t="shared" si="1"/>
        <v>0</v>
      </c>
      <c r="U12" s="630">
        <f t="shared" si="5"/>
        <v>0</v>
      </c>
      <c r="V12" s="631">
        <f t="shared" si="6"/>
        <v>0</v>
      </c>
      <c r="W12" s="632">
        <f t="shared" si="7"/>
        <v>0</v>
      </c>
    </row>
    <row r="13" spans="1:34" s="165" customFormat="1" ht="21" hidden="1" customHeight="1" x14ac:dyDescent="0.2">
      <c r="A13" s="388" t="s">
        <v>77</v>
      </c>
      <c r="B13" s="482">
        <v>16763.460299999999</v>
      </c>
      <c r="C13" s="590"/>
      <c r="D13" s="588"/>
      <c r="E13" s="1458"/>
      <c r="F13" s="760"/>
      <c r="G13" s="595">
        <f t="shared" si="8"/>
        <v>0</v>
      </c>
      <c r="H13" s="582"/>
      <c r="I13" s="583">
        <f t="shared" si="2"/>
        <v>0</v>
      </c>
      <c r="J13" s="605"/>
      <c r="K13" s="606"/>
      <c r="L13" s="607"/>
      <c r="M13" s="760"/>
      <c r="N13" s="615">
        <f t="shared" si="3"/>
        <v>0</v>
      </c>
      <c r="O13" s="616"/>
      <c r="P13" s="617">
        <f t="shared" si="4"/>
        <v>0</v>
      </c>
      <c r="Q13" s="625">
        <f t="shared" si="0"/>
        <v>0</v>
      </c>
      <c r="R13" s="626"/>
      <c r="S13" s="627">
        <f t="shared" si="1"/>
        <v>0</v>
      </c>
      <c r="T13" s="760">
        <f t="shared" si="1"/>
        <v>0</v>
      </c>
      <c r="U13" s="630">
        <f t="shared" si="5"/>
        <v>0</v>
      </c>
      <c r="V13" s="631">
        <f t="shared" si="6"/>
        <v>0</v>
      </c>
      <c r="W13" s="632">
        <f t="shared" si="7"/>
        <v>0</v>
      </c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</row>
    <row r="14" spans="1:34" s="165" customFormat="1" ht="21" hidden="1" customHeight="1" x14ac:dyDescent="0.2">
      <c r="A14" s="522" t="s">
        <v>385</v>
      </c>
      <c r="B14" s="482"/>
      <c r="C14" s="590"/>
      <c r="D14" s="588"/>
      <c r="E14" s="1458"/>
      <c r="F14" s="760"/>
      <c r="G14" s="595">
        <f t="shared" si="8"/>
        <v>0</v>
      </c>
      <c r="H14" s="582"/>
      <c r="I14" s="583">
        <f t="shared" si="2"/>
        <v>0</v>
      </c>
      <c r="J14" s="605"/>
      <c r="K14" s="608"/>
      <c r="L14" s="607"/>
      <c r="M14" s="760"/>
      <c r="N14" s="615">
        <f t="shared" si="3"/>
        <v>0</v>
      </c>
      <c r="O14" s="616"/>
      <c r="P14" s="617">
        <f t="shared" si="4"/>
        <v>0</v>
      </c>
      <c r="Q14" s="625">
        <f t="shared" si="0"/>
        <v>0</v>
      </c>
      <c r="R14" s="626"/>
      <c r="S14" s="627"/>
      <c r="T14" s="760"/>
      <c r="U14" s="630">
        <f t="shared" si="5"/>
        <v>0</v>
      </c>
      <c r="V14" s="631">
        <f t="shared" si="6"/>
        <v>0</v>
      </c>
      <c r="W14" s="632">
        <f t="shared" si="7"/>
        <v>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1:34" s="165" customFormat="1" ht="21" hidden="1" customHeight="1" x14ac:dyDescent="0.2">
      <c r="A15" s="522" t="s">
        <v>386</v>
      </c>
      <c r="B15" s="523"/>
      <c r="C15" s="590"/>
      <c r="D15" s="588"/>
      <c r="E15" s="1458"/>
      <c r="F15" s="760"/>
      <c r="G15" s="595">
        <f t="shared" si="8"/>
        <v>0</v>
      </c>
      <c r="H15" s="584"/>
      <c r="I15" s="583">
        <f t="shared" si="2"/>
        <v>0</v>
      </c>
      <c r="J15" s="605"/>
      <c r="K15" s="608"/>
      <c r="L15" s="607"/>
      <c r="M15" s="760"/>
      <c r="N15" s="615">
        <f t="shared" si="3"/>
        <v>0</v>
      </c>
      <c r="O15" s="618"/>
      <c r="P15" s="617">
        <f t="shared" si="4"/>
        <v>0</v>
      </c>
      <c r="Q15" s="625">
        <f t="shared" si="0"/>
        <v>0</v>
      </c>
      <c r="R15" s="626"/>
      <c r="S15" s="627"/>
      <c r="T15" s="760"/>
      <c r="U15" s="630">
        <f t="shared" si="5"/>
        <v>0</v>
      </c>
      <c r="V15" s="631">
        <f t="shared" si="6"/>
        <v>0</v>
      </c>
      <c r="W15" s="632">
        <f t="shared" si="7"/>
        <v>0</v>
      </c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</row>
    <row r="16" spans="1:34" s="132" customFormat="1" ht="21" customHeight="1" x14ac:dyDescent="0.2">
      <c r="A16" s="388" t="s">
        <v>387</v>
      </c>
      <c r="B16" s="482"/>
      <c r="C16" s="590"/>
      <c r="D16" s="588"/>
      <c r="E16" s="1458">
        <v>0</v>
      </c>
      <c r="F16" s="760"/>
      <c r="G16" s="595">
        <f t="shared" si="8"/>
        <v>0</v>
      </c>
      <c r="H16" s="582"/>
      <c r="I16" s="583">
        <f t="shared" si="2"/>
        <v>0</v>
      </c>
      <c r="J16" s="605"/>
      <c r="K16" s="606"/>
      <c r="L16" s="607">
        <v>0</v>
      </c>
      <c r="M16" s="760"/>
      <c r="N16" s="615">
        <f t="shared" si="3"/>
        <v>0</v>
      </c>
      <c r="O16" s="616"/>
      <c r="P16" s="617">
        <f t="shared" si="4"/>
        <v>0</v>
      </c>
      <c r="Q16" s="625">
        <f t="shared" si="0"/>
        <v>0</v>
      </c>
      <c r="R16" s="626"/>
      <c r="S16" s="627">
        <f t="shared" ref="S16:T19" si="9">E16*$B$60+L16*$B$61</f>
        <v>0</v>
      </c>
      <c r="T16" s="760">
        <f t="shared" si="9"/>
        <v>0</v>
      </c>
      <c r="U16" s="630">
        <f t="shared" si="5"/>
        <v>0</v>
      </c>
      <c r="V16" s="631">
        <f t="shared" si="6"/>
        <v>0</v>
      </c>
      <c r="W16" s="632">
        <f t="shared" si="7"/>
        <v>0</v>
      </c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</row>
    <row r="17" spans="1:34" s="165" customFormat="1" ht="21" customHeight="1" x14ac:dyDescent="0.2">
      <c r="A17" s="388" t="s">
        <v>388</v>
      </c>
      <c r="B17" s="482">
        <v>14261.8032</v>
      </c>
      <c r="C17" s="590">
        <f>16.89+0.25</f>
        <v>17.14</v>
      </c>
      <c r="D17" s="588"/>
      <c r="E17" s="1458">
        <f>'2 блок'!D39+'2 блок'!D44+'2 блок'!D47</f>
        <v>19</v>
      </c>
      <c r="F17" s="760">
        <f>'2 блок'!E39+'2 блок'!E44+'2 блок'!E47</f>
        <v>19.530612244897959</v>
      </c>
      <c r="G17" s="595">
        <f t="shared" si="8"/>
        <v>2.3906122448979588</v>
      </c>
      <c r="H17" s="582"/>
      <c r="I17" s="583">
        <f>F17-E17</f>
        <v>0.53061224489795933</v>
      </c>
      <c r="J17" s="605">
        <f>7.48+0.08</f>
        <v>7.5600000000000005</v>
      </c>
      <c r="K17" s="606"/>
      <c r="L17" s="607">
        <f>'3 блок'!D51+'3 блок'!D55+'3 блок'!D48</f>
        <v>3</v>
      </c>
      <c r="M17" s="760">
        <f>'3 блок'!E48+'3 блок'!E51+'3 блок'!E55</f>
        <v>0.81632653061224492</v>
      </c>
      <c r="N17" s="615">
        <f t="shared" si="3"/>
        <v>-6.7436734693877556</v>
      </c>
      <c r="O17" s="616"/>
      <c r="P17" s="617">
        <f t="shared" si="4"/>
        <v>-2.1836734693877551</v>
      </c>
      <c r="Q17" s="625">
        <f t="shared" si="0"/>
        <v>12.38353</v>
      </c>
      <c r="R17" s="626"/>
      <c r="S17" s="627">
        <f t="shared" si="9"/>
        <v>11.055999999999999</v>
      </c>
      <c r="T17" s="760">
        <f t="shared" si="9"/>
        <v>10.238969387755102</v>
      </c>
      <c r="U17" s="630">
        <f t="shared" si="5"/>
        <v>-2.1445606122448986</v>
      </c>
      <c r="V17" s="631">
        <f t="shared" si="6"/>
        <v>10.238969387755102</v>
      </c>
      <c r="W17" s="632">
        <f t="shared" si="7"/>
        <v>-0.81703061224489737</v>
      </c>
      <c r="X17" s="764"/>
      <c r="Y17" s="63"/>
      <c r="Z17" s="63"/>
      <c r="AA17" s="63"/>
      <c r="AB17" s="63"/>
      <c r="AC17" s="63"/>
      <c r="AD17" s="63"/>
      <c r="AE17" s="63"/>
      <c r="AF17" s="63"/>
      <c r="AG17" s="63"/>
      <c r="AH17" s="63"/>
    </row>
    <row r="18" spans="1:34" s="165" customFormat="1" ht="21" hidden="1" customHeight="1" x14ac:dyDescent="0.2">
      <c r="A18" s="388"/>
      <c r="B18" s="482">
        <v>13945.843919999999</v>
      </c>
      <c r="C18" s="590"/>
      <c r="D18" s="588"/>
      <c r="E18" s="1458"/>
      <c r="F18" s="760"/>
      <c r="G18" s="595">
        <f t="shared" si="8"/>
        <v>0</v>
      </c>
      <c r="H18" s="584"/>
      <c r="I18" s="583">
        <f t="shared" si="2"/>
        <v>0</v>
      </c>
      <c r="J18" s="605"/>
      <c r="K18" s="608"/>
      <c r="L18" s="607"/>
      <c r="M18" s="760"/>
      <c r="N18" s="615">
        <f t="shared" si="3"/>
        <v>0</v>
      </c>
      <c r="O18" s="618"/>
      <c r="P18" s="617">
        <f t="shared" si="4"/>
        <v>0</v>
      </c>
      <c r="Q18" s="625">
        <f t="shared" si="0"/>
        <v>0</v>
      </c>
      <c r="R18" s="626"/>
      <c r="S18" s="627">
        <f t="shared" si="9"/>
        <v>0</v>
      </c>
      <c r="T18" s="760">
        <f t="shared" si="9"/>
        <v>0</v>
      </c>
      <c r="U18" s="630">
        <f t="shared" si="5"/>
        <v>0</v>
      </c>
      <c r="V18" s="631">
        <f t="shared" si="6"/>
        <v>0</v>
      </c>
      <c r="W18" s="632">
        <f t="shared" si="7"/>
        <v>0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</row>
    <row r="19" spans="1:34" s="165" customFormat="1" ht="21.75" hidden="1" customHeight="1" x14ac:dyDescent="0.2">
      <c r="A19" s="540"/>
      <c r="B19" s="482">
        <v>16311.737999999999</v>
      </c>
      <c r="C19" s="590"/>
      <c r="D19" s="588"/>
      <c r="E19" s="1458"/>
      <c r="F19" s="760"/>
      <c r="G19" s="595">
        <f t="shared" si="8"/>
        <v>0</v>
      </c>
      <c r="H19" s="582"/>
      <c r="I19" s="583">
        <f t="shared" si="2"/>
        <v>0</v>
      </c>
      <c r="J19" s="605"/>
      <c r="K19" s="606"/>
      <c r="L19" s="607"/>
      <c r="M19" s="760"/>
      <c r="N19" s="615">
        <f t="shared" si="3"/>
        <v>0</v>
      </c>
      <c r="O19" s="616"/>
      <c r="P19" s="617">
        <f t="shared" si="4"/>
        <v>0</v>
      </c>
      <c r="Q19" s="625">
        <f t="shared" si="0"/>
        <v>0</v>
      </c>
      <c r="R19" s="626"/>
      <c r="S19" s="627">
        <f t="shared" si="9"/>
        <v>0</v>
      </c>
      <c r="T19" s="760">
        <f t="shared" si="9"/>
        <v>0</v>
      </c>
      <c r="U19" s="630">
        <f t="shared" si="5"/>
        <v>0</v>
      </c>
      <c r="V19" s="631">
        <f t="shared" si="6"/>
        <v>0</v>
      </c>
      <c r="W19" s="632">
        <f t="shared" si="7"/>
        <v>0</v>
      </c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</row>
    <row r="20" spans="1:34" s="165" customFormat="1" ht="21.75" hidden="1" customHeight="1" x14ac:dyDescent="0.2">
      <c r="A20" s="541" t="s">
        <v>199</v>
      </c>
      <c r="B20" s="542">
        <v>16311.737999999999</v>
      </c>
      <c r="C20" s="590"/>
      <c r="D20" s="588"/>
      <c r="E20" s="1458"/>
      <c r="F20" s="760"/>
      <c r="G20" s="595">
        <f t="shared" si="8"/>
        <v>0</v>
      </c>
      <c r="H20" s="582"/>
      <c r="I20" s="583">
        <f t="shared" si="2"/>
        <v>0</v>
      </c>
      <c r="J20" s="605"/>
      <c r="K20" s="606"/>
      <c r="L20" s="607"/>
      <c r="M20" s="760"/>
      <c r="N20" s="615">
        <f t="shared" si="3"/>
        <v>0</v>
      </c>
      <c r="O20" s="616"/>
      <c r="P20" s="617">
        <f t="shared" si="4"/>
        <v>0</v>
      </c>
      <c r="Q20" s="625">
        <f t="shared" si="0"/>
        <v>0</v>
      </c>
      <c r="R20" s="626"/>
      <c r="S20" s="627"/>
      <c r="T20" s="760"/>
      <c r="U20" s="630">
        <f t="shared" si="5"/>
        <v>0</v>
      </c>
      <c r="V20" s="631">
        <f t="shared" si="6"/>
        <v>0</v>
      </c>
      <c r="W20" s="632">
        <f t="shared" si="7"/>
        <v>0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</row>
    <row r="21" spans="1:34" s="165" customFormat="1" ht="21" customHeight="1" x14ac:dyDescent="0.2">
      <c r="A21" s="541" t="s">
        <v>201</v>
      </c>
      <c r="B21" s="482">
        <v>13088.8032</v>
      </c>
      <c r="C21" s="590"/>
      <c r="D21" s="588"/>
      <c r="E21" s="1458">
        <v>0</v>
      </c>
      <c r="F21" s="760"/>
      <c r="G21" s="595">
        <f t="shared" si="8"/>
        <v>0</v>
      </c>
      <c r="H21" s="582"/>
      <c r="I21" s="583">
        <f t="shared" si="2"/>
        <v>0</v>
      </c>
      <c r="J21" s="605"/>
      <c r="K21" s="606"/>
      <c r="L21" s="607">
        <v>0</v>
      </c>
      <c r="M21" s="760"/>
      <c r="N21" s="615">
        <f t="shared" si="3"/>
        <v>0</v>
      </c>
      <c r="O21" s="616"/>
      <c r="P21" s="617">
        <f t="shared" si="4"/>
        <v>0</v>
      </c>
      <c r="Q21" s="625">
        <f t="shared" si="0"/>
        <v>0</v>
      </c>
      <c r="R21" s="626"/>
      <c r="S21" s="627">
        <f>E21*$B$60+L21*$B$61</f>
        <v>0</v>
      </c>
      <c r="T21" s="760">
        <f>F21*$B$60+M21*$B$61</f>
        <v>0</v>
      </c>
      <c r="U21" s="630">
        <f t="shared" si="5"/>
        <v>0</v>
      </c>
      <c r="V21" s="631">
        <f t="shared" si="6"/>
        <v>0</v>
      </c>
      <c r="W21" s="632">
        <f t="shared" si="7"/>
        <v>0</v>
      </c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</row>
    <row r="22" spans="1:34" s="165" customFormat="1" ht="21" hidden="1" customHeight="1" x14ac:dyDescent="0.2">
      <c r="A22" s="390" t="s">
        <v>204</v>
      </c>
      <c r="B22" s="483">
        <v>16196.03328</v>
      </c>
      <c r="C22" s="590"/>
      <c r="D22" s="588"/>
      <c r="E22" s="1458"/>
      <c r="F22" s="760"/>
      <c r="G22" s="595">
        <f t="shared" si="8"/>
        <v>0</v>
      </c>
      <c r="H22" s="582"/>
      <c r="I22" s="583">
        <f t="shared" si="2"/>
        <v>0</v>
      </c>
      <c r="J22" s="605"/>
      <c r="K22" s="606"/>
      <c r="L22" s="607"/>
      <c r="M22" s="760"/>
      <c r="N22" s="615">
        <f t="shared" si="3"/>
        <v>0</v>
      </c>
      <c r="O22" s="616"/>
      <c r="P22" s="617">
        <f t="shared" si="4"/>
        <v>0</v>
      </c>
      <c r="Q22" s="625">
        <f t="shared" si="0"/>
        <v>0</v>
      </c>
      <c r="R22" s="626"/>
      <c r="S22" s="627">
        <f t="shared" ref="S22:S47" si="10">E22*$B$60+L22*$B$61</f>
        <v>0</v>
      </c>
      <c r="T22" s="760">
        <f t="shared" ref="T22:T47" si="11">F22*$B$60+M22*$B$61</f>
        <v>0</v>
      </c>
      <c r="U22" s="630">
        <f t="shared" si="5"/>
        <v>0</v>
      </c>
      <c r="V22" s="631">
        <f t="shared" si="6"/>
        <v>0</v>
      </c>
      <c r="W22" s="632">
        <f t="shared" si="7"/>
        <v>0</v>
      </c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</row>
    <row r="23" spans="1:34" s="132" customFormat="1" ht="21" customHeight="1" x14ac:dyDescent="0.2">
      <c r="A23" s="390" t="s">
        <v>389</v>
      </c>
      <c r="B23" s="483"/>
      <c r="C23" s="590"/>
      <c r="D23" s="588"/>
      <c r="E23" s="1458">
        <v>0</v>
      </c>
      <c r="F23" s="760"/>
      <c r="G23" s="595">
        <f t="shared" si="8"/>
        <v>0</v>
      </c>
      <c r="H23" s="582"/>
      <c r="I23" s="583">
        <f t="shared" si="2"/>
        <v>0</v>
      </c>
      <c r="J23" s="605"/>
      <c r="K23" s="606"/>
      <c r="L23" s="607">
        <f>'3 блок'!D76</f>
        <v>0</v>
      </c>
      <c r="M23" s="760"/>
      <c r="N23" s="615">
        <f t="shared" si="3"/>
        <v>0</v>
      </c>
      <c r="O23" s="616"/>
      <c r="P23" s="639">
        <f t="shared" si="4"/>
        <v>0</v>
      </c>
      <c r="Q23" s="625">
        <f t="shared" si="0"/>
        <v>0</v>
      </c>
      <c r="R23" s="626"/>
      <c r="S23" s="627">
        <f t="shared" si="10"/>
        <v>0</v>
      </c>
      <c r="T23" s="760">
        <f t="shared" si="11"/>
        <v>0</v>
      </c>
      <c r="U23" s="630">
        <f t="shared" si="5"/>
        <v>0</v>
      </c>
      <c r="V23" s="631">
        <f t="shared" si="6"/>
        <v>0</v>
      </c>
      <c r="W23" s="632">
        <f t="shared" si="7"/>
        <v>0</v>
      </c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</row>
    <row r="24" spans="1:34" s="132" customFormat="1" ht="21" hidden="1" customHeight="1" x14ac:dyDescent="0.2">
      <c r="A24" s="390" t="s">
        <v>390</v>
      </c>
      <c r="B24" s="483"/>
      <c r="C24" s="590"/>
      <c r="D24" s="588"/>
      <c r="E24" s="1458"/>
      <c r="F24" s="760"/>
      <c r="G24" s="595">
        <f t="shared" si="8"/>
        <v>0</v>
      </c>
      <c r="H24" s="582"/>
      <c r="I24" s="583">
        <f t="shared" si="2"/>
        <v>0</v>
      </c>
      <c r="J24" s="605"/>
      <c r="K24" s="606"/>
      <c r="L24" s="607"/>
      <c r="M24" s="760"/>
      <c r="N24" s="615">
        <f t="shared" si="3"/>
        <v>0</v>
      </c>
      <c r="O24" s="616"/>
      <c r="P24" s="617">
        <f t="shared" si="4"/>
        <v>0</v>
      </c>
      <c r="Q24" s="625">
        <f t="shared" si="0"/>
        <v>0</v>
      </c>
      <c r="R24" s="626"/>
      <c r="S24" s="627">
        <f t="shared" si="10"/>
        <v>0</v>
      </c>
      <c r="T24" s="760">
        <f t="shared" si="11"/>
        <v>0</v>
      </c>
      <c r="U24" s="630">
        <f t="shared" si="5"/>
        <v>0</v>
      </c>
      <c r="V24" s="631">
        <f t="shared" si="6"/>
        <v>0</v>
      </c>
      <c r="W24" s="632">
        <f t="shared" si="7"/>
        <v>0</v>
      </c>
      <c r="X24" s="129"/>
      <c r="Y24" s="129"/>
      <c r="Z24" s="129"/>
      <c r="AA24" s="129"/>
      <c r="AB24" s="129"/>
      <c r="AC24" s="129"/>
      <c r="AD24" s="129"/>
      <c r="AE24" s="129"/>
      <c r="AF24" s="129"/>
      <c r="AG24" s="129"/>
      <c r="AH24" s="129"/>
    </row>
    <row r="25" spans="1:34" s="165" customFormat="1" ht="21" hidden="1" customHeight="1" x14ac:dyDescent="0.2">
      <c r="A25" s="389" t="s">
        <v>391</v>
      </c>
      <c r="B25" s="482"/>
      <c r="C25" s="590"/>
      <c r="D25" s="588"/>
      <c r="E25" s="1458"/>
      <c r="F25" s="760"/>
      <c r="G25" s="595">
        <f t="shared" si="8"/>
        <v>0</v>
      </c>
      <c r="H25" s="584"/>
      <c r="I25" s="583">
        <f t="shared" si="2"/>
        <v>0</v>
      </c>
      <c r="J25" s="605"/>
      <c r="K25" s="608"/>
      <c r="L25" s="607"/>
      <c r="M25" s="760"/>
      <c r="N25" s="615">
        <f t="shared" si="3"/>
        <v>0</v>
      </c>
      <c r="O25" s="618"/>
      <c r="P25" s="617">
        <f t="shared" si="4"/>
        <v>0</v>
      </c>
      <c r="Q25" s="625">
        <f t="shared" si="0"/>
        <v>0</v>
      </c>
      <c r="R25" s="626"/>
      <c r="S25" s="627">
        <f t="shared" si="10"/>
        <v>0</v>
      </c>
      <c r="T25" s="760">
        <f t="shared" si="11"/>
        <v>0</v>
      </c>
      <c r="U25" s="630">
        <f t="shared" si="5"/>
        <v>0</v>
      </c>
      <c r="V25" s="631">
        <f t="shared" si="6"/>
        <v>0</v>
      </c>
      <c r="W25" s="632">
        <f t="shared" si="7"/>
        <v>0</v>
      </c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</row>
    <row r="26" spans="1:34" s="132" customFormat="1" ht="21" hidden="1" customHeight="1" x14ac:dyDescent="0.2">
      <c r="A26" s="389" t="s">
        <v>392</v>
      </c>
      <c r="B26" s="482"/>
      <c r="C26" s="590"/>
      <c r="D26" s="588"/>
      <c r="E26" s="1458"/>
      <c r="F26" s="760"/>
      <c r="G26" s="595">
        <f t="shared" si="8"/>
        <v>0</v>
      </c>
      <c r="H26" s="582"/>
      <c r="I26" s="583">
        <f t="shared" si="2"/>
        <v>0</v>
      </c>
      <c r="J26" s="605"/>
      <c r="K26" s="606"/>
      <c r="L26" s="607"/>
      <c r="M26" s="760"/>
      <c r="N26" s="615">
        <f t="shared" si="3"/>
        <v>0</v>
      </c>
      <c r="O26" s="616"/>
      <c r="P26" s="617">
        <f t="shared" si="4"/>
        <v>0</v>
      </c>
      <c r="Q26" s="625">
        <f t="shared" si="0"/>
        <v>0</v>
      </c>
      <c r="R26" s="626"/>
      <c r="S26" s="627">
        <f t="shared" si="10"/>
        <v>0</v>
      </c>
      <c r="T26" s="760">
        <f t="shared" si="11"/>
        <v>0</v>
      </c>
      <c r="U26" s="630">
        <f t="shared" si="5"/>
        <v>0</v>
      </c>
      <c r="V26" s="631">
        <f t="shared" si="6"/>
        <v>0</v>
      </c>
      <c r="W26" s="632">
        <f t="shared" si="7"/>
        <v>0</v>
      </c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</row>
    <row r="27" spans="1:34" s="132" customFormat="1" ht="21" customHeight="1" x14ac:dyDescent="0.2">
      <c r="A27" s="390" t="s">
        <v>210</v>
      </c>
      <c r="B27" s="483">
        <v>13632.066419999999</v>
      </c>
      <c r="C27" s="590"/>
      <c r="D27" s="588"/>
      <c r="E27" s="1458">
        <f>'2 блок'!D58</f>
        <v>0</v>
      </c>
      <c r="F27" s="760"/>
      <c r="G27" s="595">
        <f t="shared" si="8"/>
        <v>0</v>
      </c>
      <c r="H27" s="582"/>
      <c r="I27" s="583">
        <f t="shared" si="2"/>
        <v>0</v>
      </c>
      <c r="J27" s="605"/>
      <c r="K27" s="606"/>
      <c r="L27" s="607"/>
      <c r="M27" s="760"/>
      <c r="N27" s="615">
        <f t="shared" si="3"/>
        <v>0</v>
      </c>
      <c r="O27" s="616"/>
      <c r="P27" s="617">
        <f t="shared" si="4"/>
        <v>0</v>
      </c>
      <c r="Q27" s="625">
        <f t="shared" si="0"/>
        <v>0</v>
      </c>
      <c r="R27" s="626"/>
      <c r="S27" s="627">
        <f t="shared" si="10"/>
        <v>0</v>
      </c>
      <c r="T27" s="760">
        <f t="shared" si="11"/>
        <v>0</v>
      </c>
      <c r="U27" s="630">
        <f t="shared" si="5"/>
        <v>0</v>
      </c>
      <c r="V27" s="631">
        <f t="shared" si="6"/>
        <v>0</v>
      </c>
      <c r="W27" s="632">
        <f t="shared" si="7"/>
        <v>0</v>
      </c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</row>
    <row r="28" spans="1:34" s="132" customFormat="1" ht="21" customHeight="1" x14ac:dyDescent="0.2">
      <c r="A28" s="390" t="s">
        <v>213</v>
      </c>
      <c r="B28" s="484"/>
      <c r="C28" s="590"/>
      <c r="D28" s="588"/>
      <c r="E28" s="1458"/>
      <c r="F28" s="760"/>
      <c r="G28" s="595">
        <f t="shared" si="8"/>
        <v>0</v>
      </c>
      <c r="H28" s="582"/>
      <c r="I28" s="583">
        <f t="shared" si="2"/>
        <v>0</v>
      </c>
      <c r="J28" s="605"/>
      <c r="K28" s="606"/>
      <c r="L28" s="607"/>
      <c r="M28" s="760"/>
      <c r="N28" s="615">
        <f t="shared" si="3"/>
        <v>0</v>
      </c>
      <c r="O28" s="616"/>
      <c r="P28" s="617">
        <f t="shared" si="4"/>
        <v>0</v>
      </c>
      <c r="Q28" s="625">
        <f t="shared" si="0"/>
        <v>0</v>
      </c>
      <c r="R28" s="626"/>
      <c r="S28" s="627">
        <f t="shared" si="10"/>
        <v>0</v>
      </c>
      <c r="T28" s="760">
        <f t="shared" si="11"/>
        <v>0</v>
      </c>
      <c r="U28" s="630">
        <f t="shared" si="5"/>
        <v>0</v>
      </c>
      <c r="V28" s="631">
        <f t="shared" si="6"/>
        <v>0</v>
      </c>
      <c r="W28" s="632">
        <f t="shared" si="7"/>
        <v>0</v>
      </c>
      <c r="X28" s="129"/>
      <c r="Y28" s="129"/>
      <c r="Z28" s="129"/>
      <c r="AA28" s="129"/>
      <c r="AB28" s="129"/>
      <c r="AC28" s="129"/>
      <c r="AD28" s="129"/>
      <c r="AE28" s="129"/>
      <c r="AF28" s="129"/>
      <c r="AG28" s="129"/>
      <c r="AH28" s="129"/>
    </row>
    <row r="29" spans="1:34" s="132" customFormat="1" ht="21" customHeight="1" x14ac:dyDescent="0.2">
      <c r="A29" s="390" t="s">
        <v>215</v>
      </c>
      <c r="B29" s="483">
        <v>12279.034379999999</v>
      </c>
      <c r="C29" s="590">
        <v>33.582990000000002</v>
      </c>
      <c r="D29" s="588"/>
      <c r="E29" s="1458">
        <f>'2 блок'!D61</f>
        <v>30</v>
      </c>
      <c r="F29" s="760">
        <f>'2 блок'!E61</f>
        <v>25.142857142857142</v>
      </c>
      <c r="G29" s="595">
        <f t="shared" si="8"/>
        <v>-3.4871428571428567</v>
      </c>
      <c r="H29" s="582"/>
      <c r="I29" s="583">
        <f t="shared" si="2"/>
        <v>-4.8571428571428577</v>
      </c>
      <c r="J29" s="605">
        <v>32.01117</v>
      </c>
      <c r="K29" s="606"/>
      <c r="L29" s="607">
        <f>'3 блок'!D84</f>
        <v>20</v>
      </c>
      <c r="M29" s="760">
        <f>'3 блок'!E84</f>
        <v>16.857142857142858</v>
      </c>
      <c r="N29" s="615">
        <f t="shared" si="3"/>
        <v>-10.432857142857141</v>
      </c>
      <c r="O29" s="616"/>
      <c r="P29" s="617">
        <f t="shared" si="4"/>
        <v>-3.1428571428571423</v>
      </c>
      <c r="Q29" s="625">
        <f t="shared" si="0"/>
        <v>27.964689999999997</v>
      </c>
      <c r="R29" s="626"/>
      <c r="S29" s="627">
        <f t="shared" si="10"/>
        <v>25.035</v>
      </c>
      <c r="T29" s="760">
        <f t="shared" si="11"/>
        <v>21.029</v>
      </c>
      <c r="U29" s="630">
        <f t="shared" si="5"/>
        <v>-6.9356899999999975</v>
      </c>
      <c r="V29" s="631">
        <f t="shared" si="6"/>
        <v>21.029</v>
      </c>
      <c r="W29" s="632">
        <f t="shared" si="7"/>
        <v>-4.0060000000000002</v>
      </c>
      <c r="X29" s="129"/>
      <c r="Y29" s="129"/>
      <c r="Z29" s="129"/>
      <c r="AA29" s="129"/>
      <c r="AB29" s="129"/>
      <c r="AC29" s="129"/>
      <c r="AD29" s="129"/>
      <c r="AE29" s="129"/>
      <c r="AF29" s="129"/>
      <c r="AG29" s="129"/>
      <c r="AH29" s="129"/>
    </row>
    <row r="30" spans="1:34" s="132" customFormat="1" ht="21" hidden="1" customHeight="1" x14ac:dyDescent="0.2">
      <c r="A30" s="390" t="s">
        <v>393</v>
      </c>
      <c r="B30" s="483"/>
      <c r="C30" s="590"/>
      <c r="D30" s="588"/>
      <c r="E30" s="1458"/>
      <c r="F30" s="760"/>
      <c r="G30" s="595">
        <f t="shared" si="8"/>
        <v>0</v>
      </c>
      <c r="H30" s="582"/>
      <c r="I30" s="583">
        <f t="shared" si="2"/>
        <v>0</v>
      </c>
      <c r="J30" s="605"/>
      <c r="K30" s="606"/>
      <c r="L30" s="607"/>
      <c r="M30" s="760"/>
      <c r="N30" s="615">
        <f t="shared" si="3"/>
        <v>0</v>
      </c>
      <c r="O30" s="616"/>
      <c r="P30" s="617">
        <f t="shared" si="4"/>
        <v>0</v>
      </c>
      <c r="Q30" s="625">
        <f t="shared" si="0"/>
        <v>0</v>
      </c>
      <c r="R30" s="626"/>
      <c r="S30" s="627">
        <f t="shared" si="10"/>
        <v>0</v>
      </c>
      <c r="T30" s="760">
        <f t="shared" si="11"/>
        <v>0</v>
      </c>
      <c r="U30" s="630">
        <f t="shared" si="5"/>
        <v>0</v>
      </c>
      <c r="V30" s="631">
        <f t="shared" si="6"/>
        <v>0</v>
      </c>
      <c r="W30" s="632">
        <f t="shared" si="7"/>
        <v>0</v>
      </c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</row>
    <row r="31" spans="1:34" s="132" customFormat="1" ht="21" hidden="1" customHeight="1" x14ac:dyDescent="0.2">
      <c r="A31" s="390" t="s">
        <v>394</v>
      </c>
      <c r="B31" s="483"/>
      <c r="C31" s="590"/>
      <c r="D31" s="588"/>
      <c r="E31" s="1458"/>
      <c r="F31" s="760"/>
      <c r="G31" s="595">
        <f t="shared" si="8"/>
        <v>0</v>
      </c>
      <c r="H31" s="582"/>
      <c r="I31" s="583">
        <f t="shared" si="2"/>
        <v>0</v>
      </c>
      <c r="J31" s="605"/>
      <c r="K31" s="606"/>
      <c r="L31" s="607"/>
      <c r="M31" s="760"/>
      <c r="N31" s="615">
        <f t="shared" si="3"/>
        <v>0</v>
      </c>
      <c r="O31" s="616"/>
      <c r="P31" s="617">
        <f t="shared" si="4"/>
        <v>0</v>
      </c>
      <c r="Q31" s="625">
        <f t="shared" si="0"/>
        <v>0</v>
      </c>
      <c r="R31" s="626"/>
      <c r="S31" s="627">
        <f t="shared" si="10"/>
        <v>0</v>
      </c>
      <c r="T31" s="760">
        <f t="shared" si="11"/>
        <v>0</v>
      </c>
      <c r="U31" s="630">
        <f t="shared" si="5"/>
        <v>0</v>
      </c>
      <c r="V31" s="631">
        <f t="shared" si="6"/>
        <v>0</v>
      </c>
      <c r="W31" s="632">
        <f t="shared" si="7"/>
        <v>0</v>
      </c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</row>
    <row r="32" spans="1:34" s="132" customFormat="1" ht="21" customHeight="1" x14ac:dyDescent="0.2">
      <c r="A32" s="390" t="s">
        <v>221</v>
      </c>
      <c r="B32" s="483"/>
      <c r="C32" s="590"/>
      <c r="D32" s="588"/>
      <c r="E32" s="1458"/>
      <c r="F32" s="760"/>
      <c r="G32" s="595">
        <f t="shared" si="8"/>
        <v>0</v>
      </c>
      <c r="H32" s="582"/>
      <c r="I32" s="583">
        <f t="shared" si="2"/>
        <v>0</v>
      </c>
      <c r="J32" s="605"/>
      <c r="K32" s="606"/>
      <c r="L32" s="607"/>
      <c r="M32" s="760"/>
      <c r="N32" s="615">
        <f t="shared" si="3"/>
        <v>0</v>
      </c>
      <c r="O32" s="616"/>
      <c r="P32" s="617">
        <f t="shared" si="4"/>
        <v>0</v>
      </c>
      <c r="Q32" s="625">
        <f t="shared" si="0"/>
        <v>0</v>
      </c>
      <c r="R32" s="626"/>
      <c r="S32" s="627">
        <f t="shared" si="10"/>
        <v>0</v>
      </c>
      <c r="T32" s="760">
        <f t="shared" si="11"/>
        <v>0</v>
      </c>
      <c r="U32" s="630">
        <f t="shared" si="5"/>
        <v>0</v>
      </c>
      <c r="V32" s="631">
        <f t="shared" si="6"/>
        <v>0</v>
      </c>
      <c r="W32" s="632">
        <f t="shared" si="7"/>
        <v>0</v>
      </c>
      <c r="X32" s="129"/>
      <c r="Y32" s="129"/>
      <c r="Z32" s="129"/>
      <c r="AA32" s="129"/>
      <c r="AB32" s="129"/>
      <c r="AC32" s="129"/>
      <c r="AD32" s="129"/>
      <c r="AE32" s="129"/>
      <c r="AF32" s="129"/>
      <c r="AG32" s="129"/>
      <c r="AH32" s="129"/>
    </row>
    <row r="33" spans="1:34" s="132" customFormat="1" ht="21" customHeight="1" x14ac:dyDescent="0.2">
      <c r="A33" s="390" t="s">
        <v>395</v>
      </c>
      <c r="B33" s="483"/>
      <c r="C33" s="590"/>
      <c r="D33" s="588"/>
      <c r="E33" s="1458">
        <v>0</v>
      </c>
      <c r="F33" s="760"/>
      <c r="G33" s="595">
        <f t="shared" si="8"/>
        <v>0</v>
      </c>
      <c r="H33" s="582"/>
      <c r="I33" s="583">
        <f t="shared" si="2"/>
        <v>0</v>
      </c>
      <c r="J33" s="605"/>
      <c r="K33" s="606"/>
      <c r="L33" s="607"/>
      <c r="M33" s="760"/>
      <c r="N33" s="615">
        <f t="shared" si="3"/>
        <v>0</v>
      </c>
      <c r="O33" s="616"/>
      <c r="P33" s="617">
        <f t="shared" si="4"/>
        <v>0</v>
      </c>
      <c r="Q33" s="625">
        <f t="shared" si="0"/>
        <v>0</v>
      </c>
      <c r="R33" s="626"/>
      <c r="S33" s="627">
        <f t="shared" si="10"/>
        <v>0</v>
      </c>
      <c r="T33" s="760">
        <f t="shared" si="11"/>
        <v>0</v>
      </c>
      <c r="U33" s="630">
        <f t="shared" si="5"/>
        <v>0</v>
      </c>
      <c r="V33" s="631">
        <f t="shared" si="6"/>
        <v>0</v>
      </c>
      <c r="W33" s="632">
        <f t="shared" si="7"/>
        <v>0</v>
      </c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</row>
    <row r="34" spans="1:34" s="165" customFormat="1" ht="21" hidden="1" customHeight="1" x14ac:dyDescent="0.2">
      <c r="A34" s="388" t="s">
        <v>396</v>
      </c>
      <c r="B34" s="549">
        <v>15416.739</v>
      </c>
      <c r="C34" s="590"/>
      <c r="D34" s="588"/>
      <c r="E34" s="1458"/>
      <c r="F34" s="760"/>
      <c r="G34" s="595">
        <f t="shared" si="8"/>
        <v>0</v>
      </c>
      <c r="H34" s="584"/>
      <c r="I34" s="583">
        <f t="shared" si="2"/>
        <v>0</v>
      </c>
      <c r="J34" s="605"/>
      <c r="K34" s="608"/>
      <c r="L34" s="607"/>
      <c r="M34" s="760"/>
      <c r="N34" s="615">
        <f t="shared" si="3"/>
        <v>0</v>
      </c>
      <c r="O34" s="618"/>
      <c r="P34" s="617">
        <f t="shared" si="4"/>
        <v>0</v>
      </c>
      <c r="Q34" s="625">
        <f t="shared" si="0"/>
        <v>0</v>
      </c>
      <c r="R34" s="626"/>
      <c r="S34" s="627">
        <f t="shared" si="10"/>
        <v>0</v>
      </c>
      <c r="T34" s="760">
        <f t="shared" si="11"/>
        <v>0</v>
      </c>
      <c r="U34" s="630">
        <f t="shared" si="5"/>
        <v>0</v>
      </c>
      <c r="V34" s="631">
        <f t="shared" si="6"/>
        <v>0</v>
      </c>
      <c r="W34" s="632">
        <f t="shared" si="7"/>
        <v>0</v>
      </c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</row>
    <row r="35" spans="1:34" s="132" customFormat="1" ht="21" customHeight="1" x14ac:dyDescent="0.2">
      <c r="A35" s="390" t="s">
        <v>397</v>
      </c>
      <c r="B35" s="483">
        <f>'2 блок'!C72</f>
        <v>12162.13</v>
      </c>
      <c r="C35" s="590">
        <v>7.1435700000000004</v>
      </c>
      <c r="D35" s="588"/>
      <c r="E35" s="1458">
        <f>'2 блок'!D67+'2 блок'!D72</f>
        <v>9</v>
      </c>
      <c r="F35" s="760">
        <f>'2 блок'!E72+'2 блок'!E67</f>
        <v>8.2244897959183678</v>
      </c>
      <c r="G35" s="595">
        <f t="shared" si="8"/>
        <v>2.134489795918368</v>
      </c>
      <c r="H35" s="582"/>
      <c r="I35" s="583">
        <f t="shared" si="2"/>
        <v>-0.77551020408163218</v>
      </c>
      <c r="J35" s="605">
        <v>5.7946200000000001</v>
      </c>
      <c r="K35" s="606"/>
      <c r="L35" s="607">
        <f>'3 блок'!D100+'3 блок'!D102</f>
        <v>0</v>
      </c>
      <c r="M35" s="760">
        <f>'3 блок'!E100+'3 блок'!E102</f>
        <v>0</v>
      </c>
      <c r="N35" s="615">
        <f t="shared" si="3"/>
        <v>-4.9400000000000004</v>
      </c>
      <c r="O35" s="616"/>
      <c r="P35" s="617">
        <f t="shared" si="4"/>
        <v>0</v>
      </c>
      <c r="Q35" s="625">
        <f t="shared" si="0"/>
        <v>5.5190250000000001</v>
      </c>
      <c r="R35" s="626"/>
      <c r="S35" s="627">
        <f t="shared" si="10"/>
        <v>4.5314999999999994</v>
      </c>
      <c r="T35" s="760">
        <f t="shared" si="11"/>
        <v>4.1410306122448981</v>
      </c>
      <c r="U35" s="630">
        <f t="shared" si="5"/>
        <v>-1.377994387755102</v>
      </c>
      <c r="V35" s="631">
        <f t="shared" si="6"/>
        <v>4.1410306122448981</v>
      </c>
      <c r="W35" s="632">
        <f t="shared" si="7"/>
        <v>-0.39046938775510132</v>
      </c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</row>
    <row r="36" spans="1:34" s="132" customFormat="1" ht="21" customHeight="1" x14ac:dyDescent="0.2">
      <c r="A36" s="390" t="s">
        <v>329</v>
      </c>
      <c r="B36" s="1461"/>
      <c r="C36" s="590"/>
      <c r="D36" s="588"/>
      <c r="E36" s="1458">
        <f>'2 блок'!D79</f>
        <v>0</v>
      </c>
      <c r="F36" s="760"/>
      <c r="G36" s="595">
        <f t="shared" si="8"/>
        <v>0</v>
      </c>
      <c r="H36" s="582"/>
      <c r="I36" s="583">
        <f t="shared" si="2"/>
        <v>0</v>
      </c>
      <c r="J36" s="605"/>
      <c r="K36" s="606"/>
      <c r="L36" s="607"/>
      <c r="M36" s="760"/>
      <c r="N36" s="615">
        <f t="shared" si="3"/>
        <v>0</v>
      </c>
      <c r="O36" s="616"/>
      <c r="P36" s="617">
        <f t="shared" si="4"/>
        <v>0</v>
      </c>
      <c r="Q36" s="625">
        <f t="shared" si="0"/>
        <v>0</v>
      </c>
      <c r="R36" s="626"/>
      <c r="S36" s="627">
        <f t="shared" si="10"/>
        <v>0</v>
      </c>
      <c r="T36" s="760">
        <f t="shared" si="11"/>
        <v>0</v>
      </c>
      <c r="U36" s="630">
        <f t="shared" si="5"/>
        <v>0</v>
      </c>
      <c r="V36" s="631">
        <f t="shared" si="6"/>
        <v>0</v>
      </c>
      <c r="W36" s="632">
        <f t="shared" si="7"/>
        <v>0</v>
      </c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</row>
    <row r="37" spans="1:34" s="132" customFormat="1" ht="21" customHeight="1" x14ac:dyDescent="0.2">
      <c r="A37" s="390" t="s">
        <v>398</v>
      </c>
      <c r="B37" s="483">
        <v>15241.457609999999</v>
      </c>
      <c r="C37" s="590">
        <v>0.21113999999999999</v>
      </c>
      <c r="D37" s="588"/>
      <c r="E37" s="1458">
        <f>'2 блок'!D82</f>
        <v>0</v>
      </c>
      <c r="F37" s="760">
        <f>'2 блок'!E82</f>
        <v>0</v>
      </c>
      <c r="G37" s="595">
        <f t="shared" si="8"/>
        <v>-0.18</v>
      </c>
      <c r="H37" s="582"/>
      <c r="I37" s="583">
        <f t="shared" si="2"/>
        <v>0</v>
      </c>
      <c r="J37" s="605"/>
      <c r="K37" s="606"/>
      <c r="L37" s="607"/>
      <c r="M37" s="760"/>
      <c r="N37" s="615">
        <f t="shared" si="3"/>
        <v>0</v>
      </c>
      <c r="O37" s="616"/>
      <c r="P37" s="617">
        <f t="shared" si="4"/>
        <v>0</v>
      </c>
      <c r="Q37" s="625">
        <f t="shared" si="0"/>
        <v>9.0629999999999988E-2</v>
      </c>
      <c r="R37" s="626"/>
      <c r="S37" s="627">
        <f t="shared" si="10"/>
        <v>0</v>
      </c>
      <c r="T37" s="760">
        <f t="shared" si="11"/>
        <v>0</v>
      </c>
      <c r="U37" s="630">
        <f t="shared" si="5"/>
        <v>-9.0629999999999988E-2</v>
      </c>
      <c r="V37" s="631">
        <f t="shared" si="6"/>
        <v>0</v>
      </c>
      <c r="W37" s="632">
        <f t="shared" si="7"/>
        <v>0</v>
      </c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</row>
    <row r="38" spans="1:34" s="132" customFormat="1" ht="21" customHeight="1" x14ac:dyDescent="0.2">
      <c r="A38" s="522" t="s">
        <v>399</v>
      </c>
      <c r="B38" s="542">
        <v>14825.101259999999</v>
      </c>
      <c r="C38" s="591">
        <v>7.5658500000000002</v>
      </c>
      <c r="D38" s="592"/>
      <c r="E38" s="1459">
        <f>'2 блок'!D76</f>
        <v>0</v>
      </c>
      <c r="F38" s="761">
        <f>'2 блок'!E76</f>
        <v>0</v>
      </c>
      <c r="G38" s="595">
        <f t="shared" si="8"/>
        <v>-6.45</v>
      </c>
      <c r="H38" s="585"/>
      <c r="I38" s="583">
        <f t="shared" si="2"/>
        <v>0</v>
      </c>
      <c r="J38" s="609"/>
      <c r="K38" s="610"/>
      <c r="L38" s="611"/>
      <c r="M38" s="761"/>
      <c r="N38" s="615">
        <f t="shared" si="3"/>
        <v>0</v>
      </c>
      <c r="O38" s="619"/>
      <c r="P38" s="617">
        <f t="shared" si="4"/>
        <v>0</v>
      </c>
      <c r="Q38" s="625">
        <f t="shared" si="0"/>
        <v>3.2475749999999999</v>
      </c>
      <c r="R38" s="628"/>
      <c r="S38" s="627">
        <f t="shared" si="10"/>
        <v>0</v>
      </c>
      <c r="T38" s="760">
        <f t="shared" si="11"/>
        <v>0</v>
      </c>
      <c r="U38" s="630">
        <f t="shared" si="5"/>
        <v>-3.2475749999999999</v>
      </c>
      <c r="V38" s="631">
        <f t="shared" si="6"/>
        <v>0</v>
      </c>
      <c r="W38" s="632">
        <f t="shared" si="7"/>
        <v>0</v>
      </c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  <c r="AH38" s="129"/>
    </row>
    <row r="39" spans="1:34" s="132" customFormat="1" ht="21" customHeight="1" x14ac:dyDescent="0.2">
      <c r="A39" s="390" t="s">
        <v>241</v>
      </c>
      <c r="B39" s="1461">
        <v>11756.18136</v>
      </c>
      <c r="C39" s="590">
        <v>17.817869999999999</v>
      </c>
      <c r="D39" s="588"/>
      <c r="E39" s="1458">
        <f>'2 блок'!D84</f>
        <v>15</v>
      </c>
      <c r="F39" s="760">
        <f>'2 блок'!E84</f>
        <v>15.918367346938776</v>
      </c>
      <c r="G39" s="595">
        <f>+F39-C39</f>
        <v>0.72836734693877681</v>
      </c>
      <c r="H39" s="582"/>
      <c r="I39" s="583">
        <f t="shared" si="2"/>
        <v>0.91836734693877631</v>
      </c>
      <c r="J39" s="605">
        <v>18.07593</v>
      </c>
      <c r="K39" s="606"/>
      <c r="L39" s="607">
        <f>'3 блок'!D111</f>
        <v>10</v>
      </c>
      <c r="M39" s="760">
        <f>'3 блок'!E111</f>
        <v>6.8163265306122449</v>
      </c>
      <c r="N39" s="615">
        <f t="shared" si="3"/>
        <v>-8.5936734693877561</v>
      </c>
      <c r="O39" s="616"/>
      <c r="P39" s="617">
        <f t="shared" si="4"/>
        <v>-3.1836734693877551</v>
      </c>
      <c r="Q39" s="625">
        <f t="shared" si="0"/>
        <v>15.29923</v>
      </c>
      <c r="R39" s="626"/>
      <c r="S39" s="627">
        <f t="shared" si="10"/>
        <v>12.5175</v>
      </c>
      <c r="T39" s="760">
        <f t="shared" si="11"/>
        <v>11.399204081632652</v>
      </c>
      <c r="U39" s="630">
        <f t="shared" si="5"/>
        <v>-3.9000259183673478</v>
      </c>
      <c r="V39" s="631">
        <f t="shared" si="6"/>
        <v>11.399204081632652</v>
      </c>
      <c r="W39" s="632">
        <f t="shared" si="7"/>
        <v>-1.1182959183673482</v>
      </c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  <c r="AH39" s="129"/>
    </row>
    <row r="40" spans="1:34" s="132" customFormat="1" ht="21" customHeight="1" x14ac:dyDescent="0.2">
      <c r="A40" s="390" t="s">
        <v>245</v>
      </c>
      <c r="B40" s="1461">
        <v>11023.05636</v>
      </c>
      <c r="C40" s="590"/>
      <c r="D40" s="588"/>
      <c r="E40" s="1458"/>
      <c r="F40" s="760">
        <f>'2 блок'!E90</f>
        <v>0</v>
      </c>
      <c r="G40" s="595">
        <f t="shared" si="8"/>
        <v>0</v>
      </c>
      <c r="H40" s="582"/>
      <c r="I40" s="583">
        <f t="shared" si="2"/>
        <v>0</v>
      </c>
      <c r="J40" s="605"/>
      <c r="K40" s="606"/>
      <c r="L40" s="607">
        <f>'3 блок'!D125</f>
        <v>0</v>
      </c>
      <c r="M40" s="760">
        <f>'3 блок'!E125</f>
        <v>0</v>
      </c>
      <c r="N40" s="615">
        <f t="shared" si="3"/>
        <v>0</v>
      </c>
      <c r="O40" s="616"/>
      <c r="P40" s="617">
        <f t="shared" si="4"/>
        <v>0</v>
      </c>
      <c r="Q40" s="625">
        <f t="shared" si="0"/>
        <v>0</v>
      </c>
      <c r="R40" s="626"/>
      <c r="S40" s="627">
        <f t="shared" si="10"/>
        <v>0</v>
      </c>
      <c r="T40" s="760">
        <f t="shared" si="11"/>
        <v>0</v>
      </c>
      <c r="U40" s="630">
        <f t="shared" si="5"/>
        <v>0</v>
      </c>
      <c r="V40" s="631">
        <f t="shared" si="6"/>
        <v>0</v>
      </c>
      <c r="W40" s="632">
        <f t="shared" si="7"/>
        <v>0</v>
      </c>
      <c r="X40" s="129"/>
      <c r="Y40" s="129"/>
      <c r="Z40" s="129"/>
      <c r="AA40" s="129"/>
      <c r="AB40" s="129"/>
      <c r="AC40" s="129"/>
      <c r="AD40" s="129"/>
      <c r="AE40" s="129"/>
      <c r="AF40" s="129"/>
      <c r="AG40" s="129"/>
      <c r="AH40" s="129"/>
    </row>
    <row r="41" spans="1:34" s="132" customFormat="1" ht="21.75" customHeight="1" x14ac:dyDescent="0.2">
      <c r="A41" s="390" t="s">
        <v>250</v>
      </c>
      <c r="B41" s="483">
        <v>11252.659379999999</v>
      </c>
      <c r="C41" s="590">
        <v>3.8122500000000001</v>
      </c>
      <c r="D41" s="588"/>
      <c r="E41" s="1458">
        <f>'2 блок'!D94</f>
        <v>5</v>
      </c>
      <c r="F41" s="760">
        <f>'2 блок'!E94</f>
        <v>8.5306122448979593</v>
      </c>
      <c r="G41" s="595">
        <f t="shared" si="8"/>
        <v>5.2806122448979593</v>
      </c>
      <c r="H41" s="582"/>
      <c r="I41" s="583">
        <f t="shared" si="2"/>
        <v>3.5306122448979593</v>
      </c>
      <c r="J41" s="605">
        <v>3.8122500000000001</v>
      </c>
      <c r="K41" s="606"/>
      <c r="L41" s="607">
        <f>'3 блок'!D128</f>
        <v>9</v>
      </c>
      <c r="M41" s="760">
        <f>'3 блок'!E128</f>
        <v>5.6122448979591839</v>
      </c>
      <c r="N41" s="615">
        <f t="shared" si="3"/>
        <v>2.3622448979591839</v>
      </c>
      <c r="O41" s="616"/>
      <c r="P41" s="617">
        <f t="shared" si="4"/>
        <v>-3.3877551020408161</v>
      </c>
      <c r="Q41" s="625">
        <f t="shared" si="0"/>
        <v>3.25</v>
      </c>
      <c r="R41" s="626"/>
      <c r="S41" s="627">
        <f t="shared" si="10"/>
        <v>6.9860000000000007</v>
      </c>
      <c r="T41" s="760">
        <f t="shared" si="11"/>
        <v>7.0816428571428576</v>
      </c>
      <c r="U41" s="630">
        <f t="shared" si="5"/>
        <v>3.8316428571428576</v>
      </c>
      <c r="V41" s="631">
        <f t="shared" si="6"/>
        <v>7.0816428571428576</v>
      </c>
      <c r="W41" s="632">
        <f t="shared" si="7"/>
        <v>9.5642857142856919E-2</v>
      </c>
      <c r="X41" s="129"/>
      <c r="Y41" s="129"/>
      <c r="Z41" s="129"/>
      <c r="AA41" s="129"/>
      <c r="AB41" s="129"/>
      <c r="AC41" s="129"/>
      <c r="AD41" s="129"/>
      <c r="AE41" s="129"/>
      <c r="AF41" s="129"/>
      <c r="AG41" s="129"/>
      <c r="AH41" s="129"/>
    </row>
    <row r="42" spans="1:34" s="165" customFormat="1" ht="21" customHeight="1" x14ac:dyDescent="0.2">
      <c r="A42" s="390" t="s">
        <v>259</v>
      </c>
      <c r="B42" s="1461">
        <v>11455.717409999999</v>
      </c>
      <c r="C42" s="590">
        <v>9.4543800000000005</v>
      </c>
      <c r="D42" s="593"/>
      <c r="E42" s="1460">
        <f>'2 блок'!D105</f>
        <v>9</v>
      </c>
      <c r="F42" s="760">
        <f>'2 блок'!E105</f>
        <v>8.2244897959183678</v>
      </c>
      <c r="G42" s="595">
        <f t="shared" si="8"/>
        <v>0.16448979591836732</v>
      </c>
      <c r="H42" s="582"/>
      <c r="I42" s="583">
        <f t="shared" si="2"/>
        <v>-0.77551020408163218</v>
      </c>
      <c r="J42" s="612">
        <v>8.8796099999999996</v>
      </c>
      <c r="K42" s="551"/>
      <c r="L42" s="613">
        <f>'3 блок'!D142</f>
        <v>10</v>
      </c>
      <c r="M42" s="760">
        <f>'3 блок'!E142</f>
        <v>16.285714285714285</v>
      </c>
      <c r="N42" s="615">
        <f t="shared" si="3"/>
        <v>8.7157142857142844</v>
      </c>
      <c r="O42" s="616"/>
      <c r="P42" s="617">
        <f t="shared" si="4"/>
        <v>6.2857142857142847</v>
      </c>
      <c r="Q42" s="625">
        <f t="shared" si="0"/>
        <v>7.8167150000000003</v>
      </c>
      <c r="R42" s="629"/>
      <c r="S42" s="627">
        <f t="shared" si="10"/>
        <v>9.4965000000000011</v>
      </c>
      <c r="T42" s="760">
        <f t="shared" si="11"/>
        <v>12.226887755102041</v>
      </c>
      <c r="U42" s="630">
        <f t="shared" si="5"/>
        <v>4.4101727551020407</v>
      </c>
      <c r="V42" s="631">
        <f t="shared" si="6"/>
        <v>12.226887755102041</v>
      </c>
      <c r="W42" s="632">
        <f t="shared" si="7"/>
        <v>2.7303877551020399</v>
      </c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</row>
    <row r="43" spans="1:34" s="165" customFormat="1" ht="21" customHeight="1" x14ac:dyDescent="0.2">
      <c r="A43" s="389" t="s">
        <v>262</v>
      </c>
      <c r="B43" s="1461"/>
      <c r="C43" s="590"/>
      <c r="D43" s="593"/>
      <c r="E43" s="1460"/>
      <c r="F43" s="760"/>
      <c r="G43" s="595">
        <f t="shared" si="8"/>
        <v>0</v>
      </c>
      <c r="H43" s="584"/>
      <c r="I43" s="583">
        <f t="shared" si="2"/>
        <v>0</v>
      </c>
      <c r="J43" s="612"/>
      <c r="K43" s="552"/>
      <c r="L43" s="613"/>
      <c r="M43" s="760"/>
      <c r="N43" s="615">
        <f t="shared" si="3"/>
        <v>0</v>
      </c>
      <c r="O43" s="618"/>
      <c r="P43" s="617">
        <f t="shared" si="4"/>
        <v>0</v>
      </c>
      <c r="Q43" s="625">
        <f t="shared" si="0"/>
        <v>0</v>
      </c>
      <c r="R43" s="629"/>
      <c r="S43" s="627">
        <f t="shared" si="10"/>
        <v>0</v>
      </c>
      <c r="T43" s="760">
        <f t="shared" si="11"/>
        <v>0</v>
      </c>
      <c r="U43" s="630">
        <f t="shared" si="5"/>
        <v>0</v>
      </c>
      <c r="V43" s="631">
        <f t="shared" si="6"/>
        <v>0</v>
      </c>
      <c r="W43" s="632">
        <f t="shared" si="7"/>
        <v>0</v>
      </c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</row>
    <row r="44" spans="1:34" s="165" customFormat="1" ht="21" customHeight="1" x14ac:dyDescent="0.2">
      <c r="A44" s="390" t="s">
        <v>249</v>
      </c>
      <c r="B44" s="1461"/>
      <c r="C44" s="590"/>
      <c r="D44" s="593"/>
      <c r="E44" s="1460"/>
      <c r="F44" s="760"/>
      <c r="G44" s="595">
        <f t="shared" si="8"/>
        <v>0</v>
      </c>
      <c r="H44" s="582"/>
      <c r="I44" s="583">
        <f t="shared" si="2"/>
        <v>0</v>
      </c>
      <c r="J44" s="612"/>
      <c r="K44" s="551"/>
      <c r="L44" s="613"/>
      <c r="M44" s="760"/>
      <c r="N44" s="615">
        <f t="shared" si="3"/>
        <v>0</v>
      </c>
      <c r="O44" s="616"/>
      <c r="P44" s="617">
        <f t="shared" si="4"/>
        <v>0</v>
      </c>
      <c r="Q44" s="625">
        <f t="shared" si="0"/>
        <v>0</v>
      </c>
      <c r="R44" s="629"/>
      <c r="S44" s="627">
        <f t="shared" si="10"/>
        <v>0</v>
      </c>
      <c r="T44" s="760">
        <f t="shared" si="11"/>
        <v>0</v>
      </c>
      <c r="U44" s="630">
        <f t="shared" si="5"/>
        <v>0</v>
      </c>
      <c r="V44" s="631">
        <f t="shared" si="6"/>
        <v>0</v>
      </c>
      <c r="W44" s="632">
        <f t="shared" si="7"/>
        <v>0</v>
      </c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</row>
    <row r="45" spans="1:34" s="132" customFormat="1" ht="21" customHeight="1" x14ac:dyDescent="0.2">
      <c r="A45" s="390" t="s">
        <v>400</v>
      </c>
      <c r="B45" s="483"/>
      <c r="C45" s="590"/>
      <c r="D45" s="593"/>
      <c r="E45" s="1460"/>
      <c r="F45" s="760"/>
      <c r="G45" s="595">
        <f>+F45-C45</f>
        <v>0</v>
      </c>
      <c r="H45" s="582"/>
      <c r="I45" s="583">
        <f t="shared" si="2"/>
        <v>0</v>
      </c>
      <c r="J45" s="612"/>
      <c r="K45" s="551"/>
      <c r="L45" s="613"/>
      <c r="M45" s="760"/>
      <c r="N45" s="615">
        <f t="shared" si="3"/>
        <v>0</v>
      </c>
      <c r="O45" s="616"/>
      <c r="P45" s="617">
        <f t="shared" si="4"/>
        <v>0</v>
      </c>
      <c r="Q45" s="625">
        <f t="shared" si="0"/>
        <v>0</v>
      </c>
      <c r="R45" s="629"/>
      <c r="S45" s="627">
        <f t="shared" si="10"/>
        <v>0</v>
      </c>
      <c r="T45" s="760">
        <f t="shared" si="11"/>
        <v>0</v>
      </c>
      <c r="U45" s="630">
        <f t="shared" si="5"/>
        <v>0</v>
      </c>
      <c r="V45" s="631">
        <f t="shared" si="6"/>
        <v>0</v>
      </c>
      <c r="W45" s="632">
        <f t="shared" si="7"/>
        <v>0</v>
      </c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</row>
    <row r="46" spans="1:34" s="129" customFormat="1" ht="18.75" customHeight="1" x14ac:dyDescent="0.2">
      <c r="A46" s="389" t="s">
        <v>267</v>
      </c>
      <c r="B46" s="483">
        <v>9234.2313599999998</v>
      </c>
      <c r="C46" s="590">
        <v>3.5541900000000002</v>
      </c>
      <c r="D46" s="593"/>
      <c r="E46" s="1460">
        <f>'2 блок'!D113</f>
        <v>0</v>
      </c>
      <c r="F46" s="760">
        <f>'2 блок'!E113</f>
        <v>6.1224489795918366E-2</v>
      </c>
      <c r="G46" s="595">
        <f>+F46-C46</f>
        <v>-2.9687755102040816</v>
      </c>
      <c r="H46" s="584"/>
      <c r="I46" s="583">
        <f t="shared" si="2"/>
        <v>6.1224489795918366E-2</v>
      </c>
      <c r="J46" s="612">
        <v>3.5541900000000002</v>
      </c>
      <c r="K46" s="552"/>
      <c r="L46" s="613">
        <f>'3 блок'!D154</f>
        <v>0</v>
      </c>
      <c r="M46" s="760">
        <f>'3 блок'!E154</f>
        <v>0.65306122448979587</v>
      </c>
      <c r="N46" s="615">
        <f t="shared" si="3"/>
        <v>-2.376938775510204</v>
      </c>
      <c r="O46" s="618"/>
      <c r="P46" s="617">
        <f t="shared" si="4"/>
        <v>0.65306122448979587</v>
      </c>
      <c r="Q46" s="625">
        <f t="shared" si="0"/>
        <v>3.03</v>
      </c>
      <c r="R46" s="629"/>
      <c r="S46" s="627">
        <f t="shared" si="10"/>
        <v>0</v>
      </c>
      <c r="T46" s="760">
        <f t="shared" si="11"/>
        <v>0.35507142857142859</v>
      </c>
      <c r="U46" s="630">
        <f t="shared" si="5"/>
        <v>-2.6749285714285711</v>
      </c>
      <c r="V46" s="631">
        <f t="shared" si="6"/>
        <v>0.35507142857142859</v>
      </c>
      <c r="W46" s="632">
        <f t="shared" si="7"/>
        <v>0.35507142857142859</v>
      </c>
    </row>
    <row r="47" spans="1:34" s="129" customFormat="1" ht="21" customHeight="1" x14ac:dyDescent="0.2">
      <c r="A47" s="389" t="s">
        <v>100</v>
      </c>
      <c r="B47" s="482"/>
      <c r="C47" s="590"/>
      <c r="D47" s="593"/>
      <c r="E47" s="594"/>
      <c r="F47" s="759"/>
      <c r="G47" s="596">
        <f t="shared" si="8"/>
        <v>0</v>
      </c>
      <c r="H47" s="582"/>
      <c r="I47" s="583">
        <f t="shared" si="2"/>
        <v>0</v>
      </c>
      <c r="J47" s="612"/>
      <c r="K47" s="551"/>
      <c r="L47" s="613"/>
      <c r="M47" s="760"/>
      <c r="N47" s="620">
        <f t="shared" si="3"/>
        <v>0</v>
      </c>
      <c r="O47" s="616"/>
      <c r="P47" s="617">
        <f t="shared" si="4"/>
        <v>0</v>
      </c>
      <c r="Q47" s="625">
        <f t="shared" si="0"/>
        <v>0</v>
      </c>
      <c r="R47" s="629"/>
      <c r="S47" s="627">
        <f t="shared" si="10"/>
        <v>0</v>
      </c>
      <c r="T47" s="760">
        <f t="shared" si="11"/>
        <v>0</v>
      </c>
      <c r="U47" s="634">
        <f t="shared" si="5"/>
        <v>0</v>
      </c>
      <c r="V47" s="631">
        <f t="shared" si="6"/>
        <v>0</v>
      </c>
      <c r="W47" s="632">
        <f t="shared" si="7"/>
        <v>0</v>
      </c>
    </row>
    <row r="48" spans="1:34" s="129" customFormat="1" ht="18.75" customHeight="1" x14ac:dyDescent="0.2">
      <c r="A48" s="389" t="s">
        <v>137</v>
      </c>
      <c r="B48" s="483">
        <v>9930.8174099999997</v>
      </c>
      <c r="C48" s="587"/>
      <c r="D48" s="588"/>
      <c r="E48" s="589">
        <f>'2 блок'!D117</f>
        <v>3</v>
      </c>
      <c r="F48" s="759">
        <f>'2 блок'!E117</f>
        <v>3.1836734693877551</v>
      </c>
      <c r="G48" s="567">
        <f t="shared" si="8"/>
        <v>3.1836734693877551</v>
      </c>
      <c r="H48" s="584"/>
      <c r="I48" s="583">
        <f t="shared" si="2"/>
        <v>0.18367346938775508</v>
      </c>
      <c r="J48" s="605"/>
      <c r="K48" s="608"/>
      <c r="L48" s="607">
        <f>'3 блок'!D160</f>
        <v>12</v>
      </c>
      <c r="M48" s="760">
        <f>'3 блок'!E160</f>
        <v>14.428571428571429</v>
      </c>
      <c r="N48" s="621">
        <f t="shared" si="3"/>
        <v>14.428571428571429</v>
      </c>
      <c r="O48" s="618"/>
      <c r="P48" s="617">
        <f t="shared" si="4"/>
        <v>2.4285714285714288</v>
      </c>
      <c r="Q48" s="625">
        <f t="shared" si="0"/>
        <v>0</v>
      </c>
      <c r="R48" s="626"/>
      <c r="S48" s="627">
        <f t="shared" ref="S48:T50" si="12">E48*$B$60+L48*$B$61</f>
        <v>7.4685000000000006</v>
      </c>
      <c r="T48" s="760">
        <f t="shared" si="12"/>
        <v>8.7667653061224495</v>
      </c>
      <c r="U48" s="635">
        <f t="shared" si="5"/>
        <v>8.7667653061224495</v>
      </c>
      <c r="V48" s="631">
        <f t="shared" si="6"/>
        <v>8.7667653061224495</v>
      </c>
      <c r="W48" s="632">
        <f t="shared" si="7"/>
        <v>1.2982653061224489</v>
      </c>
    </row>
    <row r="49" spans="1:34" s="65" customFormat="1" ht="18.75" customHeight="1" x14ac:dyDescent="0.2">
      <c r="A49" s="390" t="s">
        <v>119</v>
      </c>
      <c r="B49" s="1461">
        <v>9763.8643200000006</v>
      </c>
      <c r="C49" s="587"/>
      <c r="D49" s="588"/>
      <c r="E49" s="589"/>
      <c r="F49" s="759"/>
      <c r="G49" s="596">
        <f t="shared" si="8"/>
        <v>0</v>
      </c>
      <c r="H49" s="582"/>
      <c r="I49" s="583">
        <f t="shared" si="2"/>
        <v>0</v>
      </c>
      <c r="J49" s="605"/>
      <c r="K49" s="606"/>
      <c r="L49" s="607">
        <f>'3 блок'!D169</f>
        <v>0</v>
      </c>
      <c r="M49" s="760"/>
      <c r="N49" s="620">
        <f>+M49-J49</f>
        <v>0</v>
      </c>
      <c r="O49" s="616"/>
      <c r="P49" s="617">
        <f t="shared" si="4"/>
        <v>0</v>
      </c>
      <c r="Q49" s="625">
        <f t="shared" si="0"/>
        <v>0</v>
      </c>
      <c r="R49" s="626"/>
      <c r="S49" s="627">
        <f t="shared" si="12"/>
        <v>0</v>
      </c>
      <c r="T49" s="760">
        <f t="shared" si="12"/>
        <v>0</v>
      </c>
      <c r="U49" s="634">
        <f t="shared" si="5"/>
        <v>0</v>
      </c>
      <c r="V49" s="631">
        <f t="shared" si="6"/>
        <v>0</v>
      </c>
      <c r="W49" s="632">
        <f t="shared" si="7"/>
        <v>0</v>
      </c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</row>
    <row r="50" spans="1:34" s="64" customFormat="1" ht="18.75" customHeight="1" thickBot="1" x14ac:dyDescent="0.25">
      <c r="A50" s="389" t="s">
        <v>401</v>
      </c>
      <c r="B50" s="483"/>
      <c r="C50" s="587"/>
      <c r="D50" s="588"/>
      <c r="E50" s="589"/>
      <c r="F50" s="759"/>
      <c r="G50" s="567">
        <f t="shared" si="8"/>
        <v>0</v>
      </c>
      <c r="H50" s="584"/>
      <c r="I50" s="583">
        <f t="shared" si="2"/>
        <v>0</v>
      </c>
      <c r="J50" s="605"/>
      <c r="K50" s="608"/>
      <c r="L50" s="607"/>
      <c r="M50" s="759"/>
      <c r="N50" s="620">
        <f t="shared" si="3"/>
        <v>0</v>
      </c>
      <c r="O50" s="616"/>
      <c r="P50" s="617">
        <f t="shared" si="4"/>
        <v>0</v>
      </c>
      <c r="Q50" s="625">
        <f t="shared" si="0"/>
        <v>0</v>
      </c>
      <c r="R50" s="626"/>
      <c r="S50" s="627">
        <f t="shared" si="12"/>
        <v>0</v>
      </c>
      <c r="T50" s="759">
        <f t="shared" si="12"/>
        <v>0</v>
      </c>
      <c r="U50" s="634">
        <f t="shared" si="5"/>
        <v>0</v>
      </c>
      <c r="V50" s="631">
        <f t="shared" si="6"/>
        <v>0</v>
      </c>
      <c r="W50" s="632">
        <f t="shared" si="7"/>
        <v>0</v>
      </c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</row>
    <row r="51" spans="1:34" s="520" customFormat="1" ht="21" customHeight="1" thickBot="1" x14ac:dyDescent="0.25">
      <c r="A51" s="527" t="s">
        <v>274</v>
      </c>
      <c r="B51" s="528"/>
      <c r="C51" s="1996">
        <f>SUM(C8:C50)</f>
        <v>100.00000000000001</v>
      </c>
      <c r="D51" s="557">
        <f t="shared" ref="D51:T51" si="13">SUM(D8:D50)</f>
        <v>0</v>
      </c>
      <c r="E51" s="572">
        <f t="shared" si="13"/>
        <v>100</v>
      </c>
      <c r="F51" s="1617">
        <f t="shared" si="13"/>
        <v>100.00000000000003</v>
      </c>
      <c r="G51" s="580"/>
      <c r="H51" s="586"/>
      <c r="I51" s="578"/>
      <c r="J51" s="1618">
        <f t="shared" si="13"/>
        <v>100</v>
      </c>
      <c r="K51" s="1619">
        <f t="shared" si="13"/>
        <v>0</v>
      </c>
      <c r="L51" s="1620">
        <f>SUM(L8:L50)</f>
        <v>100</v>
      </c>
      <c r="M51" s="1617">
        <f t="shared" si="13"/>
        <v>99.999999999999986</v>
      </c>
      <c r="N51" s="1621"/>
      <c r="O51" s="1622"/>
      <c r="P51" s="1623"/>
      <c r="Q51" s="1624">
        <f t="shared" si="13"/>
        <v>100</v>
      </c>
      <c r="R51" s="557">
        <f t="shared" si="13"/>
        <v>0</v>
      </c>
      <c r="S51" s="1625">
        <f t="shared" si="13"/>
        <v>100.00000000000001</v>
      </c>
      <c r="T51" s="1617">
        <f t="shared" si="13"/>
        <v>100</v>
      </c>
      <c r="U51" s="1626"/>
      <c r="V51" s="1627"/>
      <c r="W51" s="1628"/>
      <c r="X51" s="395"/>
      <c r="Y51" s="395"/>
      <c r="Z51" s="395"/>
      <c r="AA51" s="395"/>
      <c r="AB51" s="395"/>
      <c r="AC51" s="395"/>
      <c r="AD51" s="395"/>
      <c r="AE51" s="395"/>
      <c r="AF51" s="395"/>
      <c r="AG51" s="395"/>
      <c r="AH51" s="395"/>
    </row>
    <row r="52" spans="1:34" s="83" customFormat="1" ht="42.75" customHeight="1" x14ac:dyDescent="0.2">
      <c r="A52" s="529" t="s">
        <v>275</v>
      </c>
      <c r="B52" s="1298"/>
      <c r="C52" s="1629" t="str">
        <f>IF(C55+C53=100," ","ПРОВЕРЬ СОСТАВ!!!")</f>
        <v xml:space="preserve"> </v>
      </c>
      <c r="D52" s="1630" t="str">
        <f>IF(D55+D53=100," ","ПРОВЕРЬ СОСТАВ!!!")</f>
        <v>ПРОВЕРЬ СОСТАВ!!!</v>
      </c>
      <c r="E52" s="1631" t="str">
        <f>IF(E55+E53=100," ","ПРОВЕРЬ СОСТАВ!!!")</f>
        <v xml:space="preserve"> </v>
      </c>
      <c r="F52" s="1632" t="str">
        <f>IF(F55+F53=100," ","ПРОВЕРЬ СОСТАВ!!!")</f>
        <v xml:space="preserve"> </v>
      </c>
      <c r="G52" s="1633"/>
      <c r="H52" s="1634"/>
      <c r="I52" s="1635"/>
      <c r="J52" s="1636" t="str">
        <f>IF(J55+J53=100," ","ПРОВЕРЬ СОСТАВ!!!")</f>
        <v xml:space="preserve"> </v>
      </c>
      <c r="K52" s="1637" t="str">
        <f>IF(K55+K53=100," ","ПРОВЕРЬ СОСТАВ!!!")</f>
        <v>ПРОВЕРЬ СОСТАВ!!!</v>
      </c>
      <c r="L52" s="1638" t="str">
        <f>IF(L55+L53=100," ","ПРОВЕРЬ СОСТАВ!!!")</f>
        <v xml:space="preserve"> </v>
      </c>
      <c r="M52" s="1632" t="str">
        <f>IF(M55+M53=100," ","ПРОВЕРЬ СОСТАВ!!!")</f>
        <v xml:space="preserve"> </v>
      </c>
      <c r="N52" s="1639"/>
      <c r="O52" s="1634"/>
      <c r="P52" s="1640"/>
      <c r="Q52" s="1641" t="str">
        <f>IF(Q55+Q53=100," ","ПРОВЕРЬ СОСТАВ!!!")</f>
        <v xml:space="preserve"> </v>
      </c>
      <c r="R52" s="1630" t="str">
        <f>IF(R55+R53=100," ","ПРОВЕРЬ СОСТАВ!!!")</f>
        <v>ПРОВЕРЬ СОСТАВ!!!</v>
      </c>
      <c r="S52" s="1642" t="str">
        <f>IF(S55+S53=100," ","ПРОВЕРЬ СОСТАВ!!!")</f>
        <v xml:space="preserve"> </v>
      </c>
      <c r="T52" s="1632" t="str">
        <f>IF(T55+T53=100," ","ПРОВЕРЬ СОСТАВ!!!")</f>
        <v xml:space="preserve"> </v>
      </c>
      <c r="U52" s="1643"/>
      <c r="V52" s="1644"/>
      <c r="W52" s="1645"/>
    </row>
    <row r="53" spans="1:34" s="83" customFormat="1" ht="22.5" customHeight="1" x14ac:dyDescent="0.2">
      <c r="A53" s="530" t="s">
        <v>277</v>
      </c>
      <c r="B53" s="531"/>
      <c r="C53" s="568">
        <f>SUM(C8:C27)+SUM(C28:C31)/2+SUM(C49:C50)</f>
        <v>43.435000000000002</v>
      </c>
      <c r="D53" s="554">
        <f>SUM(D8:D27)+SUM(D28:D31)/2+SUM(D49:D50)</f>
        <v>0</v>
      </c>
      <c r="E53" s="573">
        <f>SUM(E8:E27)+SUM(E28:E31)/2+SUM(E49:E50)</f>
        <v>44</v>
      </c>
      <c r="F53" s="1646">
        <f>SUM(F8:F27)+SUM(F28:F31)/2+SUM(F49:F50)</f>
        <v>43.285714285714285</v>
      </c>
      <c r="G53" s="581"/>
      <c r="H53" s="544"/>
      <c r="I53" s="576"/>
      <c r="J53" s="1647">
        <f>SUM(J8:J27)+SUM(J28:J31)/2+SUM(J49:J50)</f>
        <v>52.155000000000001</v>
      </c>
      <c r="K53" s="1648">
        <f>SUM(K8:K27)+SUM(K28:K31)/2+SUM(K49:K50)</f>
        <v>0</v>
      </c>
      <c r="L53" s="1649">
        <f>SUM(L8:L27)+SUM(L28:L31)/2+SUM(L49:L50)</f>
        <v>49</v>
      </c>
      <c r="M53" s="1646">
        <f>SUM(M8:M27)+SUM(M28:M31)/2+SUM(M49:M50)</f>
        <v>47.775510204081634</v>
      </c>
      <c r="N53" s="1650"/>
      <c r="O53" s="544"/>
      <c r="P53" s="1651"/>
      <c r="Q53" s="1652">
        <f>SUM(Q8:Q27)+SUM(Q28:Q31)/2+SUM(Q49:Q50)</f>
        <v>47.764479999999992</v>
      </c>
      <c r="R53" s="1648">
        <f>SUM(R8:R27)+SUM(R28:R31)/2+SUM(R49:R50)</f>
        <v>0</v>
      </c>
      <c r="S53" s="1653">
        <f>SUM(S8:S27)+SUM(S28:S31)/2+SUM(S49:S50)</f>
        <v>46.482500000000002</v>
      </c>
      <c r="T53" s="1646">
        <f>SUM(T8:T27)+SUM(T28:T31)/2+SUM(T49:T50)</f>
        <v>45.514897959183671</v>
      </c>
      <c r="U53" s="597"/>
      <c r="V53" s="544"/>
      <c r="W53" s="623"/>
    </row>
    <row r="54" spans="1:34" s="83" customFormat="1" ht="22.5" customHeight="1" x14ac:dyDescent="0.2">
      <c r="A54" s="532" t="s">
        <v>278</v>
      </c>
      <c r="B54" s="533"/>
      <c r="C54" s="569">
        <f t="shared" ref="C54:L54" si="14">SUM(C16:C27)+SUM(C11:C15)*0.2+C49*0.75+C50*0.15</f>
        <v>17.14</v>
      </c>
      <c r="D54" s="555">
        <f t="shared" si="14"/>
        <v>0</v>
      </c>
      <c r="E54" s="574">
        <f t="shared" si="14"/>
        <v>19</v>
      </c>
      <c r="F54" s="1654">
        <f t="shared" si="14"/>
        <v>19.530612244897959</v>
      </c>
      <c r="G54" s="1655"/>
      <c r="H54" s="1656"/>
      <c r="I54" s="1657"/>
      <c r="J54" s="1658">
        <f t="shared" si="14"/>
        <v>7.5600000000000005</v>
      </c>
      <c r="K54" s="1659">
        <f t="shared" si="14"/>
        <v>0</v>
      </c>
      <c r="L54" s="1660">
        <f t="shared" si="14"/>
        <v>3</v>
      </c>
      <c r="M54" s="1654">
        <f>SUM(M16:M27)+SUM(M11:M15)*0.2+M49*0.75+M50*0.15</f>
        <v>0.81632653061224492</v>
      </c>
      <c r="N54" s="1661"/>
      <c r="O54" s="1656"/>
      <c r="P54" s="1662"/>
      <c r="Q54" s="1663">
        <f>SUM(Q16:Q27)+SUM(Q11:Q15)*0.2+Q49*0.75+Q50*0.15</f>
        <v>12.38353</v>
      </c>
      <c r="R54" s="1659">
        <f>SUM(R16:R27)+SUM(R11:R15)*0.2+R49*0.75+R50*0.15</f>
        <v>0</v>
      </c>
      <c r="S54" s="1664">
        <f>SUM(S16:S27)+SUM(S11:S15)*0.2+S49*0.75+S50*0.15</f>
        <v>11.055999999999999</v>
      </c>
      <c r="T54" s="1654">
        <f>SUM(T16:T27)+SUM(T11:T15)*0.2+T49*0.75+T50*0.15</f>
        <v>10.238969387755102</v>
      </c>
      <c r="U54" s="1665"/>
      <c r="V54" s="1656"/>
      <c r="W54" s="1666"/>
    </row>
    <row r="55" spans="1:34" s="83" customFormat="1" ht="22.5" customHeight="1" x14ac:dyDescent="0.2">
      <c r="A55" s="530" t="s">
        <v>284</v>
      </c>
      <c r="B55" s="531"/>
      <c r="C55" s="568">
        <f>SUM(C32:C48)+SUM(C28:C31)/2</f>
        <v>56.564999999999998</v>
      </c>
      <c r="D55" s="554">
        <f>SUM(D32:D48)+SUM(D28:D31)/2</f>
        <v>0</v>
      </c>
      <c r="E55" s="573">
        <f>SUM(E32:E48)+SUM(E28:E31)/2</f>
        <v>56</v>
      </c>
      <c r="F55" s="1646">
        <f>SUM(F32:F48)+SUM(F28:F31)/2</f>
        <v>56.714285714285715</v>
      </c>
      <c r="G55" s="581"/>
      <c r="H55" s="544"/>
      <c r="I55" s="576"/>
      <c r="J55" s="1647">
        <f>SUM(J32:J48)+SUM(J28:J31)/2</f>
        <v>47.844999999999999</v>
      </c>
      <c r="K55" s="1648">
        <f>SUM(K32:K48)+SUM(K28:K31)/2</f>
        <v>0</v>
      </c>
      <c r="L55" s="1649">
        <f>SUM(L32:L48)+SUM(L28:L31)/2</f>
        <v>51</v>
      </c>
      <c r="M55" s="1646">
        <f>SUM(M32:M48)+SUM(M28:M31)/2</f>
        <v>52.224489795918373</v>
      </c>
      <c r="N55" s="1650"/>
      <c r="O55" s="544"/>
      <c r="P55" s="1651"/>
      <c r="Q55" s="1652">
        <f>SUM(Q32:Q48)+SUM(Q28:Q31)/2</f>
        <v>52.235519999999994</v>
      </c>
      <c r="R55" s="1648">
        <f>SUM(R32:R48)+SUM(R28:R31)/2</f>
        <v>0</v>
      </c>
      <c r="S55" s="1653">
        <f>SUM(S32:S48)+SUM(S28:S31)/2</f>
        <v>53.517499999999998</v>
      </c>
      <c r="T55" s="1646">
        <f>SUM(T32:T48)+SUM(T28:T31)/2</f>
        <v>54.485102040816322</v>
      </c>
      <c r="U55" s="597"/>
      <c r="V55" s="544"/>
      <c r="W55" s="623"/>
    </row>
    <row r="56" spans="1:34" s="83" customFormat="1" ht="22.5" customHeight="1" thickBot="1" x14ac:dyDescent="0.25">
      <c r="A56" s="532" t="s">
        <v>287</v>
      </c>
      <c r="B56" s="533"/>
      <c r="C56" s="570">
        <f>SUM(C28:C44)</f>
        <v>67.849999999999994</v>
      </c>
      <c r="D56" s="556">
        <f>SUM(D28:D44)</f>
        <v>0</v>
      </c>
      <c r="E56" s="575">
        <f>SUM(E28:E44)</f>
        <v>68</v>
      </c>
      <c r="F56" s="1667">
        <f>SUM(F28:F44)</f>
        <v>66.040816326530617</v>
      </c>
      <c r="G56" s="1668"/>
      <c r="H56" s="1669"/>
      <c r="I56" s="1670"/>
      <c r="J56" s="1671">
        <f>SUM(J28:J44)</f>
        <v>58.46</v>
      </c>
      <c r="K56" s="1672">
        <f>SUM(K28:K44)</f>
        <v>0</v>
      </c>
      <c r="L56" s="1673">
        <f>SUM(L28:L44)</f>
        <v>49</v>
      </c>
      <c r="M56" s="1667">
        <f>SUM(M28:M44)</f>
        <v>45.571428571428569</v>
      </c>
      <c r="N56" s="1674"/>
      <c r="O56" s="1669"/>
      <c r="P56" s="1675"/>
      <c r="Q56" s="1676">
        <f>SUM(Q28:Q44)</f>
        <v>63.187864999999995</v>
      </c>
      <c r="R56" s="1672">
        <f>SUM(R28:R44)</f>
        <v>0</v>
      </c>
      <c r="S56" s="1677">
        <f>SUM(S28:S44)</f>
        <v>58.566499999999991</v>
      </c>
      <c r="T56" s="1667">
        <f>SUM(T28:T44)</f>
        <v>55.877765306122448</v>
      </c>
      <c r="U56" s="1678"/>
      <c r="V56" s="1669"/>
      <c r="W56" s="1679"/>
    </row>
    <row r="57" spans="1:34" s="83" customFormat="1" ht="26.25" customHeight="1" thickBot="1" x14ac:dyDescent="0.25">
      <c r="A57" s="560" t="s">
        <v>288</v>
      </c>
      <c r="B57" s="561"/>
      <c r="C57" s="1683">
        <f>SUMPRODUCT($B$8:$B$50,C8:C50)/C51</f>
        <v>10517.253958999998</v>
      </c>
      <c r="D57" s="1684" t="e">
        <f>SUMPRODUCT($B$8:$B$50,D8:D50)/D51</f>
        <v>#DIV/0!</v>
      </c>
      <c r="E57" s="1685">
        <f>SUMPRODUCT($B$8:$B$50,E8:E50)/E51</f>
        <v>10493.431100000002</v>
      </c>
      <c r="F57" s="1686">
        <f>SUMPRODUCT($B$8:$B$50,F8:F50)/F51</f>
        <v>10429.072673469384</v>
      </c>
      <c r="G57" s="579">
        <f>+F57-C57</f>
        <v>-88.181285530614332</v>
      </c>
      <c r="H57" s="562"/>
      <c r="I57" s="577">
        <f>F57-E57</f>
        <v>-64.35842653061809</v>
      </c>
      <c r="J57" s="1687">
        <f>SUMPRODUCT($B$8:$B$50,J8:J50)/J51</f>
        <v>9786.990643000001</v>
      </c>
      <c r="K57" s="1688" t="e">
        <f>SUMPRODUCT($B$8:$B$50,K8:K50)/K51</f>
        <v>#DIV/0!</v>
      </c>
      <c r="L57" s="1689">
        <f>SUMPRODUCT($B$8:$B$50,L8:L50)/L51</f>
        <v>9313.1111999999994</v>
      </c>
      <c r="M57" s="1690">
        <f>SUMPRODUCT($B$8:$B$50,M8:M50)/M51</f>
        <v>9156.0836632653063</v>
      </c>
      <c r="N57" s="1680">
        <f>+M57-J57</f>
        <v>-630.90697973469469</v>
      </c>
      <c r="O57" s="1681"/>
      <c r="P57" s="1682">
        <f>M57-L57</f>
        <v>-157.02753673469306</v>
      </c>
      <c r="Q57" s="1691">
        <f>SUMPRODUCT($B$8:$B$50,Q8:Q50)/Q51</f>
        <v>10154.678222605999</v>
      </c>
      <c r="R57" s="1688" t="e">
        <f>SUMPRODUCT($B$8:$B$50,R8:R50)/R51</f>
        <v>#DIV/0!</v>
      </c>
      <c r="S57" s="1692">
        <f>SUMPRODUCT($B$8:$B$50,S8:S50)/S51</f>
        <v>9907.4022696499997</v>
      </c>
      <c r="T57" s="1690">
        <f>SUMPRODUCT($B$8:$B$50,T8:T50)/T51</f>
        <v>9797.0336299030623</v>
      </c>
      <c r="U57" s="598">
        <f>+T57-Q57</f>
        <v>-357.64459270293628</v>
      </c>
      <c r="V57" s="563" t="e">
        <f>+T57-R57</f>
        <v>#DIV/0!</v>
      </c>
      <c r="W57" s="624">
        <f>T57-S57</f>
        <v>-110.36863974693733</v>
      </c>
    </row>
    <row r="58" spans="1:34" s="23" customFormat="1" ht="27.75" customHeight="1" x14ac:dyDescent="0.25">
      <c r="A58" s="223"/>
      <c r="B58" s="223"/>
      <c r="C58" s="223"/>
      <c r="D58" s="223"/>
      <c r="E58" s="223"/>
      <c r="F58" s="534"/>
      <c r="G58" s="534"/>
      <c r="H58" s="534"/>
      <c r="I58" s="534"/>
      <c r="J58" s="223"/>
      <c r="K58" s="223"/>
      <c r="L58" s="223"/>
      <c r="M58" s="223"/>
      <c r="N58" s="223"/>
      <c r="O58" s="223"/>
      <c r="P58" s="223"/>
      <c r="Q58" s="223"/>
      <c r="R58" s="223"/>
      <c r="S58" s="223"/>
      <c r="T58" s="223"/>
      <c r="U58" s="223"/>
      <c r="V58" s="223"/>
    </row>
    <row r="59" spans="1:34" s="24" customFormat="1" ht="23.25" customHeight="1" x14ac:dyDescent="0.2">
      <c r="A59" s="535" t="s">
        <v>402</v>
      </c>
      <c r="B59" s="55"/>
      <c r="C59" s="536"/>
      <c r="D59" s="536"/>
      <c r="E59" s="536"/>
      <c r="F59" s="1807"/>
      <c r="G59" s="536"/>
      <c r="H59" s="536"/>
      <c r="I59" s="536"/>
      <c r="J59" s="55"/>
      <c r="K59" s="55"/>
      <c r="L59" s="55"/>
      <c r="M59" s="1807"/>
      <c r="N59" s="55"/>
      <c r="O59" s="55"/>
      <c r="P59" s="55"/>
      <c r="Q59" s="683"/>
      <c r="R59" s="55"/>
      <c r="S59" s="55"/>
      <c r="T59" s="1807"/>
      <c r="U59" s="55"/>
      <c r="V59" s="55"/>
      <c r="X59" s="1447"/>
      <c r="Z59" s="53"/>
    </row>
    <row r="60" spans="1:34" s="24" customFormat="1" ht="23.25" customHeight="1" x14ac:dyDescent="0.25">
      <c r="A60" s="525" t="s">
        <v>352</v>
      </c>
      <c r="B60" s="538">
        <v>0.50349999999999995</v>
      </c>
      <c r="C60" s="537"/>
      <c r="D60" s="537"/>
      <c r="E60" s="537"/>
      <c r="F60" s="537"/>
      <c r="G60" s="537"/>
      <c r="H60" s="537"/>
      <c r="I60" s="537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</row>
    <row r="61" spans="1:34" s="24" customFormat="1" ht="15.75" x14ac:dyDescent="0.25">
      <c r="A61" s="525" t="s">
        <v>353</v>
      </c>
      <c r="B61" s="538">
        <v>0.49650000000000005</v>
      </c>
      <c r="C61" s="471"/>
      <c r="D61" s="471"/>
      <c r="E61" s="471"/>
      <c r="F61" s="471"/>
      <c r="G61" s="471"/>
      <c r="H61" s="471"/>
      <c r="I61" s="471"/>
      <c r="J61" s="55"/>
      <c r="K61" s="55"/>
      <c r="L61" s="55"/>
      <c r="M61" s="55"/>
      <c r="N61" s="548"/>
      <c r="O61" s="55"/>
      <c r="P61" s="55"/>
      <c r="Q61" s="55"/>
      <c r="R61" s="55"/>
      <c r="S61" s="55"/>
      <c r="T61" s="55"/>
      <c r="U61" s="55"/>
      <c r="V61" s="55"/>
    </row>
    <row r="62" spans="1:34" s="24" customFormat="1" ht="21.75" customHeight="1" x14ac:dyDescent="0.3">
      <c r="A62" s="1810" t="s">
        <v>290</v>
      </c>
      <c r="B62" s="471"/>
      <c r="C62" s="471"/>
      <c r="D62" s="471"/>
      <c r="E62" s="471"/>
      <c r="F62" s="1811">
        <f>F8+F9+F10+F16+F17+F21+F23+F35+F36+F39+F40+F42+F46+F49+F37+F48</f>
        <v>66.326530612244895</v>
      </c>
      <c r="G62" s="1812"/>
      <c r="H62" s="1812"/>
      <c r="I62" s="1812"/>
      <c r="J62" s="1811"/>
      <c r="K62" s="1811"/>
      <c r="L62" s="1811"/>
      <c r="M62" s="1811">
        <f>M8+M9+M10+M16+M17+M21+M23+M35+M36+M39+M40+M42+M46+M49+M37+M48</f>
        <v>77.530612244897952</v>
      </c>
      <c r="N62" s="685"/>
      <c r="O62" s="685"/>
      <c r="P62" s="685"/>
      <c r="Q62" s="685"/>
      <c r="R62" s="685"/>
      <c r="S62" s="685"/>
      <c r="T62" s="1811">
        <f>T8+T9+T10+T16+T17+T21+T23+T35+T36+T39+T40+T42+T46+T49+T37+T48</f>
        <v>71.889357142857136</v>
      </c>
      <c r="U62" s="55"/>
      <c r="V62" s="55"/>
      <c r="W62" s="1808"/>
    </row>
    <row r="63" spans="1:34" s="24" customFormat="1" ht="21.75" customHeight="1" x14ac:dyDescent="0.2">
      <c r="A63" s="471"/>
      <c r="B63" s="471"/>
      <c r="C63" s="471" t="s">
        <v>403</v>
      </c>
      <c r="D63" s="471"/>
      <c r="E63" s="471"/>
      <c r="F63" s="684"/>
      <c r="G63" s="471"/>
      <c r="H63" s="471"/>
      <c r="I63" s="471"/>
      <c r="J63" s="55"/>
      <c r="K63" s="55"/>
      <c r="L63" s="55"/>
      <c r="M63" s="685"/>
      <c r="N63" s="55"/>
      <c r="O63" s="55"/>
      <c r="P63" s="55"/>
      <c r="Q63" s="55"/>
      <c r="R63" s="55"/>
      <c r="S63" s="55"/>
      <c r="T63" s="55"/>
      <c r="U63" s="55"/>
      <c r="V63" s="55"/>
    </row>
    <row r="64" spans="1:34" s="24" customFormat="1" ht="21.75" customHeight="1" x14ac:dyDescent="0.3">
      <c r="A64" s="31"/>
      <c r="B64" s="31"/>
      <c r="C64" s="31"/>
      <c r="D64" s="31"/>
      <c r="E64" s="31"/>
      <c r="F64" s="31"/>
      <c r="G64" s="31"/>
      <c r="H64" s="31"/>
      <c r="I64" s="31"/>
    </row>
    <row r="65" spans="1:9" s="24" customFormat="1" ht="21.75" customHeight="1" x14ac:dyDescent="0.3">
      <c r="A65" s="31"/>
      <c r="B65" s="31"/>
      <c r="C65" s="31"/>
      <c r="D65" s="31"/>
      <c r="E65" s="31"/>
      <c r="F65" s="31"/>
      <c r="G65" s="31"/>
      <c r="H65" s="31"/>
      <c r="I65" s="31"/>
    </row>
    <row r="66" spans="1:9" s="24" customFormat="1" ht="21.75" customHeight="1" x14ac:dyDescent="0.3">
      <c r="A66" s="31"/>
      <c r="B66" s="31"/>
      <c r="C66" s="31"/>
      <c r="D66" s="31"/>
      <c r="E66" s="31"/>
      <c r="F66" s="31"/>
      <c r="G66" s="31"/>
      <c r="H66" s="31"/>
      <c r="I66" s="31"/>
    </row>
    <row r="67" spans="1:9" s="24" customFormat="1" ht="21.75" customHeight="1" x14ac:dyDescent="0.3">
      <c r="A67" s="31"/>
      <c r="B67" s="31"/>
      <c r="C67" s="31"/>
      <c r="D67" s="31"/>
      <c r="E67" s="31"/>
      <c r="F67" s="31"/>
      <c r="G67" s="31"/>
      <c r="H67" s="31"/>
      <c r="I67" s="31"/>
    </row>
    <row r="68" spans="1:9" s="24" customFormat="1" ht="21.75" customHeight="1" x14ac:dyDescent="0.3">
      <c r="A68" s="31"/>
      <c r="B68" s="31"/>
      <c r="C68" s="31"/>
      <c r="D68" s="31"/>
      <c r="E68" s="31"/>
      <c r="F68" s="31"/>
      <c r="G68" s="31"/>
      <c r="H68" s="31"/>
      <c r="I68" s="31"/>
    </row>
    <row r="69" spans="1:9" s="24" customFormat="1" ht="21.75" customHeight="1" x14ac:dyDescent="0.3">
      <c r="A69" s="31"/>
      <c r="B69" s="31"/>
      <c r="C69" s="31"/>
      <c r="D69" s="31"/>
      <c r="E69" s="31"/>
      <c r="F69" s="31"/>
      <c r="G69" s="31"/>
      <c r="H69" s="31"/>
      <c r="I69" s="31"/>
    </row>
    <row r="70" spans="1:9" s="24" customFormat="1" ht="21.75" customHeight="1" x14ac:dyDescent="0.3">
      <c r="A70" s="31"/>
      <c r="B70" s="31"/>
      <c r="C70" s="31"/>
      <c r="D70" s="31"/>
      <c r="E70" s="31"/>
      <c r="F70" s="31"/>
      <c r="G70" s="31"/>
      <c r="H70" s="31"/>
      <c r="I70" s="31"/>
    </row>
    <row r="71" spans="1:9" s="24" customFormat="1" ht="20.25" x14ac:dyDescent="0.2">
      <c r="A71" s="77" t="s">
        <v>0</v>
      </c>
      <c r="B71" s="77"/>
      <c r="C71" s="78"/>
      <c r="D71" s="78"/>
      <c r="E71" s="78"/>
      <c r="F71" s="66"/>
      <c r="G71" s="66"/>
      <c r="H71" s="66"/>
      <c r="I71" s="66"/>
    </row>
    <row r="72" spans="1:9" s="24" customFormat="1" ht="20.25" x14ac:dyDescent="0.2">
      <c r="A72" s="78"/>
      <c r="B72" s="78"/>
      <c r="C72" s="78"/>
      <c r="D72" s="78"/>
      <c r="E72" s="78"/>
    </row>
    <row r="73" spans="1:9" ht="17.25" customHeight="1" x14ac:dyDescent="0.2">
      <c r="A73" s="76"/>
      <c r="B73" s="76"/>
      <c r="F73" s="66"/>
      <c r="G73" s="66"/>
      <c r="H73" s="66"/>
      <c r="I73" s="66"/>
    </row>
    <row r="74" spans="1:9" s="24" customFormat="1" ht="17.25" customHeight="1" x14ac:dyDescent="0.2"/>
    <row r="75" spans="1:9" s="24" customFormat="1" ht="15" x14ac:dyDescent="0.2"/>
    <row r="76" spans="1:9" s="24" customFormat="1" ht="15" x14ac:dyDescent="0.2">
      <c r="A76" s="53"/>
      <c r="B76" s="53"/>
      <c r="C76" s="53"/>
      <c r="D76" s="53"/>
      <c r="E76" s="53"/>
      <c r="F76" s="53"/>
      <c r="G76" s="53"/>
      <c r="H76" s="53"/>
      <c r="I76" s="53"/>
    </row>
    <row r="84" spans="1:5" ht="15.75" x14ac:dyDescent="0.25">
      <c r="A84" s="79"/>
      <c r="B84" s="79"/>
      <c r="C84" s="79"/>
      <c r="D84" s="79"/>
      <c r="E84" s="79"/>
    </row>
  </sheetData>
  <mergeCells count="9">
    <mergeCell ref="A3:T3"/>
    <mergeCell ref="C5:I5"/>
    <mergeCell ref="G6:I6"/>
    <mergeCell ref="B5:B7"/>
    <mergeCell ref="J5:P5"/>
    <mergeCell ref="N6:P6"/>
    <mergeCell ref="Q5:W5"/>
    <mergeCell ref="U6:W6"/>
    <mergeCell ref="A5:A7"/>
  </mergeCells>
  <printOptions horizontalCentered="1"/>
  <pageMargins left="0" right="0" top="0" bottom="0" header="0.78740157480314965" footer="0.23622047244094491"/>
  <pageSetup paperSize="9" scale="55" orientation="landscape" r:id="rId1"/>
  <headerFooter alignWithMargins="0">
    <oddFooter>&amp;R&amp;"Arial Cyr,курсив"&amp;10Лист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2 блок</vt:lpstr>
      <vt:lpstr>3 блок</vt:lpstr>
      <vt:lpstr>Отклонения от БЮДЖЕТА и ПЛАНА</vt:lpstr>
      <vt:lpstr>'2 блок'!Область_печати</vt:lpstr>
      <vt:lpstr>'3 блок'!Область_печати</vt:lpstr>
      <vt:lpstr>'Отклонения от БЮДЖЕТА и ПЛАНА'!Область_печати</vt:lpstr>
    </vt:vector>
  </TitlesOfParts>
  <Company>КХП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Шихтовочный лист</dc:title>
  <dc:subject>разработка шихты</dc:subject>
  <dc:creator>Анастасия Шестоперова</dc:creator>
  <cp:lastModifiedBy>Никита Щербо</cp:lastModifiedBy>
  <cp:lastPrinted>2026-05-20T08:42:45Z</cp:lastPrinted>
  <dcterms:created xsi:type="dcterms:W3CDTF">2001-05-25T04:25:59Z</dcterms:created>
  <dcterms:modified xsi:type="dcterms:W3CDTF">2026-08-05T19:08:35Z</dcterms:modified>
</cp:coreProperties>
</file>