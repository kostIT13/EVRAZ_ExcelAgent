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drawings/drawing10.xml" ContentType="application/vnd.openxmlformats-officedocument.drawing+xml"/>
  <Override PartName="/xl/comments10.xml" ContentType="application/vnd.openxmlformats-officedocument.spreadsheetml.comments+xml"/>
  <Override PartName="/xl/drawings/drawing11.xml" ContentType="application/vnd.openxmlformats-officedocument.drawing+xml"/>
  <Override PartName="/xl/comments11.xml" ContentType="application/vnd.openxmlformats-officedocument.spreadsheetml.comments+xml"/>
  <Override PartName="/xl/drawings/drawing12.xml" ContentType="application/vnd.openxmlformats-officedocument.drawing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Yaroslav\Desktop\EVRAZ_AGENT\data\"/>
    </mc:Choice>
  </mc:AlternateContent>
  <xr:revisionPtr revIDLastSave="0" documentId="13_ncr:1_{8FEA8672-BF23-4D45-99DC-CD50AACA59F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цв.лом(на дек25)" sheetId="1" r:id="rId1"/>
    <sheet name="цв.лом(на нояб25)" sheetId="2" r:id="rId2"/>
    <sheet name="цв.лом(на окт25)" sheetId="3" r:id="rId3"/>
    <sheet name="цв.лом(на сент25)" sheetId="4" r:id="rId4"/>
    <sheet name="цв.лом(на авг25)" sheetId="5" r:id="rId5"/>
    <sheet name="цв.лом(на июль25)" sheetId="6" r:id="rId6"/>
    <sheet name="цв.лом(на июнь25)" sheetId="7" r:id="rId7"/>
    <sheet name="цв.лом(на май25)" sheetId="8" r:id="rId8"/>
    <sheet name="цв.лом(на апр25)" sheetId="9" r:id="rId9"/>
    <sheet name="цв.лом(на март25)" sheetId="10" r:id="rId10"/>
    <sheet name="цв.лом(на фев25)" sheetId="11" r:id="rId11"/>
    <sheet name="цв.лом(на янв25)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" i="10" l="1"/>
  <c r="A51" i="10" s="1"/>
  <c r="A52" i="10" s="1"/>
  <c r="A53" i="10" s="1"/>
  <c r="A54" i="10" s="1"/>
  <c r="A55" i="10" s="1"/>
  <c r="A56" i="10" s="1"/>
  <c r="A57" i="10" s="1"/>
  <c r="A58" i="10" s="1"/>
  <c r="A59" i="10" s="1"/>
  <c r="A60" i="10" s="1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5" i="10"/>
  <c r="A6" i="10" s="1"/>
  <c r="A7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1" i="10" s="1"/>
  <c r="A42" i="10" s="1"/>
  <c r="A43" i="10" s="1"/>
  <c r="A44" i="10" s="1"/>
  <c r="A50" i="9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5" i="9"/>
  <c r="A6" i="9" s="1"/>
  <c r="A7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1" i="9" s="1"/>
  <c r="A42" i="9" s="1"/>
  <c r="A43" i="9" s="1"/>
  <c r="A44" i="9" s="1"/>
  <c r="A50" i="8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5" i="8"/>
  <c r="A6" i="8" s="1"/>
  <c r="A7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1" i="8" s="1"/>
  <c r="A42" i="8" s="1"/>
  <c r="A43" i="8" s="1"/>
  <c r="A44" i="8" s="1"/>
  <c r="A54" i="7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50" i="7"/>
  <c r="A51" i="7" s="1"/>
  <c r="A52" i="7" s="1"/>
  <c r="A53" i="7" s="1"/>
  <c r="A5" i="7"/>
  <c r="A6" i="7" s="1"/>
  <c r="A7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1" i="7" s="1"/>
  <c r="A42" i="7" s="1"/>
  <c r="A43" i="7" s="1"/>
  <c r="A44" i="7" s="1"/>
  <c r="A54" i="6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50" i="6"/>
  <c r="A51" i="6" s="1"/>
  <c r="A52" i="6" s="1"/>
  <c r="A53" i="6" s="1"/>
  <c r="A5" i="6"/>
  <c r="A6" i="6" s="1"/>
  <c r="A7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1" i="6" s="1"/>
  <c r="A42" i="6" s="1"/>
  <c r="A43" i="6" s="1"/>
  <c r="A44" i="6" s="1"/>
  <c r="A5" i="5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Elena.Shamina@evraz.com</author>
  </authors>
  <commentList>
    <comment ref="D54" authorId="0" shapeId="0" xr:uid="{00000000-0006-0000-0000-000001000000}">
      <text>
        <r>
          <rPr>
            <sz val="10"/>
            <rFont val="Arial Cyr"/>
          </rPr>
          <t>Elena.Shamina@evraz.com:
среднее между ломами с сод.Ni 3% и 4%</t>
        </r>
      </text>
    </comment>
    <comment ref="D62" authorId="0" shapeId="0" xr:uid="{00000000-0006-0000-0000-000002000000}">
      <text>
        <r>
          <rPr>
            <sz val="10"/>
            <rFont val="Arial Cyr"/>
          </rPr>
          <t>Elena.Shamina@evraz.com:
от максим. цены на Б26 + 8700 за 1% Ni</t>
        </r>
      </text>
    </comment>
    <comment ref="E62" authorId="0" shapeId="0" xr:uid="{00000000-0006-0000-0000-000003000000}">
      <text>
        <r>
          <rPr>
            <sz val="10"/>
            <rFont val="Arial Cyr"/>
          </rPr>
          <t>Elena.Shamina@evraz.com:
от максим. цены на Б26 + 7000 за 1% Ni</t>
        </r>
      </text>
    </comment>
    <comment ref="G62" authorId="0" shapeId="0" xr:uid="{00000000-0006-0000-0000-000004000000}">
      <text>
        <r>
          <rPr>
            <sz val="10"/>
            <rFont val="Arial Cyr"/>
          </rPr>
          <t>Elena.Shamina@evraz.com:
от максим.цены на Б26 + 10000 за 1% Ni</t>
        </r>
      </text>
    </comment>
    <comment ref="D64" authorId="0" shapeId="0" xr:uid="{00000000-0006-0000-0000-000005000000}">
      <text>
        <r>
          <rPr>
            <sz val="10"/>
            <rFont val="Arial Cyr"/>
          </rPr>
          <t>Elena.Shamina@evraz.com:
в одной ценовой категории с Б23</t>
        </r>
      </text>
    </comment>
    <comment ref="D65" authorId="0" shapeId="0" xr:uid="{00000000-0006-0000-0000-000006000000}">
      <text>
        <r>
          <rPr>
            <sz val="10"/>
            <rFont val="Arial Cyr"/>
          </rPr>
          <t>Elena.Shamina@evraz.com:
среднее между ломами с сод.Ni 3% и 4%</t>
        </r>
      </text>
    </comment>
    <comment ref="D69" authorId="0" shapeId="0" xr:uid="{00000000-0006-0000-0000-000007000000}">
      <text>
        <r>
          <rPr>
            <sz val="10"/>
            <rFont val="Arial Cyr"/>
          </rPr>
          <t>Elena.Shamina@evraz.com:
по лому с сод.Ni 6%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Elena.Shamina@evraz.com</author>
  </authors>
  <commentList>
    <comment ref="D54" authorId="0" shapeId="0" xr:uid="{00000000-0006-0000-0100-000001000000}">
      <text>
        <r>
          <rPr>
            <sz val="10"/>
            <rFont val="Arial Cyr"/>
          </rPr>
          <t>Elena.Shamina@evraz.com:
среднее между ломами с сод.Ni 3% и 4%</t>
        </r>
      </text>
    </comment>
    <comment ref="D62" authorId="0" shapeId="0" xr:uid="{00000000-0006-0000-0100-000002000000}">
      <text>
        <r>
          <rPr>
            <sz val="10"/>
            <rFont val="Arial Cyr"/>
          </rPr>
          <t>Elena.Shamina@evraz.com:
от максим. цены на Б26 + 8700 за 1% Ni</t>
        </r>
      </text>
    </comment>
    <comment ref="E62" authorId="0" shapeId="0" xr:uid="{00000000-0006-0000-0100-000003000000}">
      <text>
        <r>
          <rPr>
            <sz val="10"/>
            <rFont val="Arial Cyr"/>
          </rPr>
          <t>Elena.Shamina@evraz.com:
от максим. цены на Б26 + 7000 за 1% Ni</t>
        </r>
      </text>
    </comment>
    <comment ref="G62" authorId="0" shapeId="0" xr:uid="{00000000-0006-0000-0100-000004000000}">
      <text>
        <r>
          <rPr>
            <sz val="10"/>
            <rFont val="Arial Cyr"/>
          </rPr>
          <t>Elena.Shamina@evraz.com:
от максим.цены на Б26 + 10000 за 1% Ni</t>
        </r>
      </text>
    </comment>
    <comment ref="D64" authorId="0" shapeId="0" xr:uid="{00000000-0006-0000-0100-000005000000}">
      <text>
        <r>
          <rPr>
            <sz val="10"/>
            <rFont val="Arial Cyr"/>
          </rPr>
          <t>Elena.Shamina@evraz.com:
в одной ценовой категории с Б23</t>
        </r>
      </text>
    </comment>
    <comment ref="D65" authorId="0" shapeId="0" xr:uid="{00000000-0006-0000-0100-000006000000}">
      <text>
        <r>
          <rPr>
            <sz val="10"/>
            <rFont val="Arial Cyr"/>
          </rPr>
          <t>Elena.Shamina@evraz.com:
среднее между ломами с сод.Ni 3% и 4%</t>
        </r>
      </text>
    </comment>
    <comment ref="D69" authorId="0" shapeId="0" xr:uid="{00000000-0006-0000-0100-000007000000}">
      <text>
        <r>
          <rPr>
            <sz val="10"/>
            <rFont val="Arial Cyr"/>
          </rPr>
          <t>Elena.Shamina@evraz.com:
по лому с сод.Ni 6%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Elena.Shamina@evraz.com</author>
  </authors>
  <commentList>
    <comment ref="D54" authorId="0" shapeId="0" xr:uid="{00000000-0006-0000-0200-000001000000}">
      <text>
        <r>
          <rPr>
            <sz val="10"/>
            <rFont val="Arial Cyr"/>
          </rPr>
          <t>Elena.Shamina@evraz.com:
среднее между ломами с сод.Ni 3% и 4%</t>
        </r>
      </text>
    </comment>
    <comment ref="D62" authorId="0" shapeId="0" xr:uid="{00000000-0006-0000-0200-000002000000}">
      <text>
        <r>
          <rPr>
            <sz val="10"/>
            <rFont val="Arial Cyr"/>
          </rPr>
          <t>Elena.Shamina@evraz.com:
от максим. цены на Б26 + 8700 за 1% Ni</t>
        </r>
      </text>
    </comment>
    <comment ref="E62" authorId="0" shapeId="0" xr:uid="{00000000-0006-0000-0200-000003000000}">
      <text>
        <r>
          <rPr>
            <sz val="10"/>
            <rFont val="Arial Cyr"/>
          </rPr>
          <t>Elena.Shamina@evraz.com:
от максим. цены на Б26 + 7000 за 1% Ni</t>
        </r>
      </text>
    </comment>
    <comment ref="G62" authorId="0" shapeId="0" xr:uid="{00000000-0006-0000-0200-000004000000}">
      <text>
        <r>
          <rPr>
            <sz val="10"/>
            <rFont val="Arial Cyr"/>
          </rPr>
          <t>Elena.Shamina@evraz.com:
от максим.цены на Б26 + 10000 за 1% Ni</t>
        </r>
      </text>
    </comment>
    <comment ref="D64" authorId="0" shapeId="0" xr:uid="{00000000-0006-0000-0200-000005000000}">
      <text>
        <r>
          <rPr>
            <sz val="10"/>
            <rFont val="Arial Cyr"/>
          </rPr>
          <t>Elena.Shamina@evraz.com:
в одной ценовой категории с Б23</t>
        </r>
      </text>
    </comment>
    <comment ref="D65" authorId="0" shapeId="0" xr:uid="{00000000-0006-0000-0200-000006000000}">
      <text>
        <r>
          <rPr>
            <sz val="10"/>
            <rFont val="Arial Cyr"/>
          </rPr>
          <t>Elena.Shamina@evraz.com:
среднее между ломами с сод.Ni 3% и 4%</t>
        </r>
      </text>
    </comment>
    <comment ref="D69" authorId="0" shapeId="0" xr:uid="{00000000-0006-0000-0200-000007000000}">
      <text>
        <r>
          <rPr>
            <sz val="10"/>
            <rFont val="Arial Cyr"/>
          </rPr>
          <t>Elena.Shamina@evraz.com:
по лому с сод.Ni 6%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Elena.Shamina@evraz.com</author>
  </authors>
  <commentList>
    <comment ref="D54" authorId="0" shapeId="0" xr:uid="{00000000-0006-0000-0300-000001000000}">
      <text>
        <r>
          <rPr>
            <sz val="10"/>
            <rFont val="Arial Cyr"/>
          </rPr>
          <t>Elena.Shamina@evraz.com:
среднее между ломами с сод.Ni 3% и 4%</t>
        </r>
      </text>
    </comment>
    <comment ref="D62" authorId="0" shapeId="0" xr:uid="{00000000-0006-0000-0300-000002000000}">
      <text>
        <r>
          <rPr>
            <sz val="10"/>
            <rFont val="Arial Cyr"/>
          </rPr>
          <t>Elena.Shamina@evraz.com:
от максим. цены на Б26 + 8700 за 1% Ni</t>
        </r>
      </text>
    </comment>
    <comment ref="E62" authorId="0" shapeId="0" xr:uid="{00000000-0006-0000-0300-000003000000}">
      <text>
        <r>
          <rPr>
            <sz val="10"/>
            <rFont val="Arial Cyr"/>
          </rPr>
          <t>Elena.Shamina@evraz.com:
от максим. цены на Б26 + 7000 за 1% Ni</t>
        </r>
      </text>
    </comment>
    <comment ref="G62" authorId="0" shapeId="0" xr:uid="{00000000-0006-0000-0300-000004000000}">
      <text>
        <r>
          <rPr>
            <sz val="10"/>
            <rFont val="Arial Cyr"/>
          </rPr>
          <t>Elena.Shamina@evraz.com:
от максим.цены на Б26 + 10000 за 1% Ni</t>
        </r>
      </text>
    </comment>
    <comment ref="D64" authorId="0" shapeId="0" xr:uid="{00000000-0006-0000-0300-000005000000}">
      <text>
        <r>
          <rPr>
            <sz val="10"/>
            <rFont val="Arial Cyr"/>
          </rPr>
          <t>Elena.Shamina@evraz.com:
в одной ценовой категории с Б23</t>
        </r>
      </text>
    </comment>
    <comment ref="D65" authorId="0" shapeId="0" xr:uid="{00000000-0006-0000-0300-000006000000}">
      <text>
        <r>
          <rPr>
            <sz val="10"/>
            <rFont val="Arial Cyr"/>
          </rPr>
          <t>Elena.Shamina@evraz.com:
среднее между ломами с сод.Ni 3% и 4%</t>
        </r>
      </text>
    </comment>
    <comment ref="D69" authorId="0" shapeId="0" xr:uid="{00000000-0006-0000-0300-000007000000}">
      <text>
        <r>
          <rPr>
            <sz val="10"/>
            <rFont val="Arial Cyr"/>
          </rPr>
          <t>Elena.Shamina@evraz.com:
по лому с сод.Ni 6%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Elena.Shamina@evraz.com</author>
  </authors>
  <commentList>
    <comment ref="D54" authorId="0" shapeId="0" xr:uid="{00000000-0006-0000-0400-000001000000}">
      <text>
        <r>
          <rPr>
            <sz val="10"/>
            <rFont val="Arial Cyr"/>
          </rPr>
          <t>Elena.Shamina@evraz.com:
среднее между ломами с сод.Ni 3% и 4%</t>
        </r>
      </text>
    </comment>
    <comment ref="D62" authorId="0" shapeId="0" xr:uid="{00000000-0006-0000-0400-000002000000}">
      <text>
        <r>
          <rPr>
            <sz val="10"/>
            <rFont val="Arial Cyr"/>
          </rPr>
          <t>Elena.Shamina@evraz.com:
от максим. цены на Б26 + 8700 за 1% Ni</t>
        </r>
      </text>
    </comment>
    <comment ref="E62" authorId="0" shapeId="0" xr:uid="{00000000-0006-0000-0400-000003000000}">
      <text>
        <r>
          <rPr>
            <sz val="10"/>
            <rFont val="Arial Cyr"/>
          </rPr>
          <t>Elena.Shamina@evraz.com:
от максим. цены на Б26 + 7000 за 1% Ni</t>
        </r>
      </text>
    </comment>
    <comment ref="G62" authorId="0" shapeId="0" xr:uid="{00000000-0006-0000-0400-000004000000}">
      <text>
        <r>
          <rPr>
            <sz val="10"/>
            <rFont val="Arial Cyr"/>
          </rPr>
          <t>Elena.Shamina@evraz.com:
от максим.цены на Б26 + 10000 за 1% Ni</t>
        </r>
      </text>
    </comment>
    <comment ref="D64" authorId="0" shapeId="0" xr:uid="{00000000-0006-0000-0400-000005000000}">
      <text>
        <r>
          <rPr>
            <sz val="10"/>
            <rFont val="Arial Cyr"/>
          </rPr>
          <t>Elena.Shamina@evraz.com:
в одной ценовой категории с Б23</t>
        </r>
      </text>
    </comment>
    <comment ref="D65" authorId="0" shapeId="0" xr:uid="{00000000-0006-0000-0400-000006000000}">
      <text>
        <r>
          <rPr>
            <sz val="10"/>
            <rFont val="Arial Cyr"/>
          </rPr>
          <t>Elena.Shamina@evraz.com:
среднее между ломами с сод.Ni 3% и 4%</t>
        </r>
      </text>
    </comment>
    <comment ref="D69" authorId="0" shapeId="0" xr:uid="{00000000-0006-0000-0400-000007000000}">
      <text>
        <r>
          <rPr>
            <sz val="10"/>
            <rFont val="Arial Cyr"/>
          </rPr>
          <t>Elena.Shamina@evraz.com:
по лому с сод.Ni 6%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Elena.Shamina@evraz.com</author>
  </authors>
  <commentList>
    <comment ref="D54" authorId="0" shapeId="0" xr:uid="{00000000-0006-0000-0500-000001000000}">
      <text>
        <r>
          <rPr>
            <sz val="10"/>
            <rFont val="Arial Cyr"/>
          </rPr>
          <t>Elena.Shamina@evraz.com:
среднее между ломами с сод.Ni 3% и 4%</t>
        </r>
      </text>
    </comment>
    <comment ref="D62" authorId="0" shapeId="0" xr:uid="{00000000-0006-0000-0500-000002000000}">
      <text>
        <r>
          <rPr>
            <sz val="10"/>
            <rFont val="Arial Cyr"/>
          </rPr>
          <t>Elena.Shamina@evraz.com:
от максим. цены на Б26 + 8700 за 1% Ni</t>
        </r>
      </text>
    </comment>
    <comment ref="E62" authorId="0" shapeId="0" xr:uid="{00000000-0006-0000-0500-000003000000}">
      <text>
        <r>
          <rPr>
            <sz val="10"/>
            <rFont val="Arial Cyr"/>
          </rPr>
          <t>Elena.Shamina@evraz.com:
от максим. цены на Б26 + 7000 за 1% Ni</t>
        </r>
      </text>
    </comment>
    <comment ref="G62" authorId="0" shapeId="0" xr:uid="{00000000-0006-0000-0500-000004000000}">
      <text>
        <r>
          <rPr>
            <sz val="10"/>
            <rFont val="Arial Cyr"/>
          </rPr>
          <t>Elena.Shamina@evraz.com:
от максим.цены на Б26 + 10000 за 1% Ni</t>
        </r>
      </text>
    </comment>
    <comment ref="D64" authorId="0" shapeId="0" xr:uid="{00000000-0006-0000-0500-000005000000}">
      <text>
        <r>
          <rPr>
            <sz val="10"/>
            <rFont val="Arial Cyr"/>
          </rPr>
          <t>Elena.Shamina@evraz.com:
в одной ценовой категории с Б23</t>
        </r>
      </text>
    </comment>
    <comment ref="D65" authorId="0" shapeId="0" xr:uid="{00000000-0006-0000-0500-000006000000}">
      <text>
        <r>
          <rPr>
            <sz val="10"/>
            <rFont val="Arial Cyr"/>
          </rPr>
          <t>Elena.Shamina@evraz.com:
среднее между ломами с сод.Ni 3% и 4%</t>
        </r>
      </text>
    </comment>
    <comment ref="D69" authorId="0" shapeId="0" xr:uid="{00000000-0006-0000-0500-000007000000}">
      <text>
        <r>
          <rPr>
            <sz val="10"/>
            <rFont val="Arial Cyr"/>
          </rPr>
          <t>Elena.Shamina@evraz.com:
по лому с сод.Ni 6%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Elena.Shamina@evraz.com</author>
  </authors>
  <commentList>
    <comment ref="D54" authorId="0" shapeId="0" xr:uid="{00000000-0006-0000-0600-000001000000}">
      <text>
        <r>
          <rPr>
            <sz val="10"/>
            <rFont val="Arial Cyr"/>
          </rPr>
          <t>Elena.Shamina@evraz.com:
среднее между ломами с сод.Ni 3% и 4%</t>
        </r>
      </text>
    </comment>
    <comment ref="D62" authorId="0" shapeId="0" xr:uid="{00000000-0006-0000-0600-000002000000}">
      <text>
        <r>
          <rPr>
            <sz val="10"/>
            <rFont val="Arial Cyr"/>
          </rPr>
          <t>Elena.Shamina@evraz.com:
от максим. цены на Б26 + 8700 за 1% Ni</t>
        </r>
      </text>
    </comment>
    <comment ref="E62" authorId="0" shapeId="0" xr:uid="{00000000-0006-0000-0600-000003000000}">
      <text>
        <r>
          <rPr>
            <sz val="10"/>
            <rFont val="Arial Cyr"/>
          </rPr>
          <t>Elena.Shamina@evraz.com:
от максим. цены на Б26 + 7000 за 1% Ni</t>
        </r>
      </text>
    </comment>
    <comment ref="G62" authorId="0" shapeId="0" xr:uid="{00000000-0006-0000-0600-000004000000}">
      <text>
        <r>
          <rPr>
            <sz val="10"/>
            <rFont val="Arial Cyr"/>
          </rPr>
          <t>Elena.Shamina@evraz.com:
от максим.цены на Б26 + 10000 за 1% Ni</t>
        </r>
      </text>
    </comment>
    <comment ref="D64" authorId="0" shapeId="0" xr:uid="{00000000-0006-0000-0600-000005000000}">
      <text>
        <r>
          <rPr>
            <sz val="10"/>
            <rFont val="Arial Cyr"/>
          </rPr>
          <t>Elena.Shamina@evraz.com:
в одной ценовой категории с Б23</t>
        </r>
      </text>
    </comment>
    <comment ref="D65" authorId="0" shapeId="0" xr:uid="{00000000-0006-0000-0600-000006000000}">
      <text>
        <r>
          <rPr>
            <sz val="10"/>
            <rFont val="Arial Cyr"/>
          </rPr>
          <t>Elena.Shamina@evraz.com:
среднее между ломами с сод.Ni 3% и 4%</t>
        </r>
      </text>
    </comment>
    <comment ref="D69" authorId="0" shapeId="0" xr:uid="{00000000-0006-0000-0600-000007000000}">
      <text>
        <r>
          <rPr>
            <sz val="10"/>
            <rFont val="Arial Cyr"/>
          </rPr>
          <t>Elena.Shamina@evraz.com:
по лому с сод.Ni 6%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Elena.Shamina@evraz.com</author>
  </authors>
  <commentList>
    <comment ref="D54" authorId="0" shapeId="0" xr:uid="{00000000-0006-0000-0700-000001000000}">
      <text>
        <r>
          <rPr>
            <sz val="10"/>
            <rFont val="Arial Cyr"/>
          </rPr>
          <t>Elena.Shamina@evraz.com:
среднее между ломами с сод.Ni 3% и 4%</t>
        </r>
      </text>
    </comment>
    <comment ref="D62" authorId="0" shapeId="0" xr:uid="{00000000-0006-0000-0700-000002000000}">
      <text>
        <r>
          <rPr>
            <sz val="10"/>
            <rFont val="Arial Cyr"/>
          </rPr>
          <t>Elena.Shamina@evraz.com:
от максим. цены на Б26 + 8700 за 1% Ni</t>
        </r>
      </text>
    </comment>
    <comment ref="E62" authorId="0" shapeId="0" xr:uid="{00000000-0006-0000-0700-000003000000}">
      <text>
        <r>
          <rPr>
            <sz val="10"/>
            <rFont val="Arial Cyr"/>
          </rPr>
          <t>Elena.Shamina@evraz.com:
от максим. цены на Б26 + 7000 за 1% Ni</t>
        </r>
      </text>
    </comment>
    <comment ref="G62" authorId="0" shapeId="0" xr:uid="{00000000-0006-0000-0700-000004000000}">
      <text>
        <r>
          <rPr>
            <sz val="10"/>
            <rFont val="Arial Cyr"/>
          </rPr>
          <t>Elena.Shamina@evraz.com:
от максим.цены на Б26 + 10000 за 1% Ni</t>
        </r>
      </text>
    </comment>
    <comment ref="D64" authorId="0" shapeId="0" xr:uid="{00000000-0006-0000-0700-000005000000}">
      <text>
        <r>
          <rPr>
            <sz val="10"/>
            <rFont val="Arial Cyr"/>
          </rPr>
          <t>Elena.Shamina@evraz.com:
в одной ценовой категории с Б23</t>
        </r>
      </text>
    </comment>
    <comment ref="D65" authorId="0" shapeId="0" xr:uid="{00000000-0006-0000-0700-000006000000}">
      <text>
        <r>
          <rPr>
            <sz val="10"/>
            <rFont val="Arial Cyr"/>
          </rPr>
          <t>Elena.Shamina@evraz.com:
среднее между ломами с сод.Ni 3% и 4%</t>
        </r>
      </text>
    </comment>
    <comment ref="D69" authorId="0" shapeId="0" xr:uid="{00000000-0006-0000-0700-000007000000}">
      <text>
        <r>
          <rPr>
            <sz val="10"/>
            <rFont val="Arial Cyr"/>
          </rPr>
          <t>Elena.Shamina@evraz.com:
по лому с сод.Ni 6%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Elena.Shamina@evraz.com</author>
  </authors>
  <commentList>
    <comment ref="D54" authorId="0" shapeId="0" xr:uid="{00000000-0006-0000-0800-000001000000}">
      <text>
        <r>
          <rPr>
            <sz val="10"/>
            <rFont val="Arial Cyr"/>
          </rPr>
          <t>Elena.Shamina@evraz.com:
среднее между ломами с сод.Ni 3% и 4%</t>
        </r>
      </text>
    </comment>
    <comment ref="D62" authorId="0" shapeId="0" xr:uid="{00000000-0006-0000-0800-000002000000}">
      <text>
        <r>
          <rPr>
            <sz val="10"/>
            <rFont val="Arial Cyr"/>
          </rPr>
          <t>Elena.Shamina@evraz.com:
от максим. цены на Б26 + 8700 за 1% Ni</t>
        </r>
      </text>
    </comment>
    <comment ref="E62" authorId="0" shapeId="0" xr:uid="{00000000-0006-0000-0800-000003000000}">
      <text>
        <r>
          <rPr>
            <sz val="10"/>
            <rFont val="Arial Cyr"/>
          </rPr>
          <t>Elena.Shamina@evraz.com:
от максим. цены на Б26 + 7000 за 1% Ni</t>
        </r>
      </text>
    </comment>
    <comment ref="G62" authorId="0" shapeId="0" xr:uid="{00000000-0006-0000-0800-000004000000}">
      <text>
        <r>
          <rPr>
            <sz val="10"/>
            <rFont val="Arial Cyr"/>
          </rPr>
          <t>Elena.Shamina@evraz.com:
от максим.цены на Б26 + 10000 за 1% Ni</t>
        </r>
      </text>
    </comment>
    <comment ref="D64" authorId="0" shapeId="0" xr:uid="{00000000-0006-0000-0800-000005000000}">
      <text>
        <r>
          <rPr>
            <sz val="10"/>
            <rFont val="Arial Cyr"/>
          </rPr>
          <t>Elena.Shamina@evraz.com:
в одной ценовой категории с Б23</t>
        </r>
      </text>
    </comment>
    <comment ref="D65" authorId="0" shapeId="0" xr:uid="{00000000-0006-0000-0800-000006000000}">
      <text>
        <r>
          <rPr>
            <sz val="10"/>
            <rFont val="Arial Cyr"/>
          </rPr>
          <t>Elena.Shamina@evraz.com:
среднее между ломами с сод.Ni 3% и 4%</t>
        </r>
      </text>
    </comment>
    <comment ref="D69" authorId="0" shapeId="0" xr:uid="{00000000-0006-0000-0800-000007000000}">
      <text>
        <r>
          <rPr>
            <sz val="10"/>
            <rFont val="Arial Cyr"/>
          </rPr>
          <t>Elena.Shamina@evraz.com:
по лому с сод.Ni 6%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Elena.Shamina@evraz.com</author>
  </authors>
  <commentList>
    <comment ref="D54" authorId="0" shapeId="0" xr:uid="{00000000-0006-0000-0900-000001000000}">
      <text>
        <r>
          <rPr>
            <sz val="10"/>
            <rFont val="Arial Cyr"/>
          </rPr>
          <t>Elena.Shamina@evraz.com:
среднее между ломами с сод.Ni 3% и 4%</t>
        </r>
      </text>
    </comment>
    <comment ref="D62" authorId="0" shapeId="0" xr:uid="{00000000-0006-0000-0900-000002000000}">
      <text>
        <r>
          <rPr>
            <sz val="10"/>
            <rFont val="Arial Cyr"/>
          </rPr>
          <t>Elena.Shamina@evraz.com:
от максим. цены на Б26 + 8700 за 1% Ni</t>
        </r>
      </text>
    </comment>
    <comment ref="E62" authorId="0" shapeId="0" xr:uid="{00000000-0006-0000-0900-000003000000}">
      <text>
        <r>
          <rPr>
            <sz val="10"/>
            <rFont val="Arial Cyr"/>
          </rPr>
          <t>Elena.Shamina@evraz.com:
от максим. цены на Б26 + 7000 за 1% Ni</t>
        </r>
      </text>
    </comment>
    <comment ref="G62" authorId="0" shapeId="0" xr:uid="{00000000-0006-0000-0900-000004000000}">
      <text>
        <r>
          <rPr>
            <sz val="10"/>
            <rFont val="Arial Cyr"/>
          </rPr>
          <t>Elena.Shamina@evraz.com:
от максим.цены на Б26 + 10000 за 1% Ni</t>
        </r>
      </text>
    </comment>
    <comment ref="D64" authorId="0" shapeId="0" xr:uid="{00000000-0006-0000-0900-000005000000}">
      <text>
        <r>
          <rPr>
            <sz val="10"/>
            <rFont val="Arial Cyr"/>
          </rPr>
          <t>Elena.Shamina@evraz.com:
в одной ценовой категории с Б23</t>
        </r>
      </text>
    </comment>
    <comment ref="D65" authorId="0" shapeId="0" xr:uid="{00000000-0006-0000-0900-000006000000}">
      <text>
        <r>
          <rPr>
            <sz val="10"/>
            <rFont val="Arial Cyr"/>
          </rPr>
          <t>Elena.Shamina@evraz.com:
среднее между ломами с сод.Ni 3% и 4%</t>
        </r>
      </text>
    </comment>
    <comment ref="D69" authorId="0" shapeId="0" xr:uid="{00000000-0006-0000-0900-000007000000}">
      <text>
        <r>
          <rPr>
            <sz val="10"/>
            <rFont val="Arial Cyr"/>
          </rPr>
          <t>Elena.Shamina@evraz.com:
по лому с сод.Ni 6%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Elena.Shamina@evraz.com</author>
  </authors>
  <commentList>
    <comment ref="D54" authorId="0" shapeId="0" xr:uid="{00000000-0006-0000-0A00-000001000000}">
      <text>
        <r>
          <rPr>
            <sz val="10"/>
            <rFont val="Arial Cyr"/>
          </rPr>
          <t>Elena.Shamina@evraz.com:
среднее между ломами с сод.Ni 3% и 4%</t>
        </r>
      </text>
    </comment>
    <comment ref="D62" authorId="0" shapeId="0" xr:uid="{00000000-0006-0000-0A00-000002000000}">
      <text>
        <r>
          <rPr>
            <sz val="10"/>
            <rFont val="Arial Cyr"/>
          </rPr>
          <t>Elena.Shamina@evraz.com:
от максим. цены на Б26 + 8700 за 1% Ni</t>
        </r>
      </text>
    </comment>
    <comment ref="E62" authorId="0" shapeId="0" xr:uid="{00000000-0006-0000-0A00-000003000000}">
      <text>
        <r>
          <rPr>
            <sz val="10"/>
            <rFont val="Arial Cyr"/>
          </rPr>
          <t>Elena.Shamina@evraz.com:
от максим. цены на Б26 + 7000 за 1% Ni</t>
        </r>
      </text>
    </comment>
    <comment ref="G62" authorId="0" shapeId="0" xr:uid="{00000000-0006-0000-0A00-000004000000}">
      <text>
        <r>
          <rPr>
            <sz val="10"/>
            <rFont val="Arial Cyr"/>
          </rPr>
          <t>Elena.Shamina@evraz.com:
от максим.цены на Б26 + 10000 за 1% Ni</t>
        </r>
      </text>
    </comment>
    <comment ref="D64" authorId="0" shapeId="0" xr:uid="{00000000-0006-0000-0A00-000005000000}">
      <text>
        <r>
          <rPr>
            <sz val="10"/>
            <rFont val="Arial Cyr"/>
          </rPr>
          <t>Elena.Shamina@evraz.com:
в одной ценовой категории с Б23</t>
        </r>
      </text>
    </comment>
    <comment ref="D65" authorId="0" shapeId="0" xr:uid="{00000000-0006-0000-0A00-000006000000}">
      <text>
        <r>
          <rPr>
            <sz val="10"/>
            <rFont val="Arial Cyr"/>
          </rPr>
          <t>Elena.Shamina@evraz.com:
среднее между ломами с сод.Ni 3% и 4%</t>
        </r>
      </text>
    </comment>
    <comment ref="D69" authorId="0" shapeId="0" xr:uid="{00000000-0006-0000-0A00-000007000000}">
      <text>
        <r>
          <rPr>
            <sz val="10"/>
            <rFont val="Arial Cyr"/>
          </rPr>
          <t>Elena.Shamina@evraz.com:
по лому с сод.Ni 6%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Elena.Shamina@evraz.com</author>
  </authors>
  <commentList>
    <comment ref="D54" authorId="0" shapeId="0" xr:uid="{00000000-0006-0000-0B00-000001000000}">
      <text>
        <r>
          <rPr>
            <sz val="10"/>
            <rFont val="Arial Cyr"/>
          </rPr>
          <t>Elena.Shamina@evraz.com:
среднее между ломами с сод.Ni 3% и 4%</t>
        </r>
      </text>
    </comment>
    <comment ref="D62" authorId="0" shapeId="0" xr:uid="{00000000-0006-0000-0B00-000002000000}">
      <text>
        <r>
          <rPr>
            <sz val="10"/>
            <rFont val="Arial Cyr"/>
          </rPr>
          <t>Elena.Shamina@evraz.com:
от максим. цены на Б26 + 8700 за 1% Ni</t>
        </r>
      </text>
    </comment>
    <comment ref="E62" authorId="0" shapeId="0" xr:uid="{00000000-0006-0000-0B00-000003000000}">
      <text>
        <r>
          <rPr>
            <sz val="10"/>
            <rFont val="Arial Cyr"/>
          </rPr>
          <t>Elena.Shamina@evraz.com:
от максим. цены на Б26 + 7000 за 1% Ni</t>
        </r>
      </text>
    </comment>
    <comment ref="G62" authorId="0" shapeId="0" xr:uid="{00000000-0006-0000-0B00-000004000000}">
      <text>
        <r>
          <rPr>
            <sz val="10"/>
            <rFont val="Arial Cyr"/>
          </rPr>
          <t>Elena.Shamina@evraz.com:
от максим.цены на Б26 + 10000 за 1% Ni</t>
        </r>
      </text>
    </comment>
    <comment ref="D64" authorId="0" shapeId="0" xr:uid="{00000000-0006-0000-0B00-000005000000}">
      <text>
        <r>
          <rPr>
            <sz val="10"/>
            <rFont val="Arial Cyr"/>
          </rPr>
          <t>Elena.Shamina@evraz.com:
в одной ценовой категории с Б23</t>
        </r>
      </text>
    </comment>
    <comment ref="D65" authorId="0" shapeId="0" xr:uid="{00000000-0006-0000-0B00-000006000000}">
      <text>
        <r>
          <rPr>
            <sz val="10"/>
            <rFont val="Arial Cyr"/>
          </rPr>
          <t>Elena.Shamina@evraz.com:
среднее между ломами с сод.Ni 3% и 4%</t>
        </r>
      </text>
    </comment>
    <comment ref="D69" authorId="0" shapeId="0" xr:uid="{00000000-0006-0000-0B00-000007000000}">
      <text>
        <r>
          <rPr>
            <sz val="10"/>
            <rFont val="Arial Cyr"/>
          </rPr>
          <t>Elena.Shamina@evraz.com:
по лому с сод.Ni 6%</t>
        </r>
      </text>
    </comment>
  </commentList>
</comments>
</file>

<file path=xl/sharedStrings.xml><?xml version="1.0" encoding="utf-8"?>
<sst xmlns="http://schemas.openxmlformats.org/spreadsheetml/2006/main" count="1186" uniqueCount="101">
  <si>
    <t>№ п/п</t>
  </si>
  <si>
    <t>Наименование лома</t>
  </si>
  <si>
    <t>Среднерыночная цена, руб./тн</t>
  </si>
  <si>
    <t>по результатам аукциона</t>
  </si>
  <si>
    <t>ВРП У</t>
  </si>
  <si>
    <t>северо-запад ВторМет * (921)341-19-36 (Алла)</t>
  </si>
  <si>
    <t>Ферроком</t>
  </si>
  <si>
    <t>Сплав-21</t>
  </si>
  <si>
    <t>ЦветМет</t>
  </si>
  <si>
    <t>Шами-сервис</t>
  </si>
  <si>
    <t>УралМетРесурс</t>
  </si>
  <si>
    <t>Результаты аукциона 27.10.25</t>
  </si>
  <si>
    <t>стартовая цена августа</t>
  </si>
  <si>
    <t>предлож. победителя</t>
  </si>
  <si>
    <t>Лом меди кусок</t>
  </si>
  <si>
    <t>Лом меди микс</t>
  </si>
  <si>
    <t>Лом меди в кабеле</t>
  </si>
  <si>
    <t>Лом меди стружка</t>
  </si>
  <si>
    <t xml:space="preserve">Лом меди трубка с оребрением </t>
  </si>
  <si>
    <t>Лом меди трубка с оребрением медь 87,2%</t>
  </si>
  <si>
    <t>Лом медно-никелевых сплавов (медь не менее 27%)</t>
  </si>
  <si>
    <t>Лом сложный (возд.охл.) медь 40% Al 60%</t>
  </si>
  <si>
    <t>Лом провода (Ni 91,5%;Cr 4,5%)</t>
  </si>
  <si>
    <t>Лом провода (Ni 67%;Cu 28%;Cr 5%)</t>
  </si>
  <si>
    <t>Лом алюминия</t>
  </si>
  <si>
    <t>Лом алюминия в кабеле</t>
  </si>
  <si>
    <t>Лом алюминия стружка</t>
  </si>
  <si>
    <t>Лом алюминия (блоки УБРС)</t>
  </si>
  <si>
    <t>Трубка медная с алюминевым оребрением меди 15% алюминия 80% засоренность 5%</t>
  </si>
  <si>
    <t>Лом сложный  (алюминия 58% латунь 42%)</t>
  </si>
  <si>
    <t xml:space="preserve">Лом латуни </t>
  </si>
  <si>
    <t>Лом латуни стружка</t>
  </si>
  <si>
    <t>Лом латуни ЛАЖМц</t>
  </si>
  <si>
    <t>Лом стружки ЛАЖМц</t>
  </si>
  <si>
    <t>Лом латуни (секции холодильные)</t>
  </si>
  <si>
    <t>Лом бронзы</t>
  </si>
  <si>
    <t>Лом бронзы БраЖ, ОЦС</t>
  </si>
  <si>
    <t>Лом стружки бронзовой АЖ, ОЦС</t>
  </si>
  <si>
    <t>Лом твердых сплавов (без припоя)</t>
  </si>
  <si>
    <t>Лом твердых сплавов (с наличием припоя)</t>
  </si>
  <si>
    <t>Лом баббита Б83 (Олово 2)</t>
  </si>
  <si>
    <t>Лом баббита Б83, стружка (Олово 5)</t>
  </si>
  <si>
    <t>Лом баббита Б16 (Олово 3)</t>
  </si>
  <si>
    <t>Лом баббита Б16, стружка (Олово 6)</t>
  </si>
  <si>
    <t>Лом свинца (пластины от АКБ)</t>
  </si>
  <si>
    <t>Лом цинка</t>
  </si>
  <si>
    <t>Лом Р6М5</t>
  </si>
  <si>
    <t>Лом Р18</t>
  </si>
  <si>
    <t>Лом сверл 2Б (Р6М5) 21%угл.лом 79%</t>
  </si>
  <si>
    <t>Лом аккумуляторных батарей кислотных полипропилен (с не слитым электролитом)</t>
  </si>
  <si>
    <t>Лом аккумуляторных батарей (со слитым электролитом)</t>
  </si>
  <si>
    <t>Лом аккумуляторных батарей щелочных (с не слитым электролитом)</t>
  </si>
  <si>
    <t>Лом аккумуляторных батарей эбонитовые(с не слитым электролитом)</t>
  </si>
  <si>
    <t>Лом электродвигателей постоянного тока (медь-20%)</t>
  </si>
  <si>
    <t>Лом электродвигателей переменного тока (медь-10%)</t>
  </si>
  <si>
    <t>Лом грузоподъемных магнитов (медь 23,5%)</t>
  </si>
  <si>
    <t>Лом грузоподъемных магнитов (алюминия 10%)</t>
  </si>
  <si>
    <t>Лом трансформаторов с мед.обмоткой (без масла)</t>
  </si>
  <si>
    <t>Лом трансформаторов с алюм.обмоткой (без масла)</t>
  </si>
  <si>
    <t>Лом роторов электродвигателей (медь 5%; угл. лом 95%)</t>
  </si>
  <si>
    <t>Лом роторов электродвигателей (медь 35%; угл. лом 65%)</t>
  </si>
  <si>
    <t>Лом легированный Б1 габ.(Ni не более 0,4%)</t>
  </si>
  <si>
    <t>Лом подшипников Б3 собств.(Ni не более 0,3%)</t>
  </si>
  <si>
    <t>Лом подшипников Б3 собств.(Ni не более 0,3%)сепар.из цв.метал.</t>
  </si>
  <si>
    <t>Лом  легированный Б5 собств.(Ni = 2,7-4,2%)</t>
  </si>
  <si>
    <t>Лом  лег. Б6 собств.(Ni = 1,2-3,3%Cr=0,6-1,7%;Мо=0,5-0,9%)</t>
  </si>
  <si>
    <t>Лом легированный Б8 (Ni= 0,4-2,3%)</t>
  </si>
  <si>
    <t>Лом легированный Б10 (Ni не &gt; 0,6%; Cr=16-18%)</t>
  </si>
  <si>
    <t>Лом легированный Б11 (Ni не более 0,3%)</t>
  </si>
  <si>
    <t>Лом легированный Б12 (Ni &gt; 0,6%; Cr=24-30%)</t>
  </si>
  <si>
    <t>Лом легированный Б13 габ.(Ni= 0,4-2,3%)</t>
  </si>
  <si>
    <t>Лом легированный Б18 габ.(Ni не &gt; 0,6%; Cr=12-14%)</t>
  </si>
  <si>
    <t>Лом легированный Б19 габ.(Ni = 11-15%; Cr=19-27%)</t>
  </si>
  <si>
    <t>Лом легированный Б19 СТРУЖКА</t>
  </si>
  <si>
    <t>Лом легированный Б22 (Ni не &gt; 0,6%; Cr не &gt; 0,5%; Mn=11-14%)</t>
  </si>
  <si>
    <t>Лом легированный Б25 (Ni = 2,5-5%; Cr = 12-15%; Mn=8-15%)</t>
  </si>
  <si>
    <t>Лом легированный Б26 (рукава СРГС)(Ni=8-13%; Cr=17-20%)</t>
  </si>
  <si>
    <t>Лом легированный Б26 (негабарит)</t>
  </si>
  <si>
    <t>Лом нержавейки стружка</t>
  </si>
  <si>
    <t>Лом легированный Б27(негаб/)(Ni=5-9,5%; Cr=12-18%)</t>
  </si>
  <si>
    <t>Лом легированный Б27(стружка)</t>
  </si>
  <si>
    <t>Лом легированный Б28(Ni=17-21%)</t>
  </si>
  <si>
    <t>Лом легированный Б31(Ni&lt;= 3%; Cr = 1-1,4%; Mn&lt;0,9%;  V&lt;3%; W=2-2,7%)</t>
  </si>
  <si>
    <t>Лом легированный Б31, стружка</t>
  </si>
  <si>
    <t>Лом легированный Б34 (Р9)</t>
  </si>
  <si>
    <t>Лом легированный Б34 (Р9) стружка</t>
  </si>
  <si>
    <t>Лом легированный Б38(Ni=1,9-3,5%; Cr=0,6-2,0%; Мо=0,3-0,5; V=0,1-0,3%)</t>
  </si>
  <si>
    <t>Лом легированный Б52 (Ni = 2,0-5,0%;Cr=0,6-2,0%;Мо=0,2-0,7%)</t>
  </si>
  <si>
    <t>Лом легированный Б55 (Ni = 11-17%;Cr=14-19%;Мо=1,8-4,0)</t>
  </si>
  <si>
    <t>Лом легированный Б57 (Ni = 0,4-2,6%;Cr=10,5-15,5%;Мо=0,3-0,7; V=0,1-0,7%; W=0,7-2,2%)</t>
  </si>
  <si>
    <t>15Х11МФБЛ (Ni = 0,5-0,9%;Cr=10,0-20,0%;Мо=0,8-1,05; V=0,1-0,3%; Nb=0,10-0,25%)</t>
  </si>
  <si>
    <t>Лом хромоникелевых чугунов Б65 (Ni = 0,5-1,4%;Cr=0,6-3,8%)</t>
  </si>
  <si>
    <t>Результаты аукциона 18.08.25</t>
  </si>
  <si>
    <t>Результаты аукциона 26.05.25</t>
  </si>
  <si>
    <t>стартовая цена февраля</t>
  </si>
  <si>
    <t>Результаты аукциона 05.02.25 и 18.03.25</t>
  </si>
  <si>
    <t>Результаты аукциона 05.02.25</t>
  </si>
  <si>
    <t>Результаты аукциона 05.09.24</t>
  </si>
  <si>
    <t>стартовая цена сентября</t>
  </si>
  <si>
    <t/>
  </si>
  <si>
    <t>#DIV/0!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</si>
</sst>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name val="Arial Cyr"/>
    </font>
    <font>
      <sz val="10"/>
      <name val="Arial"/>
    </font>
    <font>
      <b/>
      <sz val="10"/>
      <name val="Arial Cyr"/>
    </font>
    <font>
      <b/>
      <sz val="10"/>
      <name val="Arial"/>
    </font>
    <font>
      <sz val="10"/>
      <name val="Arial Cyr"/>
    </font>
    <font>
      <b/>
      <i/>
      <sz val="10"/>
      <name val="Arial"/>
    </font>
    <font>
      <sz val="10"/>
      <color rgb="FFFF0000"/>
      <name val="Arial Cyr"/>
    </font>
    <font>
      <sz val="10"/>
      <color rgb="FFFF0000"/>
      <name val="Arial"/>
    </font>
    <font>
      <sz val="10"/>
      <color rgb="FFC00000"/>
      <name val="Arial"/>
    </font>
    <font>
      <b/>
      <sz val="10"/>
      <color rgb="FFFF0000"/>
      <name val="Arial"/>
    </font>
  </fonts>
  <fills count="22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rgb="FFD6E739"/>
      </patternFill>
    </fill>
    <fill>
      <patternFill patternType="solid">
        <fgColor rgb="FF4CE6BE"/>
      </patternFill>
    </fill>
    <fill>
      <patternFill patternType="solid">
        <fgColor rgb="FFFEA8BA"/>
      </patternFill>
    </fill>
    <fill>
      <patternFill patternType="solid">
        <fgColor rgb="FFC3ECEB"/>
      </patternFill>
    </fill>
    <fill>
      <patternFill patternType="solid">
        <fgColor rgb="FFD694F0"/>
      </patternFill>
    </fill>
    <fill>
      <patternFill patternType="solid">
        <fgColor rgb="FFFFFFCC"/>
      </patternFill>
    </fill>
    <fill>
      <patternFill patternType="solid">
        <fgColor theme="9" tint="0.59996337778862885"/>
        <bgColor indexed="65"/>
      </patternFill>
    </fill>
    <fill>
      <patternFill patternType="solid">
        <fgColor rgb="FFE9C5F7"/>
      </patternFill>
    </fill>
    <fill>
      <patternFill patternType="solid">
        <fgColor rgb="FFF7B95F"/>
      </patternFill>
    </fill>
    <fill>
      <patternFill patternType="solid">
        <fgColor rgb="FFFF9999"/>
      </patternFill>
    </fill>
    <fill>
      <patternFill patternType="solid">
        <fgColor rgb="FF55EDFD"/>
      </patternFill>
    </fill>
    <fill>
      <patternFill patternType="solid">
        <fgColor rgb="FFC8F4AA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2" tint="-9.9978637043366805E-2"/>
        <bgColor indexed="65"/>
      </patternFill>
    </fill>
    <fill>
      <patternFill patternType="solid">
        <fgColor rgb="FFD9A0F2"/>
      </patternFill>
    </fill>
    <fill>
      <patternFill patternType="solid">
        <fgColor rgb="FFCCCCFF"/>
      </patternFill>
    </fill>
    <fill>
      <patternFill patternType="solid">
        <fgColor rgb="FFFF99FF"/>
      </patternFill>
    </fill>
    <fill>
      <patternFill patternType="solid">
        <fgColor rgb="FF99FFCC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1" fillId="0" borderId="1" xfId="0" applyFont="1" applyFill="1" applyBorder="1" applyAlignment="1">
      <alignment horizontal="justify" vertical="center" wrapText="1"/>
    </xf>
    <xf numFmtId="0" fontId="4" fillId="0" borderId="1" xfId="0" applyFont="1" applyFill="1" applyBorder="1" applyAlignment="1">
      <alignment horizontal="left" vertical="center" wrapText="1"/>
    </xf>
    <xf numFmtId="0" fontId="4" fillId="0" borderId="2" xfId="0" applyFont="1" applyFill="1" applyBorder="1" applyAlignment="1">
      <alignment horizontal="left" vertical="center" wrapText="1"/>
    </xf>
    <xf numFmtId="0" fontId="0" fillId="0" borderId="0" xfId="0" applyFill="1"/>
    <xf numFmtId="0" fontId="0" fillId="0" borderId="3" xfId="0" applyFill="1" applyBorder="1" applyAlignment="1">
      <alignment horizontal="center"/>
    </xf>
    <xf numFmtId="0" fontId="1" fillId="0" borderId="4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left" vertical="center" wrapText="1"/>
    </xf>
    <xf numFmtId="0" fontId="0" fillId="2" borderId="0" xfId="0" applyFill="1"/>
    <xf numFmtId="0" fontId="1" fillId="0" borderId="2" xfId="0" applyFont="1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 wrapText="1"/>
    </xf>
    <xf numFmtId="0" fontId="1" fillId="0" borderId="3" xfId="0" applyFont="1" applyFill="1" applyBorder="1" applyAlignment="1">
      <alignment horizontal="center"/>
    </xf>
    <xf numFmtId="0" fontId="1" fillId="0" borderId="5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left" vertical="center" wrapText="1"/>
    </xf>
    <xf numFmtId="0" fontId="0" fillId="0" borderId="0" xfId="0" applyFont="1"/>
    <xf numFmtId="0" fontId="0" fillId="0" borderId="7" xfId="0" applyFill="1" applyBorder="1" applyAlignment="1">
      <alignment horizontal="center"/>
    </xf>
    <xf numFmtId="0" fontId="0" fillId="3" borderId="1" xfId="0" applyFill="1" applyBorder="1" applyAlignment="1">
      <alignment horizontal="left" vertical="center" wrapText="1"/>
    </xf>
    <xf numFmtId="3" fontId="1" fillId="4" borderId="2" xfId="0" applyNumberFormat="1" applyFont="1" applyFill="1" applyBorder="1" applyAlignment="1">
      <alignment horizontal="center" vertical="center" wrapText="1"/>
    </xf>
    <xf numFmtId="3" fontId="1" fillId="5" borderId="2" xfId="0" applyNumberFormat="1" applyFont="1" applyFill="1" applyBorder="1" applyAlignment="1">
      <alignment horizontal="center" vertical="center" wrapText="1"/>
    </xf>
    <xf numFmtId="3" fontId="1" fillId="6" borderId="2" xfId="0" applyNumberFormat="1" applyFont="1" applyFill="1" applyBorder="1" applyAlignment="1">
      <alignment horizontal="center" vertical="center" wrapText="1"/>
    </xf>
    <xf numFmtId="3" fontId="1" fillId="7" borderId="2" xfId="0" applyNumberFormat="1" applyFont="1" applyFill="1" applyBorder="1" applyAlignment="1">
      <alignment horizontal="center" vertical="center" wrapText="1"/>
    </xf>
    <xf numFmtId="3" fontId="1" fillId="8" borderId="2" xfId="0" applyNumberFormat="1" applyFont="1" applyFill="1" applyBorder="1" applyAlignment="1">
      <alignment horizontal="center" vertical="center" wrapText="1"/>
    </xf>
    <xf numFmtId="0" fontId="1" fillId="2" borderId="2" xfId="0" applyNumberFormat="1" applyFont="1" applyFill="1" applyBorder="1" applyAlignment="1">
      <alignment horizontal="left" vertical="center"/>
    </xf>
    <xf numFmtId="0" fontId="1" fillId="0" borderId="2" xfId="0" applyNumberFormat="1" applyFont="1" applyFill="1" applyBorder="1" applyAlignment="1">
      <alignment horizontal="center" vertical="center" wrapText="1"/>
    </xf>
    <xf numFmtId="0" fontId="1" fillId="2" borderId="2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horizontal="center" vertical="center" wrapText="1"/>
    </xf>
    <xf numFmtId="0" fontId="1" fillId="8" borderId="2" xfId="0" applyNumberFormat="1" applyFont="1" applyFill="1" applyBorder="1" applyAlignment="1">
      <alignment horizontal="center" vertical="center" wrapText="1"/>
    </xf>
    <xf numFmtId="0" fontId="3" fillId="8" borderId="1" xfId="0" applyNumberFormat="1" applyFont="1" applyFill="1" applyBorder="1" applyAlignment="1">
      <alignment horizontal="center" vertical="center" wrapText="1"/>
    </xf>
    <xf numFmtId="0" fontId="4" fillId="2" borderId="2" xfId="0" applyNumberFormat="1" applyFont="1" applyFill="1" applyBorder="1" applyAlignment="1">
      <alignment horizontal="left" vertical="center" wrapText="1"/>
    </xf>
    <xf numFmtId="0" fontId="7" fillId="2" borderId="2" xfId="0" applyNumberFormat="1" applyFont="1" applyFill="1" applyBorder="1" applyAlignment="1">
      <alignment horizontal="center" vertical="center" wrapText="1"/>
    </xf>
    <xf numFmtId="0" fontId="1" fillId="8" borderId="1" xfId="0" applyNumberFormat="1" applyFont="1" applyFill="1" applyBorder="1" applyAlignment="1">
      <alignment horizontal="center" vertical="center" wrapText="1"/>
    </xf>
    <xf numFmtId="0" fontId="8" fillId="2" borderId="2" xfId="0" applyNumberFormat="1" applyFont="1" applyFill="1" applyBorder="1" applyAlignment="1">
      <alignment horizontal="center" vertical="center" wrapText="1"/>
    </xf>
    <xf numFmtId="0" fontId="5" fillId="0" borderId="2" xfId="0" applyNumberFormat="1" applyFont="1" applyFill="1" applyBorder="1" applyAlignment="1">
      <alignment horizontal="center" vertical="center" wrapText="1"/>
    </xf>
    <xf numFmtId="0" fontId="1" fillId="5" borderId="1" xfId="0" applyNumberFormat="1" applyFont="1" applyFill="1" applyBorder="1" applyAlignment="1">
      <alignment horizontal="center" vertical="center" wrapText="1"/>
    </xf>
    <xf numFmtId="0" fontId="1" fillId="5" borderId="2" xfId="0" applyNumberFormat="1" applyFont="1" applyFill="1" applyBorder="1" applyAlignment="1">
      <alignment horizontal="center" vertical="center" wrapText="1"/>
    </xf>
    <xf numFmtId="0" fontId="4" fillId="2" borderId="1" xfId="0" applyNumberFormat="1" applyFont="1" applyFill="1" applyBorder="1" applyAlignment="1">
      <alignment horizontal="left" vertical="center" wrapText="1"/>
    </xf>
    <xf numFmtId="0" fontId="1" fillId="0" borderId="1" xfId="0" applyNumberFormat="1" applyFont="1" applyFill="1" applyBorder="1" applyAlignment="1">
      <alignment horizontal="center" vertical="center" wrapText="1"/>
    </xf>
    <xf numFmtId="0" fontId="1" fillId="2" borderId="1" xfId="0" applyNumberFormat="1" applyFont="1" applyFill="1" applyBorder="1" applyAlignment="1">
      <alignment horizontal="center" vertical="center" wrapText="1"/>
    </xf>
    <xf numFmtId="0" fontId="1" fillId="6" borderId="2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1" fillId="4" borderId="2" xfId="0" applyNumberFormat="1" applyFont="1" applyFill="1" applyBorder="1" applyAlignment="1">
      <alignment horizontal="center" vertical="center" wrapText="1"/>
    </xf>
    <xf numFmtId="0" fontId="3" fillId="4" borderId="1" xfId="0" applyNumberFormat="1" applyFont="1" applyFill="1" applyBorder="1" applyAlignment="1">
      <alignment horizontal="center" vertical="center" wrapText="1"/>
    </xf>
    <xf numFmtId="0" fontId="1" fillId="9" borderId="2" xfId="0" applyNumberFormat="1" applyFont="1" applyFill="1" applyBorder="1" applyAlignment="1">
      <alignment horizontal="center" vertical="center" wrapText="1"/>
    </xf>
    <xf numFmtId="0" fontId="1" fillId="7" borderId="2" xfId="0" applyNumberFormat="1" applyFont="1" applyFill="1" applyBorder="1" applyAlignment="1">
      <alignment horizontal="center" vertical="center" wrapText="1"/>
    </xf>
    <xf numFmtId="0" fontId="3" fillId="7" borderId="1" xfId="0" applyNumberFormat="1" applyFont="1" applyFill="1" applyBorder="1" applyAlignment="1">
      <alignment horizontal="center" vertical="center" wrapText="1"/>
    </xf>
    <xf numFmtId="0" fontId="1" fillId="10" borderId="2" xfId="0" applyNumberFormat="1" applyFont="1" applyFill="1" applyBorder="1" applyAlignment="1">
      <alignment horizontal="center" vertical="center" wrapText="1"/>
    </xf>
    <xf numFmtId="0" fontId="1" fillId="2" borderId="1" xfId="0" applyNumberFormat="1" applyFont="1" applyFill="1" applyBorder="1" applyAlignment="1">
      <alignment horizontal="justify" vertical="center" wrapText="1"/>
    </xf>
    <xf numFmtId="0" fontId="1" fillId="11" borderId="2" xfId="0" applyNumberFormat="1" applyFont="1" applyFill="1" applyBorder="1" applyAlignment="1">
      <alignment horizontal="center" vertical="center" wrapText="1"/>
    </xf>
    <xf numFmtId="0" fontId="3" fillId="11" borderId="1" xfId="0" applyNumberFormat="1" applyFont="1" applyFill="1" applyBorder="1" applyAlignment="1">
      <alignment horizontal="center" vertical="center" wrapText="1"/>
    </xf>
    <xf numFmtId="0" fontId="1" fillId="12" borderId="2" xfId="0" applyNumberFormat="1" applyFont="1" applyFill="1" applyBorder="1" applyAlignment="1">
      <alignment horizontal="center" vertical="center" wrapText="1"/>
    </xf>
    <xf numFmtId="0" fontId="3" fillId="5" borderId="2" xfId="0" applyNumberFormat="1" applyFont="1" applyFill="1" applyBorder="1" applyAlignment="1">
      <alignment horizontal="center" vertical="center" wrapText="1"/>
    </xf>
    <xf numFmtId="0" fontId="3" fillId="2" borderId="1" xfId="0" applyNumberFormat="1" applyFont="1" applyFill="1" applyBorder="1" applyAlignment="1">
      <alignment horizontal="center" vertical="center" wrapText="1"/>
    </xf>
    <xf numFmtId="0" fontId="1" fillId="13" borderId="2" xfId="0" applyNumberFormat="1" applyFont="1" applyFill="1" applyBorder="1" applyAlignment="1">
      <alignment horizontal="center" vertical="center" wrapText="1"/>
    </xf>
    <xf numFmtId="0" fontId="9" fillId="0" borderId="1" xfId="0" applyNumberFormat="1" applyFont="1" applyFill="1" applyBorder="1" applyAlignment="1">
      <alignment horizontal="center" vertical="center" wrapText="1"/>
    </xf>
    <xf numFmtId="0" fontId="1" fillId="7" borderId="1" xfId="0" applyNumberFormat="1" applyFont="1" applyFill="1" applyBorder="1" applyAlignment="1">
      <alignment horizontal="center" vertical="center" wrapText="1"/>
    </xf>
    <xf numFmtId="0" fontId="1" fillId="3" borderId="1" xfId="0" applyNumberFormat="1" applyFont="1" applyFill="1" applyBorder="1" applyAlignment="1">
      <alignment horizontal="center" vertical="center" wrapText="1"/>
    </xf>
    <xf numFmtId="0" fontId="1" fillId="14" borderId="1" xfId="0" applyNumberFormat="1" applyFont="1" applyFill="1" applyBorder="1" applyAlignment="1">
      <alignment horizontal="center" vertical="center" wrapText="1"/>
    </xf>
    <xf numFmtId="0" fontId="7" fillId="2" borderId="1" xfId="0" applyNumberFormat="1" applyFont="1" applyFill="1" applyBorder="1" applyAlignment="1">
      <alignment horizontal="center" vertical="center" wrapText="1"/>
    </xf>
    <xf numFmtId="0" fontId="8" fillId="0" borderId="1" xfId="0" applyNumberFormat="1" applyFont="1" applyFill="1" applyBorder="1" applyAlignment="1">
      <alignment horizontal="center" vertical="center" wrapText="1"/>
    </xf>
    <xf numFmtId="0" fontId="3" fillId="3" borderId="1" xfId="0" applyNumberFormat="1" applyFont="1" applyFill="1" applyBorder="1" applyAlignment="1">
      <alignment horizontal="center" vertical="center" wrapText="1"/>
    </xf>
    <xf numFmtId="0" fontId="1" fillId="0" borderId="1" xfId="0" applyNumberFormat="1" applyFont="1" applyFill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15" borderId="1" xfId="0" applyNumberFormat="1" applyFont="1" applyFill="1" applyBorder="1" applyAlignment="1">
      <alignment horizontal="center" vertical="center" wrapText="1"/>
    </xf>
    <xf numFmtId="0" fontId="1" fillId="16" borderId="1" xfId="0" applyNumberFormat="1" applyFont="1" applyFill="1" applyBorder="1" applyAlignment="1">
      <alignment horizontal="center" vertical="center"/>
    </xf>
    <xf numFmtId="0" fontId="7" fillId="0" borderId="1" xfId="0" applyNumberFormat="1" applyFont="1" applyFill="1" applyBorder="1" applyAlignment="1">
      <alignment horizontal="center" vertical="center"/>
    </xf>
    <xf numFmtId="0" fontId="7" fillId="0" borderId="1" xfId="0" applyNumberFormat="1" applyFont="1" applyFill="1" applyBorder="1" applyAlignment="1">
      <alignment horizontal="center" vertical="center" wrapText="1"/>
    </xf>
    <xf numFmtId="0" fontId="1" fillId="7" borderId="1" xfId="0" applyNumberFormat="1" applyFont="1" applyFill="1" applyBorder="1" applyAlignment="1">
      <alignment horizontal="center" vertical="center"/>
    </xf>
    <xf numFmtId="0" fontId="3" fillId="7" borderId="1" xfId="0" applyNumberFormat="1" applyFont="1" applyFill="1" applyBorder="1" applyAlignment="1">
      <alignment horizontal="center" vertical="center"/>
    </xf>
    <xf numFmtId="0" fontId="1" fillId="8" borderId="1" xfId="0" applyNumberFormat="1" applyFont="1" applyFill="1" applyBorder="1" applyAlignment="1">
      <alignment horizontal="center" vertical="center"/>
    </xf>
    <xf numFmtId="0" fontId="3" fillId="8" borderId="1" xfId="0" applyNumberFormat="1" applyFont="1" applyFill="1" applyBorder="1" applyAlignment="1">
      <alignment horizontal="center" vertical="center"/>
    </xf>
    <xf numFmtId="0" fontId="1" fillId="10" borderId="1" xfId="0" applyNumberFormat="1" applyFont="1" applyFill="1" applyBorder="1" applyAlignment="1">
      <alignment horizontal="center" vertical="center"/>
    </xf>
    <xf numFmtId="0" fontId="3" fillId="10" borderId="1" xfId="0" applyNumberFormat="1" applyFont="1" applyFill="1" applyBorder="1" applyAlignment="1">
      <alignment horizontal="center" vertical="center"/>
    </xf>
    <xf numFmtId="0" fontId="1" fillId="13" borderId="1" xfId="0" applyNumberFormat="1" applyFont="1" applyFill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1" fillId="9" borderId="1" xfId="0" applyNumberFormat="1" applyFont="1" applyFill="1" applyBorder="1" applyAlignment="1">
      <alignment horizontal="center" vertical="center"/>
    </xf>
    <xf numFmtId="0" fontId="3" fillId="5" borderId="1" xfId="0" applyNumberFormat="1" applyFont="1" applyFill="1" applyBorder="1" applyAlignment="1">
      <alignment horizontal="center" vertical="center" wrapText="1"/>
    </xf>
    <xf numFmtId="0" fontId="8" fillId="7" borderId="2" xfId="0" applyNumberFormat="1" applyFont="1" applyFill="1" applyBorder="1" applyAlignment="1">
      <alignment horizontal="center" vertical="center" wrapText="1"/>
    </xf>
    <xf numFmtId="0" fontId="1" fillId="6" borderId="1" xfId="0" applyNumberFormat="1" applyFont="1" applyFill="1" applyBorder="1" applyAlignment="1">
      <alignment horizontal="center" vertical="center" wrapText="1"/>
    </xf>
    <xf numFmtId="0" fontId="5" fillId="17" borderId="2" xfId="0" applyNumberFormat="1" applyFont="1" applyFill="1" applyBorder="1" applyAlignment="1">
      <alignment horizontal="center" vertical="center" wrapText="1"/>
    </xf>
    <xf numFmtId="0" fontId="3" fillId="17" borderId="1" xfId="0" applyNumberFormat="1" applyFont="1" applyFill="1" applyBorder="1" applyAlignment="1">
      <alignment horizontal="center" vertical="center" wrapText="1"/>
    </xf>
    <xf numFmtId="0" fontId="1" fillId="18" borderId="2" xfId="0" applyNumberFormat="1" applyFont="1" applyFill="1" applyBorder="1" applyAlignment="1">
      <alignment horizontal="center" vertical="center" wrapText="1"/>
    </xf>
    <xf numFmtId="0" fontId="3" fillId="18" borderId="1" xfId="0" applyNumberFormat="1" applyFont="1" applyFill="1" applyBorder="1" applyAlignment="1">
      <alignment horizontal="center" vertical="center" wrapText="1"/>
    </xf>
    <xf numFmtId="0" fontId="1" fillId="19" borderId="2" xfId="0" applyNumberFormat="1" applyFont="1" applyFill="1" applyBorder="1" applyAlignment="1">
      <alignment horizontal="center" vertical="center" wrapText="1"/>
    </xf>
    <xf numFmtId="0" fontId="8" fillId="14" borderId="2" xfId="0" applyNumberFormat="1" applyFont="1" applyFill="1" applyBorder="1" applyAlignment="1">
      <alignment horizontal="center" vertical="center" wrapText="1"/>
    </xf>
    <xf numFmtId="0" fontId="1" fillId="20" borderId="2" xfId="0" applyNumberFormat="1" applyFont="1" applyFill="1" applyBorder="1" applyAlignment="1">
      <alignment horizontal="center" vertical="center" wrapText="1"/>
    </xf>
    <xf numFmtId="0" fontId="1" fillId="17" borderId="1" xfId="0" applyNumberFormat="1" applyFont="1" applyFill="1" applyBorder="1" applyAlignment="1">
      <alignment horizontal="center" vertical="center" wrapText="1"/>
    </xf>
    <xf numFmtId="0" fontId="1" fillId="4" borderId="1" xfId="0" applyNumberFormat="1" applyFont="1" applyFill="1" applyBorder="1" applyAlignment="1">
      <alignment horizontal="center" vertical="center" wrapText="1"/>
    </xf>
    <xf numFmtId="0" fontId="1" fillId="18" borderId="1" xfId="0" applyNumberFormat="1" applyFont="1" applyFill="1" applyBorder="1" applyAlignment="1">
      <alignment horizontal="center" vertical="center"/>
    </xf>
    <xf numFmtId="0" fontId="3" fillId="18" borderId="1" xfId="0" applyNumberFormat="1" applyFont="1" applyFill="1" applyBorder="1" applyAlignment="1">
      <alignment horizontal="center" vertical="center"/>
    </xf>
    <xf numFmtId="0" fontId="3" fillId="6" borderId="1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3" fillId="5" borderId="1" xfId="0" applyNumberFormat="1" applyFont="1" applyFill="1" applyBorder="1" applyAlignment="1">
      <alignment horizontal="center" vertical="center"/>
    </xf>
    <xf numFmtId="0" fontId="1" fillId="17" borderId="1" xfId="0" applyNumberFormat="1" applyFont="1" applyFill="1" applyBorder="1" applyAlignment="1">
      <alignment horizontal="center" vertical="center"/>
    </xf>
    <xf numFmtId="0" fontId="1" fillId="17" borderId="2" xfId="0" applyNumberFormat="1" applyFont="1" applyFill="1" applyBorder="1" applyAlignment="1">
      <alignment horizontal="center" vertical="center" wrapText="1"/>
    </xf>
    <xf numFmtId="0" fontId="8" fillId="21" borderId="2" xfId="0" applyNumberFormat="1" applyFont="1" applyFill="1" applyBorder="1" applyAlignment="1">
      <alignment horizontal="center" vertical="center" wrapText="1"/>
    </xf>
    <xf numFmtId="0" fontId="1" fillId="21" borderId="2" xfId="0" applyNumberFormat="1" applyFont="1" applyFill="1" applyBorder="1" applyAlignment="1">
      <alignment horizontal="center" vertical="center" wrapText="1"/>
    </xf>
    <xf numFmtId="0" fontId="1" fillId="14" borderId="2" xfId="0" applyNumberFormat="1" applyFont="1" applyFill="1" applyBorder="1" applyAlignment="1">
      <alignment horizontal="center" vertical="center" wrapText="1"/>
    </xf>
    <xf numFmtId="0" fontId="3" fillId="17" borderId="2" xfId="0" applyNumberFormat="1" applyFont="1" applyFill="1" applyBorder="1" applyAlignment="1">
      <alignment horizontal="center" vertical="center" wrapText="1"/>
    </xf>
    <xf numFmtId="0" fontId="3" fillId="4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0" borderId="8" xfId="0" applyFont="1" applyFill="1" applyBorder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3" fontId="1" fillId="8" borderId="10" xfId="0" applyNumberFormat="1" applyFont="1" applyFill="1" applyBorder="1" applyAlignment="1">
      <alignment horizontal="center" vertical="center" wrapText="1"/>
    </xf>
    <xf numFmtId="3" fontId="1" fillId="8" borderId="11" xfId="0" applyNumberFormat="1" applyFont="1" applyFill="1" applyBorder="1" applyAlignment="1">
      <alignment horizontal="center" vertical="center" wrapText="1"/>
    </xf>
    <xf numFmtId="0" fontId="1" fillId="0" borderId="9" xfId="0" applyFont="1" applyFill="1" applyBorder="1" applyAlignment="1">
      <alignment horizontal="center" vertical="center" wrapText="1"/>
    </xf>
    <xf numFmtId="0" fontId="1" fillId="0" borderId="8" xfId="0" applyFont="1" applyFill="1" applyBorder="1" applyAlignment="1">
      <alignment horizontal="center" vertical="center"/>
    </xf>
    <xf numFmtId="0" fontId="1" fillId="0" borderId="9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 wrapText="1"/>
    </xf>
    <xf numFmtId="0" fontId="2" fillId="0" borderId="9" xfId="0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center" vertical="center" wrapText="1"/>
    </xf>
    <xf numFmtId="3" fontId="1" fillId="7" borderId="10" xfId="0" applyNumberFormat="1" applyFont="1" applyFill="1" applyBorder="1" applyAlignment="1">
      <alignment horizontal="center" vertical="center" wrapText="1"/>
    </xf>
    <xf numFmtId="3" fontId="1" fillId="7" borderId="11" xfId="0" applyNumberFormat="1" applyFont="1" applyFill="1" applyBorder="1" applyAlignment="1">
      <alignment horizontal="center" vertical="center" wrapText="1"/>
    </xf>
    <xf numFmtId="3" fontId="1" fillId="6" borderId="10" xfId="0" applyNumberFormat="1" applyFont="1" applyFill="1" applyBorder="1" applyAlignment="1">
      <alignment horizontal="center" vertical="center" wrapText="1"/>
    </xf>
    <xf numFmtId="3" fontId="1" fillId="6" borderId="11" xfId="0" applyNumberFormat="1" applyFont="1" applyFill="1" applyBorder="1" applyAlignment="1">
      <alignment horizontal="center" vertical="center" wrapText="1"/>
    </xf>
    <xf numFmtId="3" fontId="1" fillId="5" borderId="10" xfId="0" applyNumberFormat="1" applyFont="1" applyFill="1" applyBorder="1" applyAlignment="1">
      <alignment horizontal="center" vertical="center" wrapText="1"/>
    </xf>
    <xf numFmtId="3" fontId="1" fillId="5" borderId="11" xfId="0" applyNumberFormat="1" applyFont="1" applyFill="1" applyBorder="1" applyAlignment="1">
      <alignment horizontal="center" vertical="center" wrapText="1"/>
    </xf>
    <xf numFmtId="3" fontId="1" fillId="4" borderId="10" xfId="0" applyNumberFormat="1" applyFont="1" applyFill="1" applyBorder="1" applyAlignment="1">
      <alignment horizontal="center" vertical="center" wrapText="1"/>
    </xf>
    <xf numFmtId="3" fontId="1" fillId="4" borderId="11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ac7b60604b03459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365760</xdr:colOff>
      <xdr:row>53</xdr:row>
      <xdr:rowOff>121920</xdr:rowOff>
    </xdr:to>
    <xdr:sp macro="" textlink="">
      <xdr:nvSpPr>
        <xdr:cNvPr id="1032" name="Text Box 8" hidden="1">
          <a:extLst>
            <a:ext uri="{FF2B5EF4-FFF2-40B4-BE49-F238E27FC236}">
              <a16:creationId xmlns:a16="http://schemas.microsoft.com/office/drawing/2014/main" id="{087B7BB3-51CE-5A46-8309-B1B23D8880DD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365760</xdr:colOff>
      <xdr:row>53</xdr:row>
      <xdr:rowOff>121920</xdr:rowOff>
    </xdr:to>
    <xdr:sp macro="" textlink="">
      <xdr:nvSpPr>
        <xdr:cNvPr id="2056" name="Text Box 8" hidden="1">
          <a:extLst>
            <a:ext uri="{FF2B5EF4-FFF2-40B4-BE49-F238E27FC236}">
              <a16:creationId xmlns:a16="http://schemas.microsoft.com/office/drawing/2014/main" id="{71EBE155-608A-5424-65EB-1374D3606727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365760</xdr:colOff>
      <xdr:row>53</xdr:row>
      <xdr:rowOff>121920</xdr:rowOff>
    </xdr:to>
    <xdr:sp macro="" textlink="">
      <xdr:nvSpPr>
        <xdr:cNvPr id="3080" name="Text Box 8" hidden="1">
          <a:extLst>
            <a:ext uri="{FF2B5EF4-FFF2-40B4-BE49-F238E27FC236}">
              <a16:creationId xmlns:a16="http://schemas.microsoft.com/office/drawing/2014/main" id="{017B83C4-0B91-54E4-B489-BA1740F12E8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365760</xdr:colOff>
      <xdr:row>53</xdr:row>
      <xdr:rowOff>121920</xdr:rowOff>
    </xdr:to>
    <xdr:sp macro="" textlink="">
      <xdr:nvSpPr>
        <xdr:cNvPr id="4104" name="Text Box 8" hidden="1">
          <a:extLst>
            <a:ext uri="{FF2B5EF4-FFF2-40B4-BE49-F238E27FC236}">
              <a16:creationId xmlns:a16="http://schemas.microsoft.com/office/drawing/2014/main" id="{69AD1589-247C-7628-DCB5-EB77BDFCC84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365760</xdr:colOff>
      <xdr:row>53</xdr:row>
      <xdr:rowOff>121920</xdr:rowOff>
    </xdr:to>
    <xdr:sp macro="" textlink="">
      <xdr:nvSpPr>
        <xdr:cNvPr id="5128" name="Text Box 8" hidden="1">
          <a:extLst>
            <a:ext uri="{FF2B5EF4-FFF2-40B4-BE49-F238E27FC236}">
              <a16:creationId xmlns:a16="http://schemas.microsoft.com/office/drawing/2014/main" id="{0450FB55-6DD3-C6A1-2200-53CE33765D9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45720</xdr:colOff>
      <xdr:row>50</xdr:row>
      <xdr:rowOff>68580</xdr:rowOff>
    </xdr:to>
    <xdr:sp macro="" textlink="">
      <xdr:nvSpPr>
        <xdr:cNvPr id="6152" name="Text Box 8" hidden="1">
          <a:extLst>
            <a:ext uri="{FF2B5EF4-FFF2-40B4-BE49-F238E27FC236}">
              <a16:creationId xmlns:a16="http://schemas.microsoft.com/office/drawing/2014/main" id="{4FDE1AF1-7C5D-950C-BCC4-1416B35ED9B4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556260</xdr:colOff>
      <xdr:row>50</xdr:row>
      <xdr:rowOff>68580</xdr:rowOff>
    </xdr:to>
    <xdr:sp macro="" textlink="">
      <xdr:nvSpPr>
        <xdr:cNvPr id="7176" name="Text Box 8" hidden="1">
          <a:extLst>
            <a:ext uri="{FF2B5EF4-FFF2-40B4-BE49-F238E27FC236}">
              <a16:creationId xmlns:a16="http://schemas.microsoft.com/office/drawing/2014/main" id="{98A0AA49-3C46-413B-C0F6-C62056421BA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556260</xdr:colOff>
      <xdr:row>50</xdr:row>
      <xdr:rowOff>68580</xdr:rowOff>
    </xdr:to>
    <xdr:sp macro="" textlink="">
      <xdr:nvSpPr>
        <xdr:cNvPr id="8200" name="Text Box 8" hidden="1">
          <a:extLst>
            <a:ext uri="{FF2B5EF4-FFF2-40B4-BE49-F238E27FC236}">
              <a16:creationId xmlns:a16="http://schemas.microsoft.com/office/drawing/2014/main" id="{067310F3-5876-0CE3-FA79-CA026B018942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556260</xdr:colOff>
      <xdr:row>50</xdr:row>
      <xdr:rowOff>68580</xdr:rowOff>
    </xdr:to>
    <xdr:sp macro="" textlink="">
      <xdr:nvSpPr>
        <xdr:cNvPr id="9224" name="Text Box 8" hidden="1">
          <a:extLst>
            <a:ext uri="{FF2B5EF4-FFF2-40B4-BE49-F238E27FC236}">
              <a16:creationId xmlns:a16="http://schemas.microsoft.com/office/drawing/2014/main" id="{2BCC4514-B26F-2134-0073-C76EE3202002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556260</xdr:colOff>
      <xdr:row>50</xdr:row>
      <xdr:rowOff>68580</xdr:rowOff>
    </xdr:to>
    <xdr:sp macro="" textlink="">
      <xdr:nvSpPr>
        <xdr:cNvPr id="10248" name="Text Box 8" hidden="1">
          <a:extLst>
            <a:ext uri="{FF2B5EF4-FFF2-40B4-BE49-F238E27FC236}">
              <a16:creationId xmlns:a16="http://schemas.microsoft.com/office/drawing/2014/main" id="{29939CB7-6BE6-39AF-12EF-79E575AAEF2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426720</xdr:colOff>
      <xdr:row>50</xdr:row>
      <xdr:rowOff>68580</xdr:rowOff>
    </xdr:to>
    <xdr:sp macro="" textlink="">
      <xdr:nvSpPr>
        <xdr:cNvPr id="11272" name="Text Box 8" hidden="1">
          <a:extLst>
            <a:ext uri="{FF2B5EF4-FFF2-40B4-BE49-F238E27FC236}">
              <a16:creationId xmlns:a16="http://schemas.microsoft.com/office/drawing/2014/main" id="{C1F759CC-FB10-99D6-6208-AB2F666E172E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190500</xdr:colOff>
      <xdr:row>50</xdr:row>
      <xdr:rowOff>68580</xdr:rowOff>
    </xdr:to>
    <xdr:sp macro="" textlink="">
      <xdr:nvSpPr>
        <xdr:cNvPr id="12296" name="Text Box 8" hidden="1">
          <a:extLst>
            <a:ext uri="{FF2B5EF4-FFF2-40B4-BE49-F238E27FC236}">
              <a16:creationId xmlns:a16="http://schemas.microsoft.com/office/drawing/2014/main" id="{079B53B7-9393-5552-2DC3-35520BE0DCE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Elena.Shamina@evraz.com" id="{C1D3069E-4C84-2A48-9EA2-B437693D60DD}"/>
  <xltc:person displayName="Elena.Shamina@evraz.com" id="{1305E655-B891-09A6-89BB-DCCC8D8EC8CC}"/>
  <xltc:person displayName="Elena.Shamina@evraz.com" id="{CB62317C-AAE2-9108-9E14-F34BEAFD9456}"/>
  <xltc:person displayName="Elena.Shamina@evraz.com" id="{27F64E25-AFEB-5139-E133-6A8DD388109F}"/>
  <xltc:person displayName="Elena.Shamina@evraz.com" id="{088ED0D6-5C79-9EF7-CC3F-10410A04C3F6}"/>
  <xltc:person displayName="Elena.Shamina@evraz.com" id="{73FDBAB0-44D6-AECB-4C50-C0AA644534B3}"/>
  <xltc:person displayName="Elena.Shamina@evraz.com" id="{CB05AAB0-1D99-986F-327B-77B452195173}"/>
  <xltc:person displayName="Elena.Shamina@evraz.com" id="{CF8957BD-91AC-2C05-9ED1-C0B07B1E8AA9}"/>
  <xltc:person displayName="Elena.Shamina@evraz.com" id="{74F3B3A4-BC43-B0FE-F970-7D1CEC0AA322}"/>
  <xltc:person displayName="Elena.Shamina@evraz.com" id="{428AC63A-FA4B-7004-7547-492401CDAA8E}"/>
  <xltc:person displayName="Elena.Shamina@evraz.com" id="{E2D6BF54-3284-C2CA-7F64-19F5FCFACC6B}"/>
  <xltc:person displayName="Elena.Shamina@evraz.com" id="{A423D202-F008-883F-F470-1AD23689B167}"/>
</xltc:personList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1"/>
  <sheetViews>
    <sheetView tabSelected="1" topLeftCell="A2" workbookViewId="0">
      <selection activeCell="F8" sqref="F8"/>
    </sheetView>
  </sheetViews>
  <sheetFormatPr defaultRowHeight="13.2" x14ac:dyDescent="0.25"/>
  <cols>
    <col min="1" max="1" width="5.33203125" style="4" customWidth="1"/>
    <col min="2" max="2" width="62.88671875" style="4" customWidth="1"/>
    <col min="3" max="3" width="10.6640625" style="4" customWidth="1"/>
    <col min="4" max="4" width="15.33203125" style="4" customWidth="1"/>
    <col min="5" max="5" width="11.5546875" style="4" customWidth="1"/>
    <col min="6" max="6" width="10.109375" style="4" customWidth="1"/>
    <col min="7" max="8" width="10.5546875" style="4" customWidth="1"/>
    <col min="9" max="9" width="9.88671875" style="4" customWidth="1"/>
    <col min="10" max="10" width="12.109375" style="4" customWidth="1"/>
    <col min="11" max="11" width="10.6640625" style="4" customWidth="1"/>
    <col min="12" max="12" width="12.5546875" style="4" customWidth="1"/>
    <col min="13" max="13" width="14.109375" style="4" customWidth="1"/>
  </cols>
  <sheetData>
    <row r="1" spans="1:13" ht="10.199999999999999" customHeight="1" x14ac:dyDescent="0.25">
      <c r="A1" s="104" t="s">
        <v>0</v>
      </c>
      <c r="B1" s="109" t="s">
        <v>1</v>
      </c>
      <c r="C1" s="12"/>
      <c r="D1" s="13"/>
      <c r="E1" s="13"/>
      <c r="F1" s="11"/>
      <c r="G1" s="5"/>
      <c r="H1" s="5"/>
      <c r="I1" s="5"/>
      <c r="J1" s="112" t="s">
        <v>2</v>
      </c>
      <c r="K1" s="16"/>
      <c r="L1" s="5"/>
      <c r="M1" s="112" t="s">
        <v>3</v>
      </c>
    </row>
    <row r="2" spans="1:13" ht="22.2" customHeight="1" x14ac:dyDescent="0.25">
      <c r="A2" s="108"/>
      <c r="B2" s="110"/>
      <c r="C2" s="102" t="s">
        <v>4</v>
      </c>
      <c r="D2" s="104" t="s">
        <v>5</v>
      </c>
      <c r="E2" s="102" t="s">
        <v>6</v>
      </c>
      <c r="F2" s="102" t="s">
        <v>7</v>
      </c>
      <c r="G2" s="102" t="s">
        <v>8</v>
      </c>
      <c r="H2" s="102" t="s">
        <v>9</v>
      </c>
      <c r="I2" s="104" t="s">
        <v>10</v>
      </c>
      <c r="J2" s="113"/>
      <c r="K2" s="106" t="s">
        <v>11</v>
      </c>
      <c r="L2" s="107"/>
      <c r="M2" s="113"/>
    </row>
    <row r="3" spans="1:13" ht="34.799999999999997" customHeight="1" x14ac:dyDescent="0.25">
      <c r="A3" s="105"/>
      <c r="B3" s="111"/>
      <c r="C3" s="103"/>
      <c r="D3" s="105"/>
      <c r="E3" s="103"/>
      <c r="F3" s="103" t="s">
        <v>7</v>
      </c>
      <c r="G3" s="103"/>
      <c r="H3" s="103" t="s">
        <v>7</v>
      </c>
      <c r="I3" s="105"/>
      <c r="J3" s="114"/>
      <c r="K3" s="22" t="s">
        <v>12</v>
      </c>
      <c r="L3" s="22" t="s">
        <v>13</v>
      </c>
      <c r="M3" s="114"/>
    </row>
    <row r="4" spans="1:13" ht="10.199999999999999" customHeight="1" x14ac:dyDescent="0.25">
      <c r="A4" s="6">
        <v>1</v>
      </c>
      <c r="B4" s="9" t="s">
        <v>14</v>
      </c>
      <c r="C4" s="23"/>
      <c r="D4" s="24"/>
      <c r="E4" s="25">
        <v>844560</v>
      </c>
      <c r="F4" s="25">
        <v>920805</v>
      </c>
      <c r="G4" s="25">
        <v>891480</v>
      </c>
      <c r="H4" s="25">
        <v>914940</v>
      </c>
      <c r="I4" s="24"/>
      <c r="J4" s="26">
        <v>892946.25</v>
      </c>
      <c r="K4" s="27">
        <v>868020</v>
      </c>
      <c r="L4" s="27">
        <v>985906.5</v>
      </c>
      <c r="M4" s="28">
        <v>926963.25</v>
      </c>
    </row>
    <row r="5" spans="1:13" ht="10.199999999999999" customHeight="1" x14ac:dyDescent="0.25">
      <c r="A5" s="6">
        <v>2</v>
      </c>
      <c r="B5" s="9" t="s">
        <v>15</v>
      </c>
      <c r="C5" s="23"/>
      <c r="D5" s="24"/>
      <c r="E5" s="25">
        <v>821100</v>
      </c>
      <c r="F5" s="25">
        <v>914940</v>
      </c>
      <c r="G5" s="25">
        <v>879750</v>
      </c>
      <c r="H5" s="25">
        <v>926670</v>
      </c>
      <c r="I5" s="24"/>
      <c r="J5" s="26">
        <v>885615</v>
      </c>
      <c r="K5" s="24"/>
      <c r="L5" s="24"/>
      <c r="M5" s="26"/>
    </row>
    <row r="6" spans="1:13" ht="10.199999999999999" customHeight="1" x14ac:dyDescent="0.25">
      <c r="A6" s="6">
        <v>3</v>
      </c>
      <c r="B6" s="2" t="s">
        <v>16</v>
      </c>
      <c r="C6" s="29"/>
      <c r="D6" s="24"/>
      <c r="E6" s="25">
        <v>703800</v>
      </c>
      <c r="F6" s="25"/>
      <c r="G6" s="30">
        <v>799595</v>
      </c>
      <c r="H6" s="25"/>
      <c r="I6" s="24"/>
      <c r="J6" s="26">
        <v>751705.32</v>
      </c>
      <c r="K6" s="31">
        <v>826965</v>
      </c>
      <c r="L6" s="31">
        <v>859515.75</v>
      </c>
      <c r="M6" s="28">
        <v>843246.24</v>
      </c>
    </row>
    <row r="7" spans="1:13" ht="10.199999999999999" customHeight="1" x14ac:dyDescent="0.25">
      <c r="A7" s="6">
        <v>4</v>
      </c>
      <c r="B7" s="2" t="s">
        <v>17</v>
      </c>
      <c r="C7" s="29"/>
      <c r="D7" s="24"/>
      <c r="E7" s="25">
        <v>703800</v>
      </c>
      <c r="F7" s="25">
        <v>762450</v>
      </c>
      <c r="G7" s="25">
        <v>797640</v>
      </c>
      <c r="H7" s="32"/>
      <c r="I7" s="24"/>
      <c r="J7" s="26">
        <v>754637.82</v>
      </c>
      <c r="K7" s="27">
        <v>828138</v>
      </c>
      <c r="L7" s="27">
        <v>844560</v>
      </c>
      <c r="M7" s="28">
        <v>836349</v>
      </c>
    </row>
    <row r="8" spans="1:13" ht="10.199999999999999" customHeight="1" x14ac:dyDescent="0.25">
      <c r="A8" s="6">
        <v>5</v>
      </c>
      <c r="B8" s="2" t="s">
        <v>18</v>
      </c>
      <c r="C8" s="29"/>
      <c r="D8" s="24"/>
      <c r="E8" s="25">
        <v>591192</v>
      </c>
      <c r="F8" s="25">
        <v>644563.5</v>
      </c>
      <c r="G8" s="25">
        <v>624036</v>
      </c>
      <c r="H8" s="25">
        <v>640458</v>
      </c>
      <c r="I8" s="24"/>
      <c r="J8" s="26">
        <v>625068.24</v>
      </c>
      <c r="K8" s="27">
        <v>621690</v>
      </c>
      <c r="L8" s="27">
        <v>870366</v>
      </c>
      <c r="M8" s="28">
        <v>746028</v>
      </c>
    </row>
    <row r="9" spans="1:13" ht="10.199999999999999" customHeight="1" x14ac:dyDescent="0.25">
      <c r="A9" s="6">
        <v>6</v>
      </c>
      <c r="B9" s="2" t="s">
        <v>19</v>
      </c>
      <c r="C9" s="29"/>
      <c r="D9" s="24"/>
      <c r="E9" s="25">
        <v>500049.9</v>
      </c>
      <c r="F9" s="25">
        <v>557198.46</v>
      </c>
      <c r="G9" s="25">
        <v>535767.75</v>
      </c>
      <c r="H9" s="25">
        <v>564342.03</v>
      </c>
      <c r="I9" s="24"/>
      <c r="J9" s="26">
        <v>539345.4</v>
      </c>
      <c r="K9" s="33"/>
      <c r="L9" s="33"/>
      <c r="M9" s="28">
        <v>649044.36</v>
      </c>
    </row>
    <row r="10" spans="1:13" ht="10.199999999999999" customHeight="1" x14ac:dyDescent="0.25">
      <c r="A10" s="6">
        <v>7</v>
      </c>
      <c r="B10" s="14" t="s">
        <v>20</v>
      </c>
      <c r="C10" s="29"/>
      <c r="D10" s="24"/>
      <c r="E10" s="30">
        <v>680340</v>
      </c>
      <c r="F10" s="25">
        <v>375360</v>
      </c>
      <c r="G10" s="25"/>
      <c r="H10" s="25"/>
      <c r="I10" s="24"/>
      <c r="J10" s="26">
        <v>527850</v>
      </c>
      <c r="K10" s="24"/>
      <c r="L10" s="24"/>
      <c r="M10" s="26"/>
    </row>
    <row r="11" spans="1:13" ht="10.199999999999999" customHeight="1" x14ac:dyDescent="0.25">
      <c r="A11" s="6">
        <v>8</v>
      </c>
      <c r="B11" s="2" t="s">
        <v>21</v>
      </c>
      <c r="C11" s="29"/>
      <c r="D11" s="24"/>
      <c r="E11" s="25">
        <v>328440</v>
      </c>
      <c r="F11" s="25">
        <v>365976</v>
      </c>
      <c r="G11" s="25">
        <v>351900</v>
      </c>
      <c r="H11" s="25">
        <v>370668</v>
      </c>
      <c r="I11" s="24"/>
      <c r="J11" s="26">
        <v>354246</v>
      </c>
      <c r="K11" s="24"/>
      <c r="L11" s="24"/>
      <c r="M11" s="26"/>
    </row>
    <row r="12" spans="1:13" ht="10.199999999999999" customHeight="1" x14ac:dyDescent="0.25">
      <c r="A12" s="6">
        <v>9</v>
      </c>
      <c r="B12" s="2" t="s">
        <v>22</v>
      </c>
      <c r="C12" s="29"/>
      <c r="D12" s="24"/>
      <c r="E12" s="25">
        <v>429318</v>
      </c>
      <c r="F12" s="25">
        <v>590312.25</v>
      </c>
      <c r="G12" s="25">
        <v>719107.65</v>
      </c>
      <c r="H12" s="25">
        <v>643977</v>
      </c>
      <c r="I12" s="24"/>
      <c r="J12" s="26">
        <v>595684.59</v>
      </c>
      <c r="K12" s="34">
        <v>656880</v>
      </c>
      <c r="L12" s="34">
        <v>659226</v>
      </c>
      <c r="M12" s="26"/>
    </row>
    <row r="13" spans="1:13" ht="10.199999999999999" customHeight="1" x14ac:dyDescent="0.25">
      <c r="A13" s="6">
        <v>10</v>
      </c>
      <c r="B13" s="2" t="s">
        <v>23</v>
      </c>
      <c r="C13" s="29"/>
      <c r="D13" s="24"/>
      <c r="E13" s="25">
        <v>235773</v>
      </c>
      <c r="F13" s="25">
        <v>432250.5</v>
      </c>
      <c r="G13" s="25">
        <v>526559.69999999995</v>
      </c>
      <c r="H13" s="25">
        <v>235773</v>
      </c>
      <c r="I13" s="24"/>
      <c r="J13" s="26">
        <v>357589.05</v>
      </c>
      <c r="K13" s="35">
        <v>422280</v>
      </c>
      <c r="L13" s="35">
        <v>423453</v>
      </c>
      <c r="M13" s="26"/>
    </row>
    <row r="14" spans="1:13" ht="10.199999999999999" customHeight="1" x14ac:dyDescent="0.25">
      <c r="A14" s="6">
        <v>11</v>
      </c>
      <c r="B14" s="2" t="s">
        <v>24</v>
      </c>
      <c r="C14" s="29"/>
      <c r="D14" s="24"/>
      <c r="E14" s="25">
        <v>152490</v>
      </c>
      <c r="F14" s="25">
        <v>167739</v>
      </c>
      <c r="G14" s="25">
        <v>140760</v>
      </c>
      <c r="H14" s="25">
        <v>161874</v>
      </c>
      <c r="I14" s="24"/>
      <c r="J14" s="26">
        <v>155715.75</v>
      </c>
      <c r="K14" s="27">
        <v>152490</v>
      </c>
      <c r="L14" s="27">
        <v>180055.5</v>
      </c>
      <c r="M14" s="28">
        <v>166272.75</v>
      </c>
    </row>
    <row r="15" spans="1:13" ht="10.199999999999999" customHeight="1" x14ac:dyDescent="0.25">
      <c r="A15" s="6">
        <v>12</v>
      </c>
      <c r="B15" s="2" t="s">
        <v>25</v>
      </c>
      <c r="C15" s="36"/>
      <c r="D15" s="37"/>
      <c r="E15" s="38">
        <v>140760</v>
      </c>
      <c r="F15" s="25"/>
      <c r="G15" s="25">
        <v>175950</v>
      </c>
      <c r="H15" s="38"/>
      <c r="I15" s="24"/>
      <c r="J15" s="26">
        <v>158355</v>
      </c>
      <c r="K15" s="27">
        <v>173604</v>
      </c>
      <c r="L15" s="27">
        <v>239878.5</v>
      </c>
      <c r="M15" s="28">
        <v>206741.25</v>
      </c>
    </row>
    <row r="16" spans="1:13" s="15" customFormat="1" ht="10.199999999999999" customHeight="1" x14ac:dyDescent="0.25">
      <c r="A16" s="6">
        <v>13</v>
      </c>
      <c r="B16" s="2" t="s">
        <v>26</v>
      </c>
      <c r="C16" s="36"/>
      <c r="D16" s="37"/>
      <c r="E16" s="38">
        <v>82110</v>
      </c>
      <c r="F16" s="25">
        <v>82110</v>
      </c>
      <c r="G16" s="25">
        <v>76245</v>
      </c>
      <c r="H16" s="38">
        <v>76245</v>
      </c>
      <c r="I16" s="24"/>
      <c r="J16" s="26">
        <v>79177.5</v>
      </c>
      <c r="K16" s="39">
        <v>85629</v>
      </c>
      <c r="L16" s="39">
        <v>86215.5</v>
      </c>
      <c r="M16" s="40">
        <v>85922.25</v>
      </c>
    </row>
    <row r="17" spans="1:13" ht="10.199999999999999" customHeight="1" x14ac:dyDescent="0.25">
      <c r="A17" s="6">
        <v>14</v>
      </c>
      <c r="B17" s="2" t="s">
        <v>27</v>
      </c>
      <c r="C17" s="36"/>
      <c r="D17" s="37"/>
      <c r="E17" s="38"/>
      <c r="F17" s="25"/>
      <c r="G17" s="25"/>
      <c r="H17" s="38"/>
      <c r="I17" s="24"/>
      <c r="J17" s="26"/>
      <c r="K17" s="41">
        <v>51612</v>
      </c>
      <c r="L17" s="41">
        <v>51846.6</v>
      </c>
      <c r="M17" s="42">
        <v>51729.3</v>
      </c>
    </row>
    <row r="18" spans="1:13" ht="21.6" customHeight="1" x14ac:dyDescent="0.25">
      <c r="A18" s="6">
        <v>15</v>
      </c>
      <c r="B18" s="2" t="s">
        <v>28</v>
      </c>
      <c r="C18" s="36"/>
      <c r="D18" s="37"/>
      <c r="E18" s="38">
        <v>152490</v>
      </c>
      <c r="F18" s="38">
        <v>167739</v>
      </c>
      <c r="G18" s="38">
        <v>140760</v>
      </c>
      <c r="H18" s="38">
        <v>161874</v>
      </c>
      <c r="I18" s="24"/>
      <c r="J18" s="26">
        <v>155715.75</v>
      </c>
      <c r="K18" s="39">
        <v>129030</v>
      </c>
      <c r="L18" s="39">
        <v>130203</v>
      </c>
      <c r="M18" s="40">
        <v>129616.5</v>
      </c>
    </row>
    <row r="19" spans="1:13" ht="12" customHeight="1" x14ac:dyDescent="0.25">
      <c r="A19" s="6">
        <v>16</v>
      </c>
      <c r="B19" s="2" t="s">
        <v>29</v>
      </c>
      <c r="C19" s="36"/>
      <c r="D19" s="37"/>
      <c r="E19" s="38">
        <v>221697</v>
      </c>
      <c r="F19" s="38">
        <v>232535.52</v>
      </c>
      <c r="G19" s="38">
        <v>221697</v>
      </c>
      <c r="H19" s="38">
        <v>231550.2</v>
      </c>
      <c r="I19" s="24"/>
      <c r="J19" s="26">
        <v>226869.93</v>
      </c>
      <c r="K19" s="43">
        <v>134895</v>
      </c>
      <c r="L19" s="43">
        <v>175950</v>
      </c>
      <c r="M19" s="26"/>
    </row>
    <row r="20" spans="1:13" ht="10.199999999999999" customHeight="1" x14ac:dyDescent="0.25">
      <c r="A20" s="6">
        <v>17</v>
      </c>
      <c r="B20" s="2" t="s">
        <v>30</v>
      </c>
      <c r="C20" s="36"/>
      <c r="D20" s="37"/>
      <c r="E20" s="38">
        <v>527850</v>
      </c>
      <c r="F20" s="25">
        <v>553656</v>
      </c>
      <c r="G20" s="25">
        <v>527850</v>
      </c>
      <c r="H20" s="38">
        <v>551310</v>
      </c>
      <c r="I20" s="24"/>
      <c r="J20" s="26">
        <v>540166.5</v>
      </c>
      <c r="K20" s="27">
        <v>557175</v>
      </c>
      <c r="L20" s="27">
        <v>585327</v>
      </c>
      <c r="M20" s="28">
        <v>571251</v>
      </c>
    </row>
    <row r="21" spans="1:13" ht="10.199999999999999" customHeight="1" x14ac:dyDescent="0.25">
      <c r="A21" s="6">
        <v>18</v>
      </c>
      <c r="B21" s="2" t="s">
        <v>31</v>
      </c>
      <c r="C21" s="36"/>
      <c r="D21" s="37"/>
      <c r="E21" s="38">
        <v>469200</v>
      </c>
      <c r="F21" s="25">
        <v>504390</v>
      </c>
      <c r="G21" s="25">
        <v>492660</v>
      </c>
      <c r="H21" s="38">
        <v>504390</v>
      </c>
      <c r="I21" s="24"/>
      <c r="J21" s="26">
        <v>492660</v>
      </c>
      <c r="K21" s="44">
        <v>469200</v>
      </c>
      <c r="L21" s="44">
        <v>568318.5</v>
      </c>
      <c r="M21" s="45">
        <v>518759.25</v>
      </c>
    </row>
    <row r="22" spans="1:13" ht="10.199999999999999" customHeight="1" x14ac:dyDescent="0.25">
      <c r="A22" s="6">
        <v>19</v>
      </c>
      <c r="B22" s="2" t="s">
        <v>32</v>
      </c>
      <c r="C22" s="36"/>
      <c r="D22" s="37"/>
      <c r="E22" s="38">
        <v>533715</v>
      </c>
      <c r="F22" s="38">
        <v>557175</v>
      </c>
      <c r="G22" s="38">
        <v>551310</v>
      </c>
      <c r="H22" s="38">
        <v>562258</v>
      </c>
      <c r="I22" s="24"/>
      <c r="J22" s="26">
        <v>551122.31999999995</v>
      </c>
      <c r="K22" s="44">
        <v>574770</v>
      </c>
      <c r="L22" s="44">
        <v>602922</v>
      </c>
      <c r="M22" s="44">
        <v>588846</v>
      </c>
    </row>
    <row r="23" spans="1:13" ht="10.199999999999999" customHeight="1" x14ac:dyDescent="0.25">
      <c r="A23" s="6">
        <v>20</v>
      </c>
      <c r="B23" s="2" t="s">
        <v>33</v>
      </c>
      <c r="C23" s="36"/>
      <c r="D23" s="37"/>
      <c r="E23" s="38">
        <v>480930</v>
      </c>
      <c r="F23" s="38">
        <v>504390</v>
      </c>
      <c r="G23" s="38">
        <v>492660</v>
      </c>
      <c r="H23" s="38">
        <v>515338</v>
      </c>
      <c r="I23" s="24"/>
      <c r="J23" s="26">
        <v>498337.32</v>
      </c>
      <c r="K23" s="44">
        <v>480930</v>
      </c>
      <c r="L23" s="46">
        <v>521398.5</v>
      </c>
      <c r="M23" s="26"/>
    </row>
    <row r="24" spans="1:13" ht="10.199999999999999" customHeight="1" x14ac:dyDescent="0.25">
      <c r="A24" s="6">
        <v>0</v>
      </c>
      <c r="B24" s="1" t="s">
        <v>34</v>
      </c>
      <c r="C24" s="47"/>
      <c r="D24" s="37"/>
      <c r="E24" s="38">
        <v>551310</v>
      </c>
      <c r="F24" s="25">
        <v>557175</v>
      </c>
      <c r="G24" s="25">
        <v>539580</v>
      </c>
      <c r="H24" s="38">
        <v>551310</v>
      </c>
      <c r="I24" s="24"/>
      <c r="J24" s="26">
        <v>549843.75</v>
      </c>
      <c r="K24" s="48">
        <v>557175</v>
      </c>
      <c r="L24" s="48">
        <v>585327</v>
      </c>
      <c r="M24" s="49">
        <v>571251</v>
      </c>
    </row>
    <row r="25" spans="1:13" ht="10.199999999999999" customHeight="1" x14ac:dyDescent="0.25">
      <c r="A25" s="6">
        <v>1</v>
      </c>
      <c r="B25" s="2" t="s">
        <v>35</v>
      </c>
      <c r="C25" s="36"/>
      <c r="D25" s="37"/>
      <c r="E25" s="38">
        <v>656880</v>
      </c>
      <c r="F25" s="25">
        <v>621690</v>
      </c>
      <c r="G25" s="25">
        <v>656880</v>
      </c>
      <c r="H25" s="38">
        <v>656880</v>
      </c>
      <c r="I25" s="24"/>
      <c r="J25" s="26">
        <v>648082.5</v>
      </c>
      <c r="K25" s="44">
        <v>668610</v>
      </c>
      <c r="L25" s="44">
        <v>674475</v>
      </c>
      <c r="M25" s="45">
        <v>671542.5</v>
      </c>
    </row>
    <row r="26" spans="1:13" ht="10.8" customHeight="1" x14ac:dyDescent="0.25">
      <c r="A26" s="6">
        <v>2</v>
      </c>
      <c r="B26" s="2" t="s">
        <v>36</v>
      </c>
      <c r="C26" s="36"/>
      <c r="D26" s="37"/>
      <c r="E26" s="38">
        <v>656880</v>
      </c>
      <c r="F26" s="25">
        <v>680340</v>
      </c>
      <c r="G26" s="25">
        <v>668610</v>
      </c>
      <c r="H26" s="38"/>
      <c r="I26" s="24"/>
      <c r="J26" s="26">
        <v>668610</v>
      </c>
      <c r="K26" s="27">
        <v>706146</v>
      </c>
      <c r="L26" s="27">
        <v>767728.5</v>
      </c>
      <c r="M26" s="28">
        <v>736937.25</v>
      </c>
    </row>
    <row r="27" spans="1:13" ht="10.199999999999999" customHeight="1" x14ac:dyDescent="0.25">
      <c r="A27" s="6">
        <v>3</v>
      </c>
      <c r="B27" s="2" t="s">
        <v>37</v>
      </c>
      <c r="C27" s="36"/>
      <c r="D27" s="37"/>
      <c r="E27" s="38">
        <v>633420</v>
      </c>
      <c r="F27" s="25">
        <v>586500</v>
      </c>
      <c r="G27" s="25">
        <v>551310</v>
      </c>
      <c r="H27" s="38"/>
      <c r="I27" s="24"/>
      <c r="J27" s="26">
        <v>590417.81999999995</v>
      </c>
      <c r="K27" s="27">
        <v>708492</v>
      </c>
      <c r="L27" s="27">
        <v>796467</v>
      </c>
      <c r="M27" s="28">
        <v>752479.5</v>
      </c>
    </row>
    <row r="28" spans="1:13" ht="10.199999999999999" customHeight="1" x14ac:dyDescent="0.25">
      <c r="A28" s="6">
        <v>4</v>
      </c>
      <c r="B28" s="2" t="s">
        <v>38</v>
      </c>
      <c r="C28" s="36"/>
      <c r="D28" s="37"/>
      <c r="E28" s="38">
        <v>2697900</v>
      </c>
      <c r="F28" s="25">
        <v>2346000</v>
      </c>
      <c r="G28" s="25">
        <v>2932500</v>
      </c>
      <c r="H28" s="38">
        <v>2815200</v>
      </c>
      <c r="I28" s="24"/>
      <c r="J28" s="26">
        <v>2697900</v>
      </c>
      <c r="K28" s="27">
        <v>2633385</v>
      </c>
      <c r="L28" s="27">
        <v>3677355</v>
      </c>
      <c r="M28" s="28">
        <v>3155370</v>
      </c>
    </row>
    <row r="29" spans="1:13" ht="10.199999999999999" customHeight="1" x14ac:dyDescent="0.25">
      <c r="A29" s="6">
        <v>5</v>
      </c>
      <c r="B29" s="2" t="s">
        <v>39</v>
      </c>
      <c r="C29" s="36"/>
      <c r="D29" s="37"/>
      <c r="E29" s="38">
        <v>2580600</v>
      </c>
      <c r="F29" s="25">
        <v>2346000</v>
      </c>
      <c r="G29" s="25">
        <v>2873850</v>
      </c>
      <c r="H29" s="38">
        <v>2873850</v>
      </c>
      <c r="I29" s="24"/>
      <c r="J29" s="26">
        <v>2668575</v>
      </c>
      <c r="K29" s="27">
        <v>2574735</v>
      </c>
      <c r="L29" s="27">
        <v>3589380</v>
      </c>
      <c r="M29" s="28">
        <v>3082057.5</v>
      </c>
    </row>
    <row r="30" spans="1:13" ht="10.199999999999999" customHeight="1" x14ac:dyDescent="0.25">
      <c r="A30" s="6">
        <v>6</v>
      </c>
      <c r="B30" s="2" t="s">
        <v>40</v>
      </c>
      <c r="C30" s="36"/>
      <c r="D30" s="37"/>
      <c r="E30" s="38">
        <v>2463300</v>
      </c>
      <c r="F30" s="25">
        <v>2052750</v>
      </c>
      <c r="G30" s="25">
        <v>2228700</v>
      </c>
      <c r="H30" s="38"/>
      <c r="I30" s="24"/>
      <c r="J30" s="26">
        <v>2248253.91</v>
      </c>
      <c r="K30" s="44">
        <v>2228700</v>
      </c>
      <c r="L30" s="44">
        <v>2232219</v>
      </c>
      <c r="M30" s="26"/>
    </row>
    <row r="31" spans="1:13" ht="10.199999999999999" customHeight="1" x14ac:dyDescent="0.25">
      <c r="A31" s="6">
        <v>7</v>
      </c>
      <c r="B31" s="2" t="s">
        <v>41</v>
      </c>
      <c r="C31" s="36"/>
      <c r="D31" s="37"/>
      <c r="E31" s="38">
        <v>1847475</v>
      </c>
      <c r="F31" s="38">
        <v>1539562.5</v>
      </c>
      <c r="G31" s="38">
        <v>1671525</v>
      </c>
      <c r="H31" s="38"/>
      <c r="I31" s="24"/>
      <c r="J31" s="26">
        <v>1686187.5</v>
      </c>
      <c r="K31" s="44">
        <v>1671525</v>
      </c>
      <c r="L31" s="44">
        <v>2204067</v>
      </c>
      <c r="M31" s="45">
        <v>1937796</v>
      </c>
    </row>
    <row r="32" spans="1:13" ht="10.199999999999999" customHeight="1" x14ac:dyDescent="0.25">
      <c r="A32" s="6">
        <v>8</v>
      </c>
      <c r="B32" s="2" t="s">
        <v>42</v>
      </c>
      <c r="C32" s="36"/>
      <c r="D32" s="37"/>
      <c r="E32" s="38">
        <v>633420</v>
      </c>
      <c r="F32" s="25">
        <v>410550</v>
      </c>
      <c r="G32" s="25">
        <v>445740</v>
      </c>
      <c r="H32" s="38"/>
      <c r="I32" s="24"/>
      <c r="J32" s="26">
        <v>496577.82</v>
      </c>
      <c r="K32" s="50">
        <v>297942</v>
      </c>
      <c r="L32" s="50">
        <v>916113</v>
      </c>
      <c r="M32" s="26"/>
    </row>
    <row r="33" spans="1:13" ht="10.199999999999999" customHeight="1" x14ac:dyDescent="0.25">
      <c r="A33" s="6">
        <v>9</v>
      </c>
      <c r="B33" s="2" t="s">
        <v>43</v>
      </c>
      <c r="C33" s="36"/>
      <c r="D33" s="37"/>
      <c r="E33" s="25">
        <v>475065</v>
      </c>
      <c r="F33" s="25">
        <v>307912.5</v>
      </c>
      <c r="G33" s="25">
        <v>334305</v>
      </c>
      <c r="H33" s="38"/>
      <c r="I33" s="24"/>
      <c r="J33" s="26">
        <v>372427.5</v>
      </c>
      <c r="K33" s="44">
        <v>328440</v>
      </c>
      <c r="L33" s="44">
        <v>353073</v>
      </c>
      <c r="M33" s="26"/>
    </row>
    <row r="34" spans="1:13" ht="10.199999999999999" customHeight="1" x14ac:dyDescent="0.25">
      <c r="A34" s="6">
        <v>10</v>
      </c>
      <c r="B34" s="2" t="s">
        <v>44</v>
      </c>
      <c r="C34" s="36"/>
      <c r="D34" s="37"/>
      <c r="E34" s="38">
        <v>64515</v>
      </c>
      <c r="F34" s="25">
        <v>55834.8</v>
      </c>
      <c r="G34" s="25">
        <v>65688</v>
      </c>
      <c r="H34" s="38"/>
      <c r="I34" s="24"/>
      <c r="J34" s="26">
        <v>62016.51</v>
      </c>
      <c r="K34" s="35">
        <v>79764</v>
      </c>
      <c r="L34" s="35">
        <v>94426.5</v>
      </c>
      <c r="M34" s="51">
        <v>87095.25</v>
      </c>
    </row>
    <row r="35" spans="1:13" ht="10.199999999999999" customHeight="1" x14ac:dyDescent="0.25">
      <c r="A35" s="6">
        <v>11</v>
      </c>
      <c r="B35" s="2" t="s">
        <v>45</v>
      </c>
      <c r="C35" s="36"/>
      <c r="D35" s="37"/>
      <c r="E35" s="38">
        <v>175950</v>
      </c>
      <c r="F35" s="25">
        <v>152490</v>
      </c>
      <c r="G35" s="25"/>
      <c r="H35" s="38"/>
      <c r="I35" s="24"/>
      <c r="J35" s="26">
        <v>164220</v>
      </c>
      <c r="K35" s="24"/>
      <c r="L35" s="24"/>
      <c r="M35" s="26">
        <v>164220</v>
      </c>
    </row>
    <row r="36" spans="1:13" ht="10.199999999999999" customHeight="1" x14ac:dyDescent="0.25">
      <c r="A36" s="6">
        <v>12</v>
      </c>
      <c r="B36" s="2" t="s">
        <v>46</v>
      </c>
      <c r="C36" s="36"/>
      <c r="D36" s="37"/>
      <c r="E36" s="38">
        <v>304980</v>
      </c>
      <c r="F36" s="25"/>
      <c r="G36" s="25">
        <v>351900</v>
      </c>
      <c r="H36" s="38"/>
      <c r="I36" s="24"/>
      <c r="J36" s="26">
        <v>328440</v>
      </c>
      <c r="K36" s="24"/>
      <c r="L36" s="37"/>
      <c r="M36" s="26">
        <v>328440</v>
      </c>
    </row>
    <row r="37" spans="1:13" ht="10.199999999999999" customHeight="1" x14ac:dyDescent="0.25">
      <c r="A37" s="6">
        <v>13</v>
      </c>
      <c r="B37" s="2" t="s">
        <v>47</v>
      </c>
      <c r="C37" s="36"/>
      <c r="D37" s="37"/>
      <c r="E37" s="38">
        <v>469200</v>
      </c>
      <c r="F37" s="25"/>
      <c r="G37" s="25">
        <v>586500</v>
      </c>
      <c r="H37" s="38"/>
      <c r="I37" s="24"/>
      <c r="J37" s="26">
        <v>527850</v>
      </c>
      <c r="K37" s="24"/>
      <c r="L37" s="24"/>
      <c r="M37" s="26">
        <v>527850</v>
      </c>
    </row>
    <row r="38" spans="1:13" ht="10.199999999999999" customHeight="1" x14ac:dyDescent="0.25">
      <c r="A38" s="6">
        <v>14</v>
      </c>
      <c r="B38" s="2" t="s">
        <v>48</v>
      </c>
      <c r="C38" s="36"/>
      <c r="D38" s="37"/>
      <c r="E38" s="38"/>
      <c r="F38" s="25"/>
      <c r="G38" s="25"/>
      <c r="H38" s="38"/>
      <c r="I38" s="24"/>
      <c r="J38" s="52">
        <v>46920</v>
      </c>
      <c r="K38" s="53">
        <v>46920</v>
      </c>
      <c r="L38" s="53">
        <v>48093</v>
      </c>
      <c r="M38" s="52">
        <v>46920</v>
      </c>
    </row>
    <row r="39" spans="1:13" ht="26.4" x14ac:dyDescent="0.25">
      <c r="A39" s="6">
        <v>15</v>
      </c>
      <c r="B39" s="2" t="s">
        <v>49</v>
      </c>
      <c r="C39" s="36"/>
      <c r="D39" s="37"/>
      <c r="E39" s="38">
        <v>53840.7</v>
      </c>
      <c r="F39" s="38">
        <v>48914.1</v>
      </c>
      <c r="G39" s="38"/>
      <c r="H39" s="38"/>
      <c r="I39" s="24"/>
      <c r="J39" s="54">
        <v>51377.4</v>
      </c>
      <c r="K39" s="50">
        <v>72726</v>
      </c>
      <c r="L39" s="50">
        <v>73077.899999999994</v>
      </c>
      <c r="M39" s="54">
        <v>51377.4</v>
      </c>
    </row>
    <row r="40" spans="1:13" x14ac:dyDescent="0.25">
      <c r="A40" s="6">
        <v>16</v>
      </c>
      <c r="B40" s="2" t="s">
        <v>50</v>
      </c>
      <c r="C40" s="36"/>
      <c r="D40" s="37"/>
      <c r="E40" s="38"/>
      <c r="F40" s="38"/>
      <c r="G40" s="38"/>
      <c r="H40" s="38"/>
      <c r="I40" s="24"/>
      <c r="J40" s="26"/>
      <c r="K40" s="37"/>
      <c r="L40" s="41">
        <v>49500.6</v>
      </c>
      <c r="M40" s="41">
        <v>49500.6</v>
      </c>
    </row>
    <row r="41" spans="1:13" x14ac:dyDescent="0.25">
      <c r="A41" s="6">
        <v>17</v>
      </c>
      <c r="B41" s="2" t="s">
        <v>51</v>
      </c>
      <c r="C41" s="36"/>
      <c r="D41" s="37"/>
      <c r="E41" s="38">
        <v>43987.5</v>
      </c>
      <c r="F41" s="38"/>
      <c r="G41" s="38"/>
      <c r="H41" s="38"/>
      <c r="I41" s="37"/>
      <c r="J41" s="54">
        <v>43987.5</v>
      </c>
      <c r="K41" s="24"/>
      <c r="L41" s="24"/>
      <c r="M41" s="54">
        <v>43987.5</v>
      </c>
    </row>
    <row r="42" spans="1:13" ht="26.4" x14ac:dyDescent="0.25">
      <c r="A42" s="6">
        <v>18</v>
      </c>
      <c r="B42" s="2" t="s">
        <v>52</v>
      </c>
      <c r="C42" s="36"/>
      <c r="D42" s="37" t="s">
        <v>99</v>
      </c>
      <c r="E42" s="38">
        <v>51846.6</v>
      </c>
      <c r="F42" s="38">
        <v>39178.199999999997</v>
      </c>
      <c r="G42" s="38"/>
      <c r="H42" s="38">
        <v>39178.199999999997</v>
      </c>
      <c r="I42" s="37"/>
      <c r="J42" s="54">
        <v>43401</v>
      </c>
      <c r="K42" s="24"/>
      <c r="L42" s="24"/>
      <c r="M42" s="54">
        <v>45512.4</v>
      </c>
    </row>
    <row r="43" spans="1:13" ht="9.6" customHeight="1" x14ac:dyDescent="0.25">
      <c r="A43" s="6">
        <v>19</v>
      </c>
      <c r="B43" s="3" t="s">
        <v>53</v>
      </c>
      <c r="C43" s="29"/>
      <c r="D43" s="37"/>
      <c r="E43" s="38"/>
      <c r="F43" s="38">
        <v>43401</v>
      </c>
      <c r="G43" s="38"/>
      <c r="H43" s="38"/>
      <c r="I43" s="37"/>
      <c r="J43" s="37"/>
      <c r="K43" s="55">
        <v>87975</v>
      </c>
      <c r="L43" s="55">
        <v>88561.5</v>
      </c>
      <c r="M43" s="55">
        <v>88268.25</v>
      </c>
    </row>
    <row r="44" spans="1:13" ht="9.6" customHeight="1" x14ac:dyDescent="0.25">
      <c r="A44" s="6">
        <v>20</v>
      </c>
      <c r="B44" s="3" t="s">
        <v>54</v>
      </c>
      <c r="C44" s="29"/>
      <c r="D44" s="37"/>
      <c r="E44" s="38"/>
      <c r="F44" s="38">
        <v>43401</v>
      </c>
      <c r="G44" s="38"/>
      <c r="H44" s="38"/>
      <c r="I44" s="37"/>
      <c r="J44" s="37"/>
      <c r="K44" s="55">
        <v>71553</v>
      </c>
      <c r="L44" s="55">
        <v>74485.5</v>
      </c>
      <c r="M44" s="55">
        <v>73019.25</v>
      </c>
    </row>
    <row r="45" spans="1:13" ht="10.199999999999999" hidden="1" customHeight="1" x14ac:dyDescent="0.25">
      <c r="A45" s="6">
        <v>21</v>
      </c>
      <c r="B45" s="3" t="s">
        <v>55</v>
      </c>
      <c r="C45" s="29"/>
      <c r="D45" s="37"/>
      <c r="E45" s="38"/>
      <c r="F45" s="38"/>
      <c r="G45" s="38"/>
      <c r="H45" s="38"/>
      <c r="I45" s="56">
        <v>32844</v>
      </c>
      <c r="J45" s="37"/>
      <c r="K45" s="37"/>
      <c r="L45" s="37"/>
      <c r="M45" s="57" t="s">
        <v>100</v>
      </c>
    </row>
    <row r="46" spans="1:13" ht="10.199999999999999" hidden="1" customHeight="1" x14ac:dyDescent="0.25">
      <c r="A46" s="6">
        <v>22</v>
      </c>
      <c r="B46" s="3" t="s">
        <v>56</v>
      </c>
      <c r="C46" s="29"/>
      <c r="D46" s="37"/>
      <c r="E46" s="38"/>
      <c r="F46" s="38"/>
      <c r="G46" s="38"/>
      <c r="H46" s="38"/>
      <c r="I46" s="56">
        <v>11730</v>
      </c>
      <c r="J46" s="37"/>
      <c r="K46" s="37"/>
      <c r="L46" s="37"/>
      <c r="M46" s="57" t="s">
        <v>100</v>
      </c>
    </row>
    <row r="47" spans="1:13" ht="10.199999999999999" hidden="1" customHeight="1" x14ac:dyDescent="0.25">
      <c r="A47" s="6">
        <v>23</v>
      </c>
      <c r="B47" s="3" t="s">
        <v>57</v>
      </c>
      <c r="C47" s="29"/>
      <c r="D47" s="37"/>
      <c r="E47" s="38"/>
      <c r="F47" s="38"/>
      <c r="G47" s="38">
        <v>46920</v>
      </c>
      <c r="H47" s="38"/>
      <c r="I47" s="56">
        <v>23460</v>
      </c>
      <c r="J47" s="37"/>
      <c r="K47" s="37"/>
      <c r="L47" s="37"/>
      <c r="M47" s="57" t="s">
        <v>100</v>
      </c>
    </row>
    <row r="48" spans="1:13" ht="10.199999999999999" hidden="1" customHeight="1" x14ac:dyDescent="0.25">
      <c r="A48" s="6">
        <v>24</v>
      </c>
      <c r="B48" s="3" t="s">
        <v>58</v>
      </c>
      <c r="C48" s="29"/>
      <c r="D48" s="37"/>
      <c r="E48" s="38"/>
      <c r="F48" s="38"/>
      <c r="G48" s="38">
        <v>17595</v>
      </c>
      <c r="H48" s="38"/>
      <c r="I48" s="56">
        <v>11730</v>
      </c>
      <c r="J48" s="37"/>
      <c r="K48" s="37"/>
      <c r="L48" s="37"/>
      <c r="M48" s="57" t="s">
        <v>100</v>
      </c>
    </row>
    <row r="49" spans="1:18" ht="10.199999999999999" customHeight="1" x14ac:dyDescent="0.25">
      <c r="A49" s="6">
        <v>25</v>
      </c>
      <c r="B49" s="3" t="s">
        <v>59</v>
      </c>
      <c r="C49" s="29"/>
      <c r="D49" s="37"/>
      <c r="E49" s="38"/>
      <c r="F49" s="58">
        <v>23460</v>
      </c>
      <c r="G49" s="38"/>
      <c r="H49" s="58"/>
      <c r="I49" s="37"/>
      <c r="J49" s="37"/>
      <c r="K49" s="59">
        <v>35893.800000000003</v>
      </c>
      <c r="L49" s="59">
        <v>84221.4</v>
      </c>
      <c r="M49" s="59">
        <v>60057.599999999999</v>
      </c>
    </row>
    <row r="50" spans="1:18" x14ac:dyDescent="0.25">
      <c r="A50" s="6">
        <v>26</v>
      </c>
      <c r="B50" s="3" t="s">
        <v>60</v>
      </c>
      <c r="C50" s="29"/>
      <c r="D50" s="37"/>
      <c r="E50" s="38"/>
      <c r="F50" s="38"/>
      <c r="G50" s="38"/>
      <c r="H50" s="38"/>
      <c r="I50" s="56">
        <v>41055</v>
      </c>
      <c r="J50" s="26"/>
      <c r="K50" s="37"/>
      <c r="L50" s="37"/>
      <c r="M50" s="60">
        <v>41055</v>
      </c>
    </row>
    <row r="51" spans="1:18" ht="10.199999999999999" customHeight="1" x14ac:dyDescent="0.25">
      <c r="A51" s="6">
        <v>27</v>
      </c>
      <c r="B51" s="7" t="s">
        <v>61</v>
      </c>
      <c r="C51" s="38">
        <v>20351.55</v>
      </c>
      <c r="D51" s="61"/>
      <c r="E51" s="62"/>
      <c r="F51" s="38"/>
      <c r="G51" s="62"/>
      <c r="H51" s="38"/>
      <c r="I51" s="61"/>
      <c r="J51" s="26"/>
      <c r="K51" s="61"/>
      <c r="L51" s="61"/>
      <c r="M51" s="26">
        <v>20351.55</v>
      </c>
    </row>
    <row r="52" spans="1:18" ht="10.199999999999999" customHeight="1" x14ac:dyDescent="0.25">
      <c r="A52" s="6">
        <v>28</v>
      </c>
      <c r="B52" s="10" t="s">
        <v>62</v>
      </c>
      <c r="C52" s="38">
        <v>20351.55</v>
      </c>
      <c r="D52" s="37"/>
      <c r="E52" s="38"/>
      <c r="F52" s="38"/>
      <c r="G52" s="38"/>
      <c r="H52" s="38"/>
      <c r="I52" s="37"/>
      <c r="J52" s="37"/>
      <c r="K52" s="31">
        <v>19589.099999999999</v>
      </c>
      <c r="L52" s="31">
        <v>19647.75</v>
      </c>
      <c r="M52" s="31">
        <v>19624.29</v>
      </c>
    </row>
    <row r="53" spans="1:18" ht="10.199999999999999" customHeight="1" x14ac:dyDescent="0.25">
      <c r="A53" s="6">
        <v>29</v>
      </c>
      <c r="B53" s="10" t="s">
        <v>63</v>
      </c>
      <c r="C53" s="38">
        <v>20351.55</v>
      </c>
      <c r="D53" s="37"/>
      <c r="E53" s="38"/>
      <c r="F53" s="38"/>
      <c r="G53" s="38"/>
      <c r="H53" s="38"/>
      <c r="I53" s="37"/>
      <c r="J53" s="37"/>
      <c r="K53" s="31">
        <v>31671</v>
      </c>
      <c r="L53" s="31">
        <v>34251.599999999999</v>
      </c>
      <c r="M53" s="31">
        <v>32961.300000000003</v>
      </c>
    </row>
    <row r="54" spans="1:18" ht="10.199999999999999" customHeight="1" x14ac:dyDescent="0.25">
      <c r="A54" s="6">
        <v>30</v>
      </c>
      <c r="B54" s="10" t="s">
        <v>64</v>
      </c>
      <c r="C54" s="38"/>
      <c r="D54" s="37">
        <v>37536</v>
      </c>
      <c r="E54" s="38"/>
      <c r="F54" s="38"/>
      <c r="G54" s="38"/>
      <c r="H54" s="38"/>
      <c r="I54" s="37"/>
      <c r="J54" s="52">
        <v>37536</v>
      </c>
      <c r="K54" s="37"/>
      <c r="L54" s="37"/>
      <c r="M54" s="52">
        <v>37536</v>
      </c>
    </row>
    <row r="55" spans="1:18" ht="10.199999999999999" customHeight="1" x14ac:dyDescent="0.25">
      <c r="A55" s="6">
        <v>31</v>
      </c>
      <c r="B55" s="10" t="s">
        <v>65</v>
      </c>
      <c r="C55" s="38"/>
      <c r="D55" s="37"/>
      <c r="E55" s="38"/>
      <c r="F55" s="38"/>
      <c r="G55" s="38"/>
      <c r="H55" s="38"/>
      <c r="I55" s="37"/>
      <c r="J55" s="54"/>
      <c r="K55" s="37"/>
      <c r="L55" s="37"/>
      <c r="M55" s="54">
        <v>21675</v>
      </c>
    </row>
    <row r="56" spans="1:18" s="8" customFormat="1" ht="10.199999999999999" customHeight="1" x14ac:dyDescent="0.25">
      <c r="A56" s="6">
        <v>32</v>
      </c>
      <c r="B56" s="7" t="s">
        <v>66</v>
      </c>
      <c r="C56" s="38">
        <v>21524.55</v>
      </c>
      <c r="D56" s="37">
        <v>31671</v>
      </c>
      <c r="E56" s="38"/>
      <c r="F56" s="38"/>
      <c r="G56" s="38"/>
      <c r="H56" s="38"/>
      <c r="I56" s="37"/>
      <c r="J56" s="26">
        <v>26603.64</v>
      </c>
      <c r="K56" s="37"/>
      <c r="L56" s="37"/>
      <c r="M56" s="26">
        <v>26603.64</v>
      </c>
      <c r="N56" s="4"/>
      <c r="O56" s="4"/>
      <c r="P56" s="4"/>
      <c r="Q56" s="4"/>
      <c r="R56" s="4"/>
    </row>
    <row r="57" spans="1:18" s="8" customFormat="1" ht="10.199999999999999" customHeight="1" x14ac:dyDescent="0.25">
      <c r="A57" s="6">
        <v>33</v>
      </c>
      <c r="B57" s="7" t="s">
        <v>67</v>
      </c>
      <c r="C57" s="38"/>
      <c r="D57" s="37">
        <v>66861</v>
      </c>
      <c r="E57" s="38"/>
      <c r="F57" s="38"/>
      <c r="G57" s="38"/>
      <c r="H57" s="38"/>
      <c r="I57" s="37"/>
      <c r="J57" s="26">
        <v>66861</v>
      </c>
      <c r="K57" s="34">
        <v>36949.5</v>
      </c>
      <c r="L57" s="34">
        <v>37066.800000000003</v>
      </c>
      <c r="M57" s="34">
        <v>37066.800000000003</v>
      </c>
      <c r="N57" s="4"/>
      <c r="O57" s="4"/>
      <c r="P57" s="4"/>
      <c r="Q57" s="4"/>
      <c r="R57" s="4"/>
    </row>
    <row r="58" spans="1:18" ht="10.199999999999999" customHeight="1" x14ac:dyDescent="0.25">
      <c r="A58" s="6">
        <v>34</v>
      </c>
      <c r="B58" s="7" t="s">
        <v>68</v>
      </c>
      <c r="C58" s="38">
        <v>21114</v>
      </c>
      <c r="D58" s="61"/>
      <c r="E58" s="62"/>
      <c r="F58" s="38"/>
      <c r="G58" s="62"/>
      <c r="H58" s="38"/>
      <c r="I58" s="61"/>
      <c r="J58" s="26">
        <v>21114</v>
      </c>
      <c r="K58" s="61"/>
      <c r="L58" s="61"/>
      <c r="M58" s="26">
        <v>21114</v>
      </c>
    </row>
    <row r="59" spans="1:18" x14ac:dyDescent="0.25">
      <c r="A59" s="6">
        <v>35</v>
      </c>
      <c r="B59" s="7" t="s">
        <v>69</v>
      </c>
      <c r="C59" s="38"/>
      <c r="D59" s="61">
        <v>82110</v>
      </c>
      <c r="E59" s="62"/>
      <c r="F59" s="38"/>
      <c r="G59" s="62"/>
      <c r="H59" s="38"/>
      <c r="I59" s="61"/>
      <c r="J59" s="26">
        <v>82110</v>
      </c>
      <c r="K59" s="34">
        <v>46920</v>
      </c>
      <c r="L59" s="34">
        <v>47154.6</v>
      </c>
      <c r="M59" s="52">
        <v>82110</v>
      </c>
    </row>
    <row r="60" spans="1:18" ht="10.199999999999999" customHeight="1" x14ac:dyDescent="0.25">
      <c r="A60" s="6">
        <v>36</v>
      </c>
      <c r="B60" s="7" t="s">
        <v>70</v>
      </c>
      <c r="C60" s="38">
        <v>21700.5</v>
      </c>
      <c r="D60" s="61">
        <v>29676.9</v>
      </c>
      <c r="E60" s="62"/>
      <c r="F60" s="38"/>
      <c r="G60" s="62"/>
      <c r="H60" s="38"/>
      <c r="I60" s="61"/>
      <c r="J60" s="26">
        <v>25688.7</v>
      </c>
      <c r="K60" s="61"/>
      <c r="L60" s="61"/>
      <c r="M60" s="26">
        <v>25688.7</v>
      </c>
    </row>
    <row r="61" spans="1:18" s="4" customFormat="1" x14ac:dyDescent="0.25">
      <c r="A61" s="6">
        <v>37</v>
      </c>
      <c r="B61" s="7" t="s">
        <v>71</v>
      </c>
      <c r="C61" s="38"/>
      <c r="D61" s="61">
        <v>55717.5</v>
      </c>
      <c r="E61" s="62"/>
      <c r="F61" s="38"/>
      <c r="G61" s="62"/>
      <c r="H61" s="38"/>
      <c r="I61" s="61"/>
      <c r="J61" s="26">
        <v>55717.5</v>
      </c>
      <c r="K61" s="63">
        <v>26979</v>
      </c>
      <c r="L61" s="63">
        <v>44691.3</v>
      </c>
      <c r="M61" s="38">
        <v>55717.5</v>
      </c>
    </row>
    <row r="62" spans="1:18" s="4" customFormat="1" ht="10.199999999999999" customHeight="1" x14ac:dyDescent="0.25">
      <c r="A62" s="6">
        <v>38</v>
      </c>
      <c r="B62" s="7" t="s">
        <v>72</v>
      </c>
      <c r="C62" s="38"/>
      <c r="D62" s="61"/>
      <c r="E62" s="62">
        <v>60996</v>
      </c>
      <c r="F62" s="38">
        <v>78591</v>
      </c>
      <c r="G62" s="62">
        <v>64515</v>
      </c>
      <c r="H62" s="62">
        <v>70380</v>
      </c>
      <c r="I62" s="61"/>
      <c r="J62" s="26">
        <v>68620.5</v>
      </c>
      <c r="K62" s="64">
        <v>104103.75</v>
      </c>
      <c r="L62" s="64">
        <v>117300</v>
      </c>
      <c r="M62" s="26">
        <v>68034</v>
      </c>
    </row>
    <row r="63" spans="1:18" s="4" customFormat="1" ht="10.199999999999999" customHeight="1" x14ac:dyDescent="0.25">
      <c r="A63" s="6">
        <v>39</v>
      </c>
      <c r="B63" s="7" t="s">
        <v>73</v>
      </c>
      <c r="C63" s="38"/>
      <c r="D63" s="61"/>
      <c r="E63" s="62">
        <v>42697.2</v>
      </c>
      <c r="F63" s="62">
        <v>55013.7</v>
      </c>
      <c r="G63" s="62">
        <v>45160.5</v>
      </c>
      <c r="H63" s="62">
        <v>49266</v>
      </c>
      <c r="I63" s="61"/>
      <c r="J63" s="26">
        <v>48034.35</v>
      </c>
      <c r="K63" s="61"/>
      <c r="L63" s="61"/>
      <c r="M63" s="26">
        <v>47623.8</v>
      </c>
    </row>
    <row r="64" spans="1:18" s="4" customFormat="1" ht="13.2" customHeight="1" x14ac:dyDescent="0.25">
      <c r="A64" s="6">
        <v>40</v>
      </c>
      <c r="B64" s="7" t="s">
        <v>74</v>
      </c>
      <c r="C64" s="38"/>
      <c r="D64" s="65">
        <v>34017</v>
      </c>
      <c r="E64" s="62"/>
      <c r="F64" s="38"/>
      <c r="G64" s="62"/>
      <c r="H64" s="38"/>
      <c r="I64" s="61"/>
      <c r="J64" s="26">
        <v>34017</v>
      </c>
      <c r="K64" s="55">
        <v>34017</v>
      </c>
      <c r="L64" s="55"/>
      <c r="M64" s="45"/>
    </row>
    <row r="65" spans="1:13" s="4" customFormat="1" ht="18.600000000000001" customHeight="1" x14ac:dyDescent="0.25">
      <c r="A65" s="6">
        <v>41</v>
      </c>
      <c r="B65" s="7" t="s">
        <v>75</v>
      </c>
      <c r="C65" s="38"/>
      <c r="D65" s="66">
        <v>41055</v>
      </c>
      <c r="E65" s="62"/>
      <c r="F65" s="38"/>
      <c r="G65" s="62"/>
      <c r="H65" s="38"/>
      <c r="I65" s="61"/>
      <c r="J65" s="26">
        <v>41055</v>
      </c>
      <c r="K65" s="67">
        <v>34017</v>
      </c>
      <c r="L65" s="67"/>
      <c r="M65" s="68"/>
    </row>
    <row r="66" spans="1:13" s="4" customFormat="1" x14ac:dyDescent="0.25">
      <c r="A66" s="6">
        <v>42</v>
      </c>
      <c r="B66" s="7" t="s">
        <v>76</v>
      </c>
      <c r="C66" s="38"/>
      <c r="D66" s="61">
        <v>105570</v>
      </c>
      <c r="E66" s="62">
        <v>49266</v>
      </c>
      <c r="F66" s="62">
        <v>58650</v>
      </c>
      <c r="G66" s="38">
        <v>49852.5</v>
      </c>
      <c r="H66" s="38">
        <v>52785</v>
      </c>
      <c r="I66" s="61"/>
      <c r="J66" s="26">
        <v>52644.24</v>
      </c>
      <c r="K66" s="55">
        <v>70380</v>
      </c>
      <c r="L66" s="55">
        <v>82110</v>
      </c>
      <c r="M66" s="68">
        <v>82110</v>
      </c>
    </row>
    <row r="67" spans="1:13" s="4" customFormat="1" ht="10.199999999999999" customHeight="1" x14ac:dyDescent="0.25">
      <c r="A67" s="6">
        <v>43</v>
      </c>
      <c r="B67" s="7" t="s">
        <v>77</v>
      </c>
      <c r="C67" s="38"/>
      <c r="D67" s="61">
        <v>103224</v>
      </c>
      <c r="E67" s="62">
        <v>46685.4</v>
      </c>
      <c r="F67" s="62">
        <v>56304</v>
      </c>
      <c r="G67" s="38">
        <v>47506.5</v>
      </c>
      <c r="H67" s="62">
        <v>50439</v>
      </c>
      <c r="I67" s="61"/>
      <c r="J67" s="26">
        <v>50239.59</v>
      </c>
      <c r="K67" s="69">
        <v>73547.100000000006</v>
      </c>
      <c r="L67" s="69">
        <v>74133.600000000006</v>
      </c>
      <c r="M67" s="70">
        <v>73840.350000000006</v>
      </c>
    </row>
    <row r="68" spans="1:13" s="4" customFormat="1" ht="10.199999999999999" customHeight="1" x14ac:dyDescent="0.25">
      <c r="A68" s="6">
        <v>44</v>
      </c>
      <c r="B68" s="7" t="s">
        <v>78</v>
      </c>
      <c r="C68" s="38"/>
      <c r="D68" s="61">
        <v>73899</v>
      </c>
      <c r="E68" s="62">
        <v>23460</v>
      </c>
      <c r="F68" s="62">
        <v>35190</v>
      </c>
      <c r="G68" s="62"/>
      <c r="H68" s="62">
        <v>29325</v>
      </c>
      <c r="I68" s="61"/>
      <c r="J68" s="26">
        <v>29325</v>
      </c>
      <c r="K68" s="61"/>
      <c r="L68" s="61"/>
      <c r="M68" s="26">
        <v>29325</v>
      </c>
    </row>
    <row r="69" spans="1:13" s="4" customFormat="1" x14ac:dyDescent="0.25">
      <c r="A69" s="6">
        <v>45</v>
      </c>
      <c r="B69" s="7" t="s">
        <v>79</v>
      </c>
      <c r="C69" s="38"/>
      <c r="D69" s="61"/>
      <c r="E69" s="62">
        <v>38709</v>
      </c>
      <c r="F69" s="38"/>
      <c r="G69" s="62"/>
      <c r="H69" s="38"/>
      <c r="I69" s="61"/>
      <c r="J69" s="26">
        <v>38709</v>
      </c>
      <c r="K69" s="71">
        <v>57477</v>
      </c>
      <c r="L69" s="71">
        <v>63576.6</v>
      </c>
      <c r="M69" s="72">
        <v>60526.8</v>
      </c>
    </row>
    <row r="70" spans="1:13" s="4" customFormat="1" ht="11.4" customHeight="1" x14ac:dyDescent="0.25">
      <c r="A70" s="6">
        <v>46</v>
      </c>
      <c r="B70" s="7" t="s">
        <v>80</v>
      </c>
      <c r="C70" s="38"/>
      <c r="D70" s="61"/>
      <c r="E70" s="62"/>
      <c r="F70" s="38"/>
      <c r="G70" s="62"/>
      <c r="H70" s="38"/>
      <c r="I70" s="61"/>
      <c r="J70" s="26"/>
      <c r="K70" s="61"/>
      <c r="L70" s="61"/>
      <c r="M70" s="52">
        <v>42368.76</v>
      </c>
    </row>
    <row r="71" spans="1:13" s="4" customFormat="1" ht="10.199999999999999" customHeight="1" x14ac:dyDescent="0.25">
      <c r="A71" s="6">
        <v>47</v>
      </c>
      <c r="B71" s="7" t="s">
        <v>81</v>
      </c>
      <c r="C71" s="38"/>
      <c r="D71" s="61">
        <v>161874</v>
      </c>
      <c r="E71" s="62">
        <v>73899</v>
      </c>
      <c r="F71" s="62">
        <v>152490</v>
      </c>
      <c r="G71" s="62"/>
      <c r="H71" s="62"/>
      <c r="I71" s="61"/>
      <c r="J71" s="26">
        <v>113194.5</v>
      </c>
      <c r="K71" s="67">
        <v>111435</v>
      </c>
      <c r="L71" s="67">
        <v>201169.5</v>
      </c>
      <c r="M71" s="68">
        <v>157182</v>
      </c>
    </row>
    <row r="72" spans="1:13" s="4" customFormat="1" ht="26.4" x14ac:dyDescent="0.25">
      <c r="A72" s="6">
        <v>48</v>
      </c>
      <c r="B72" s="7" t="s">
        <v>82</v>
      </c>
      <c r="C72" s="38"/>
      <c r="D72" s="61"/>
      <c r="E72" s="62"/>
      <c r="F72" s="62"/>
      <c r="G72" s="62"/>
      <c r="H72" s="62"/>
      <c r="I72" s="61"/>
      <c r="J72" s="26"/>
      <c r="K72" s="61"/>
      <c r="L72" s="61"/>
      <c r="M72" s="52">
        <v>35190</v>
      </c>
    </row>
    <row r="73" spans="1:13" s="4" customFormat="1" ht="10.199999999999999" customHeight="1" x14ac:dyDescent="0.25">
      <c r="A73" s="6">
        <v>49</v>
      </c>
      <c r="B73" s="7" t="s">
        <v>83</v>
      </c>
      <c r="C73" s="38"/>
      <c r="D73" s="61"/>
      <c r="E73" s="62"/>
      <c r="F73" s="62"/>
      <c r="G73" s="62"/>
      <c r="H73" s="62"/>
      <c r="I73" s="61"/>
      <c r="J73" s="26"/>
      <c r="K73" s="61"/>
      <c r="L73" s="61"/>
      <c r="M73" s="52">
        <v>24633</v>
      </c>
    </row>
    <row r="74" spans="1:13" s="4" customFormat="1" ht="10.199999999999999" customHeight="1" x14ac:dyDescent="0.25">
      <c r="A74" s="6">
        <v>50</v>
      </c>
      <c r="B74" s="7" t="s">
        <v>84</v>
      </c>
      <c r="C74" s="38"/>
      <c r="D74" s="61"/>
      <c r="E74" s="62">
        <v>164220</v>
      </c>
      <c r="F74" s="62">
        <v>152490</v>
      </c>
      <c r="G74" s="62">
        <v>187680</v>
      </c>
      <c r="H74" s="62"/>
      <c r="I74" s="61"/>
      <c r="J74" s="26">
        <v>168137.82</v>
      </c>
      <c r="K74" s="61"/>
      <c r="L74" s="61"/>
      <c r="M74" s="26">
        <v>168137.82</v>
      </c>
    </row>
    <row r="75" spans="1:13" s="4" customFormat="1" ht="10.199999999999999" customHeight="1" x14ac:dyDescent="0.25">
      <c r="A75" s="6">
        <v>51</v>
      </c>
      <c r="B75" s="7" t="s">
        <v>85</v>
      </c>
      <c r="C75" s="38"/>
      <c r="D75" s="61"/>
      <c r="E75" s="62">
        <v>114954</v>
      </c>
      <c r="F75" s="62">
        <v>106743</v>
      </c>
      <c r="G75" s="62">
        <v>131376</v>
      </c>
      <c r="H75" s="62"/>
      <c r="I75" s="61"/>
      <c r="J75" s="26">
        <v>117698.82</v>
      </c>
      <c r="K75" s="73">
        <v>109089</v>
      </c>
      <c r="L75" s="61"/>
      <c r="M75" s="26">
        <v>117698.82</v>
      </c>
    </row>
    <row r="76" spans="1:13" s="4" customFormat="1" ht="21.6" customHeight="1" x14ac:dyDescent="0.25">
      <c r="A76" s="6">
        <v>52</v>
      </c>
      <c r="B76" s="17" t="s">
        <v>86</v>
      </c>
      <c r="C76" s="38"/>
      <c r="D76" s="61">
        <v>40233.9</v>
      </c>
      <c r="E76" s="62"/>
      <c r="F76" s="62"/>
      <c r="G76" s="62"/>
      <c r="H76" s="62"/>
      <c r="I76" s="61"/>
      <c r="J76" s="26">
        <v>40233.9</v>
      </c>
      <c r="K76" s="61"/>
      <c r="L76" s="61"/>
      <c r="M76" s="26"/>
    </row>
    <row r="77" spans="1:13" s="4" customFormat="1" ht="10.199999999999999" customHeight="1" x14ac:dyDescent="0.25">
      <c r="A77" s="6">
        <v>53</v>
      </c>
      <c r="B77" s="7" t="s">
        <v>87</v>
      </c>
      <c r="C77" s="38">
        <v>35190</v>
      </c>
      <c r="D77" s="65"/>
      <c r="E77" s="62"/>
      <c r="F77" s="62"/>
      <c r="G77" s="62"/>
      <c r="H77" s="62"/>
      <c r="I77" s="61"/>
      <c r="J77" s="26">
        <v>35190</v>
      </c>
      <c r="K77" s="61"/>
      <c r="L77" s="61"/>
      <c r="M77" s="52">
        <v>35190</v>
      </c>
    </row>
    <row r="78" spans="1:13" s="4" customFormat="1" x14ac:dyDescent="0.25">
      <c r="A78" s="6">
        <v>54</v>
      </c>
      <c r="B78" s="7" t="s">
        <v>88</v>
      </c>
      <c r="C78" s="38"/>
      <c r="D78" s="61"/>
      <c r="E78" s="62">
        <v>73899</v>
      </c>
      <c r="F78" s="62">
        <v>105570</v>
      </c>
      <c r="G78" s="62"/>
      <c r="H78" s="62"/>
      <c r="I78" s="61"/>
      <c r="J78" s="26">
        <v>89734.5</v>
      </c>
      <c r="K78" s="61"/>
      <c r="L78" s="61"/>
      <c r="M78" s="74">
        <v>89734.5</v>
      </c>
    </row>
    <row r="79" spans="1:13" s="4" customFormat="1" ht="26.4" x14ac:dyDescent="0.25">
      <c r="A79" s="6">
        <v>55</v>
      </c>
      <c r="B79" s="17" t="s">
        <v>89</v>
      </c>
      <c r="C79" s="38"/>
      <c r="D79" s="61"/>
      <c r="E79" s="62"/>
      <c r="F79" s="62"/>
      <c r="G79" s="62"/>
      <c r="H79" s="62"/>
      <c r="I79" s="61"/>
      <c r="J79" s="26"/>
      <c r="K79" s="75">
        <v>34603.5</v>
      </c>
      <c r="L79" s="75">
        <v>36644.519999999997</v>
      </c>
      <c r="M79" s="60">
        <v>34603.5</v>
      </c>
    </row>
    <row r="80" spans="1:13" s="4" customFormat="1" ht="26.4" x14ac:dyDescent="0.25">
      <c r="A80" s="6">
        <v>56</v>
      </c>
      <c r="B80" s="17" t="s">
        <v>90</v>
      </c>
      <c r="C80" s="38"/>
      <c r="D80" s="61"/>
      <c r="E80" s="62"/>
      <c r="F80" s="62"/>
      <c r="G80" s="62"/>
      <c r="H80" s="62"/>
      <c r="I80" s="61"/>
      <c r="J80" s="26"/>
      <c r="K80" s="67">
        <v>34017</v>
      </c>
      <c r="L80" s="55"/>
      <c r="M80" s="45"/>
    </row>
    <row r="81" spans="1:13" s="4" customFormat="1" x14ac:dyDescent="0.25">
      <c r="A81" s="6">
        <v>57</v>
      </c>
      <c r="B81" s="7" t="s">
        <v>91</v>
      </c>
      <c r="C81" s="38">
        <v>20175.599999999999</v>
      </c>
      <c r="D81" s="65"/>
      <c r="E81" s="62"/>
      <c r="F81" s="62"/>
      <c r="G81" s="62"/>
      <c r="H81" s="62"/>
      <c r="I81" s="61"/>
      <c r="J81" s="61"/>
      <c r="K81" s="67">
        <v>35190</v>
      </c>
      <c r="L81" s="55">
        <v>69265.649999999994</v>
      </c>
      <c r="M81" s="67">
        <v>52233.69</v>
      </c>
    </row>
  </sheetData>
  <mergeCells count="12">
    <mergeCell ref="M1:M3"/>
    <mergeCell ref="C2:C3"/>
    <mergeCell ref="D2:D3"/>
    <mergeCell ref="E2:E3"/>
    <mergeCell ref="F2:F3"/>
    <mergeCell ref="G2:G3"/>
    <mergeCell ref="H2:H3"/>
    <mergeCell ref="I2:I3"/>
    <mergeCell ref="K2:L2"/>
    <mergeCell ref="A1:A3"/>
    <mergeCell ref="B1:B3"/>
    <mergeCell ref="J1:J3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81"/>
  <sheetViews>
    <sheetView workbookViewId="0">
      <selection activeCell="B14" sqref="B14"/>
    </sheetView>
  </sheetViews>
  <sheetFormatPr defaultRowHeight="13.2" x14ac:dyDescent="0.25"/>
  <cols>
    <col min="1" max="1" width="5.33203125" style="4" customWidth="1"/>
    <col min="2" max="2" width="62.88671875" style="4" customWidth="1"/>
    <col min="3" max="3" width="10.6640625" style="4" customWidth="1"/>
    <col min="4" max="4" width="15.33203125" style="4" customWidth="1"/>
    <col min="5" max="5" width="11.5546875" style="4" customWidth="1"/>
    <col min="6" max="6" width="10.109375" style="4" customWidth="1"/>
    <col min="7" max="8" width="10.5546875" style="4" customWidth="1"/>
    <col min="9" max="9" width="9.88671875" style="4" customWidth="1"/>
    <col min="10" max="10" width="12.109375" style="4" customWidth="1"/>
    <col min="11" max="11" width="10.6640625" style="4" customWidth="1"/>
    <col min="12" max="12" width="12.5546875" style="4" customWidth="1"/>
    <col min="13" max="13" width="14.109375" style="4" customWidth="1"/>
  </cols>
  <sheetData>
    <row r="1" spans="1:13" ht="10.199999999999999" customHeight="1" x14ac:dyDescent="0.25">
      <c r="A1" s="104" t="s">
        <v>0</v>
      </c>
      <c r="B1" s="109" t="s">
        <v>1</v>
      </c>
      <c r="C1" s="12"/>
      <c r="D1" s="13"/>
      <c r="E1" s="13"/>
      <c r="F1" s="11"/>
      <c r="G1" s="5"/>
      <c r="H1" s="5"/>
      <c r="I1" s="5"/>
      <c r="J1" s="112" t="s">
        <v>2</v>
      </c>
      <c r="K1" s="16"/>
      <c r="L1" s="5"/>
      <c r="M1" s="112" t="s">
        <v>3</v>
      </c>
    </row>
    <row r="2" spans="1:13" ht="22.2" customHeight="1" x14ac:dyDescent="0.25">
      <c r="A2" s="108"/>
      <c r="B2" s="110"/>
      <c r="C2" s="102" t="s">
        <v>4</v>
      </c>
      <c r="D2" s="104" t="s">
        <v>5</v>
      </c>
      <c r="E2" s="102" t="s">
        <v>6</v>
      </c>
      <c r="F2" s="102" t="s">
        <v>7</v>
      </c>
      <c r="G2" s="102" t="s">
        <v>8</v>
      </c>
      <c r="H2" s="102" t="s">
        <v>9</v>
      </c>
      <c r="I2" s="104" t="s">
        <v>10</v>
      </c>
      <c r="J2" s="113"/>
      <c r="K2" s="115" t="s">
        <v>92</v>
      </c>
      <c r="L2" s="116"/>
      <c r="M2" s="113"/>
    </row>
    <row r="3" spans="1:13" ht="34.799999999999997" customHeight="1" x14ac:dyDescent="0.25">
      <c r="A3" s="105"/>
      <c r="B3" s="111"/>
      <c r="C3" s="103"/>
      <c r="D3" s="105"/>
      <c r="E3" s="103"/>
      <c r="F3" s="103" t="s">
        <v>7</v>
      </c>
      <c r="G3" s="103"/>
      <c r="H3" s="103" t="s">
        <v>7</v>
      </c>
      <c r="I3" s="105"/>
      <c r="J3" s="114"/>
      <c r="K3" s="21" t="s">
        <v>12</v>
      </c>
      <c r="L3" s="21" t="s">
        <v>13</v>
      </c>
      <c r="M3" s="114"/>
    </row>
    <row r="4" spans="1:13" ht="10.199999999999999" customHeight="1" x14ac:dyDescent="0.25">
      <c r="A4" s="6">
        <v>1</v>
      </c>
      <c r="B4" s="9" t="s">
        <v>14</v>
      </c>
      <c r="C4" s="23"/>
      <c r="D4" s="24"/>
      <c r="E4" s="25">
        <v>844560</v>
      </c>
      <c r="F4" s="25">
        <v>926670</v>
      </c>
      <c r="G4" s="25">
        <v>879750</v>
      </c>
      <c r="H4" s="25">
        <v>897345</v>
      </c>
      <c r="I4" s="24"/>
      <c r="J4" s="26">
        <v>887081.25</v>
      </c>
      <c r="K4" s="44">
        <v>797640</v>
      </c>
      <c r="L4" s="44">
        <v>850034</v>
      </c>
      <c r="M4" s="45">
        <v>823844.82</v>
      </c>
    </row>
    <row r="5" spans="1:13" ht="10.199999999999999" customHeight="1" x14ac:dyDescent="0.25">
      <c r="A5" s="6">
        <v>2</v>
      </c>
      <c r="B5" s="9" t="s">
        <v>15</v>
      </c>
      <c r="C5" s="23"/>
      <c r="D5" s="24"/>
      <c r="E5" s="25">
        <v>821100</v>
      </c>
      <c r="F5" s="25">
        <v>920805</v>
      </c>
      <c r="G5" s="25">
        <v>868020</v>
      </c>
      <c r="H5" s="25">
        <v>909075</v>
      </c>
      <c r="I5" s="24"/>
      <c r="J5" s="26">
        <v>879750</v>
      </c>
      <c r="K5" s="24"/>
      <c r="L5" s="24"/>
      <c r="M5" s="26"/>
    </row>
    <row r="6" spans="1:13" ht="10.199999999999999" customHeight="1" x14ac:dyDescent="0.25">
      <c r="A6" s="6">
        <v>3</v>
      </c>
      <c r="B6" s="2" t="s">
        <v>16</v>
      </c>
      <c r="C6" s="29"/>
      <c r="D6" s="24"/>
      <c r="E6" s="25">
        <v>703800</v>
      </c>
      <c r="F6" s="25"/>
      <c r="G6" s="30">
        <v>762450</v>
      </c>
      <c r="H6" s="25"/>
      <c r="I6" s="24"/>
      <c r="J6" s="26">
        <v>733125</v>
      </c>
      <c r="K6" s="55">
        <v>774180</v>
      </c>
      <c r="L6" s="55">
        <v>820318</v>
      </c>
      <c r="M6" s="45">
        <v>797252.91</v>
      </c>
    </row>
    <row r="7" spans="1:13" ht="10.199999999999999" customHeight="1" x14ac:dyDescent="0.25">
      <c r="A7" s="6">
        <v>4</v>
      </c>
      <c r="B7" s="2" t="s">
        <v>17</v>
      </c>
      <c r="C7" s="29"/>
      <c r="D7" s="24"/>
      <c r="E7" s="25">
        <v>703800</v>
      </c>
      <c r="F7" s="25">
        <v>762450</v>
      </c>
      <c r="G7" s="25">
        <v>785910</v>
      </c>
      <c r="H7" s="32"/>
      <c r="I7" s="24"/>
      <c r="J7" s="26">
        <v>750720</v>
      </c>
      <c r="K7" s="44">
        <v>762450</v>
      </c>
      <c r="L7" s="44">
        <v>848079</v>
      </c>
      <c r="M7" s="45">
        <v>805264.5</v>
      </c>
    </row>
    <row r="8" spans="1:13" ht="10.199999999999999" customHeight="1" x14ac:dyDescent="0.25">
      <c r="A8" s="6">
        <v>5</v>
      </c>
      <c r="B8" s="2" t="s">
        <v>18</v>
      </c>
      <c r="C8" s="29"/>
      <c r="D8" s="24"/>
      <c r="E8" s="25">
        <v>591192</v>
      </c>
      <c r="F8" s="25">
        <v>648669</v>
      </c>
      <c r="G8" s="25">
        <v>615825</v>
      </c>
      <c r="H8" s="25">
        <v>628141.5</v>
      </c>
      <c r="I8" s="24"/>
      <c r="J8" s="26">
        <v>620962.74</v>
      </c>
      <c r="K8" s="24"/>
      <c r="L8" s="24"/>
      <c r="M8" s="26"/>
    </row>
    <row r="9" spans="1:13" ht="10.199999999999999" customHeight="1" x14ac:dyDescent="0.25">
      <c r="A9" s="6">
        <v>6</v>
      </c>
      <c r="B9" s="2" t="s">
        <v>19</v>
      </c>
      <c r="C9" s="29"/>
      <c r="D9" s="24"/>
      <c r="E9" s="25">
        <v>500049.9</v>
      </c>
      <c r="F9" s="25">
        <v>560770.24</v>
      </c>
      <c r="G9" s="25">
        <v>528624.18000000005</v>
      </c>
      <c r="H9" s="25">
        <v>553626.68000000005</v>
      </c>
      <c r="I9" s="24"/>
      <c r="J9" s="26">
        <v>535767.75</v>
      </c>
      <c r="K9" s="33"/>
      <c r="L9" s="33"/>
      <c r="M9" s="26"/>
    </row>
    <row r="10" spans="1:13" ht="10.199999999999999" customHeight="1" x14ac:dyDescent="0.25">
      <c r="A10" s="6">
        <v>7</v>
      </c>
      <c r="B10" s="14" t="s">
        <v>20</v>
      </c>
      <c r="C10" s="29"/>
      <c r="D10" s="24"/>
      <c r="E10" s="30">
        <v>680340</v>
      </c>
      <c r="F10" s="25">
        <v>375360</v>
      </c>
      <c r="G10" s="25"/>
      <c r="H10" s="25"/>
      <c r="I10" s="24"/>
      <c r="J10" s="26">
        <v>527850</v>
      </c>
      <c r="K10" s="24"/>
      <c r="L10" s="24"/>
      <c r="M10" s="26"/>
    </row>
    <row r="11" spans="1:13" ht="10.199999999999999" customHeight="1" x14ac:dyDescent="0.25">
      <c r="A11" s="6">
        <v>8</v>
      </c>
      <c r="B11" s="2" t="s">
        <v>21</v>
      </c>
      <c r="C11" s="29"/>
      <c r="D11" s="24"/>
      <c r="E11" s="25">
        <v>328440</v>
      </c>
      <c r="F11" s="25">
        <v>368322</v>
      </c>
      <c r="G11" s="25">
        <v>347208</v>
      </c>
      <c r="H11" s="25">
        <v>363630</v>
      </c>
      <c r="I11" s="24"/>
      <c r="J11" s="26">
        <v>351900</v>
      </c>
      <c r="K11" s="24"/>
      <c r="L11" s="24"/>
      <c r="M11" s="26"/>
    </row>
    <row r="12" spans="1:13" ht="10.199999999999999" customHeight="1" x14ac:dyDescent="0.25">
      <c r="A12" s="6">
        <v>9</v>
      </c>
      <c r="B12" s="2" t="s">
        <v>22</v>
      </c>
      <c r="C12" s="29"/>
      <c r="D12" s="24"/>
      <c r="E12" s="25">
        <v>429318</v>
      </c>
      <c r="F12" s="25">
        <v>590312.25</v>
      </c>
      <c r="G12" s="25">
        <v>697641.75</v>
      </c>
      <c r="H12" s="25">
        <v>643977</v>
      </c>
      <c r="I12" s="24"/>
      <c r="J12" s="26">
        <v>590312.25</v>
      </c>
      <c r="K12" s="34">
        <v>656880</v>
      </c>
      <c r="L12" s="34">
        <v>659226</v>
      </c>
      <c r="M12" s="26"/>
    </row>
    <row r="13" spans="1:13" ht="10.199999999999999" customHeight="1" x14ac:dyDescent="0.25">
      <c r="A13" s="6">
        <v>10</v>
      </c>
      <c r="B13" s="2" t="s">
        <v>23</v>
      </c>
      <c r="C13" s="29"/>
      <c r="D13" s="24"/>
      <c r="E13" s="25">
        <v>235773</v>
      </c>
      <c r="F13" s="25">
        <v>432250.5</v>
      </c>
      <c r="G13" s="25">
        <v>510841.5</v>
      </c>
      <c r="H13" s="25">
        <v>235773</v>
      </c>
      <c r="I13" s="24"/>
      <c r="J13" s="26">
        <v>353659.5</v>
      </c>
      <c r="K13" s="35">
        <v>422280</v>
      </c>
      <c r="L13" s="35">
        <v>423453</v>
      </c>
      <c r="M13" s="26"/>
    </row>
    <row r="14" spans="1:13" ht="10.199999999999999" customHeight="1" x14ac:dyDescent="0.25">
      <c r="A14" s="6">
        <v>11</v>
      </c>
      <c r="B14" s="2" t="s">
        <v>24</v>
      </c>
      <c r="C14" s="29"/>
      <c r="D14" s="24"/>
      <c r="E14" s="25">
        <v>152490</v>
      </c>
      <c r="F14" s="25">
        <v>158355</v>
      </c>
      <c r="G14" s="25">
        <v>140760</v>
      </c>
      <c r="H14" s="25">
        <v>161874</v>
      </c>
      <c r="I14" s="24"/>
      <c r="J14" s="26">
        <v>153369.75</v>
      </c>
      <c r="K14" s="44">
        <v>129030</v>
      </c>
      <c r="L14" s="44">
        <v>150144</v>
      </c>
      <c r="M14" s="45">
        <v>139587</v>
      </c>
    </row>
    <row r="15" spans="1:13" ht="10.199999999999999" customHeight="1" x14ac:dyDescent="0.25">
      <c r="A15" s="6">
        <v>12</v>
      </c>
      <c r="B15" s="2" t="s">
        <v>25</v>
      </c>
      <c r="C15" s="36"/>
      <c r="D15" s="37"/>
      <c r="E15" s="38">
        <v>140760</v>
      </c>
      <c r="F15" s="25"/>
      <c r="G15" s="25">
        <v>164220</v>
      </c>
      <c r="H15" s="38"/>
      <c r="I15" s="24"/>
      <c r="J15" s="26">
        <v>152490</v>
      </c>
      <c r="K15" s="44">
        <v>129030</v>
      </c>
      <c r="L15" s="44">
        <v>195304.5</v>
      </c>
      <c r="M15" s="45">
        <v>162167.25</v>
      </c>
    </row>
    <row r="16" spans="1:13" s="15" customFormat="1" ht="10.199999999999999" customHeight="1" x14ac:dyDescent="0.25">
      <c r="A16" s="6">
        <v>13</v>
      </c>
      <c r="B16" s="2" t="s">
        <v>26</v>
      </c>
      <c r="C16" s="36"/>
      <c r="D16" s="37"/>
      <c r="E16" s="38">
        <v>82110</v>
      </c>
      <c r="F16" s="25">
        <v>82110</v>
      </c>
      <c r="G16" s="25">
        <v>76245</v>
      </c>
      <c r="H16" s="38">
        <v>76245</v>
      </c>
      <c r="I16" s="24"/>
      <c r="J16" s="26">
        <v>79177.5</v>
      </c>
      <c r="K16" s="39">
        <v>85629</v>
      </c>
      <c r="L16" s="39">
        <v>86215.5</v>
      </c>
      <c r="M16" s="40">
        <v>85922.25</v>
      </c>
    </row>
    <row r="17" spans="1:13" ht="10.199999999999999" customHeight="1" x14ac:dyDescent="0.25">
      <c r="A17" s="6">
        <v>14</v>
      </c>
      <c r="B17" s="2" t="s">
        <v>27</v>
      </c>
      <c r="C17" s="36"/>
      <c r="D17" s="37"/>
      <c r="E17" s="38"/>
      <c r="F17" s="25"/>
      <c r="G17" s="25"/>
      <c r="H17" s="38"/>
      <c r="I17" s="24"/>
      <c r="J17" s="26"/>
      <c r="K17" s="41">
        <v>51612</v>
      </c>
      <c r="L17" s="41">
        <v>51846.6</v>
      </c>
      <c r="M17" s="42">
        <v>51729.3</v>
      </c>
    </row>
    <row r="18" spans="1:13" ht="21.6" customHeight="1" x14ac:dyDescent="0.25">
      <c r="A18" s="6">
        <v>15</v>
      </c>
      <c r="B18" s="2" t="s">
        <v>28</v>
      </c>
      <c r="C18" s="36"/>
      <c r="D18" s="37"/>
      <c r="E18" s="38">
        <v>152490</v>
      </c>
      <c r="F18" s="38">
        <v>158355</v>
      </c>
      <c r="G18" s="38">
        <v>140760</v>
      </c>
      <c r="H18" s="38">
        <v>161874</v>
      </c>
      <c r="I18" s="24"/>
      <c r="J18" s="26">
        <v>153369.75</v>
      </c>
      <c r="K18" s="39">
        <v>129030</v>
      </c>
      <c r="L18" s="39">
        <v>130203</v>
      </c>
      <c r="M18" s="40">
        <v>129616.5</v>
      </c>
    </row>
    <row r="19" spans="1:13" ht="12" customHeight="1" x14ac:dyDescent="0.25">
      <c r="A19" s="6">
        <v>16</v>
      </c>
      <c r="B19" s="2" t="s">
        <v>29</v>
      </c>
      <c r="C19" s="36"/>
      <c r="D19" s="37"/>
      <c r="E19" s="38">
        <v>221697</v>
      </c>
      <c r="F19" s="38">
        <v>229086.9</v>
      </c>
      <c r="G19" s="38">
        <v>221697</v>
      </c>
      <c r="H19" s="38">
        <v>234013.5</v>
      </c>
      <c r="I19" s="24"/>
      <c r="J19" s="26">
        <v>226623.6</v>
      </c>
      <c r="K19" s="43">
        <v>134895</v>
      </c>
      <c r="L19" s="43">
        <v>175950</v>
      </c>
      <c r="M19" s="26"/>
    </row>
    <row r="20" spans="1:13" ht="10.199999999999999" customHeight="1" x14ac:dyDescent="0.25">
      <c r="A20" s="6">
        <v>17</v>
      </c>
      <c r="B20" s="2" t="s">
        <v>30</v>
      </c>
      <c r="C20" s="36"/>
      <c r="D20" s="37"/>
      <c r="E20" s="38">
        <v>527850</v>
      </c>
      <c r="F20" s="25">
        <v>545445</v>
      </c>
      <c r="G20" s="25">
        <v>527850</v>
      </c>
      <c r="H20" s="38">
        <v>557175</v>
      </c>
      <c r="I20" s="24"/>
      <c r="J20" s="26">
        <v>539580</v>
      </c>
      <c r="K20" s="44">
        <v>527850</v>
      </c>
      <c r="L20" s="44">
        <v>546618</v>
      </c>
      <c r="M20" s="45">
        <v>537234</v>
      </c>
    </row>
    <row r="21" spans="1:13" ht="10.199999999999999" customHeight="1" x14ac:dyDescent="0.25">
      <c r="A21" s="6">
        <v>18</v>
      </c>
      <c r="B21" s="2" t="s">
        <v>31</v>
      </c>
      <c r="C21" s="36"/>
      <c r="D21" s="37"/>
      <c r="E21" s="38">
        <v>469200</v>
      </c>
      <c r="F21" s="25">
        <v>504390</v>
      </c>
      <c r="G21" s="25">
        <v>527850</v>
      </c>
      <c r="H21" s="38">
        <v>480930</v>
      </c>
      <c r="I21" s="24"/>
      <c r="J21" s="26">
        <v>495592.5</v>
      </c>
      <c r="K21" s="44">
        <v>469200</v>
      </c>
      <c r="L21" s="44">
        <v>568318.5</v>
      </c>
      <c r="M21" s="45">
        <v>518759.25</v>
      </c>
    </row>
    <row r="22" spans="1:13" ht="10.199999999999999" customHeight="1" x14ac:dyDescent="0.25">
      <c r="A22" s="6">
        <v>19</v>
      </c>
      <c r="B22" s="2" t="s">
        <v>32</v>
      </c>
      <c r="C22" s="36"/>
      <c r="D22" s="37"/>
      <c r="E22" s="38">
        <v>533715</v>
      </c>
      <c r="F22" s="38">
        <v>551310</v>
      </c>
      <c r="G22" s="38">
        <v>551310</v>
      </c>
      <c r="H22" s="38">
        <v>568905</v>
      </c>
      <c r="I22" s="24"/>
      <c r="J22" s="26">
        <v>551310</v>
      </c>
      <c r="K22" s="44">
        <v>545445</v>
      </c>
      <c r="L22" s="44">
        <v>564213</v>
      </c>
      <c r="M22" s="44">
        <v>554829</v>
      </c>
    </row>
    <row r="23" spans="1:13" ht="10.199999999999999" customHeight="1" x14ac:dyDescent="0.25">
      <c r="A23" s="6">
        <v>20</v>
      </c>
      <c r="B23" s="2" t="s">
        <v>33</v>
      </c>
      <c r="C23" s="36"/>
      <c r="D23" s="37"/>
      <c r="E23" s="38">
        <v>480930</v>
      </c>
      <c r="F23" s="38">
        <v>504390</v>
      </c>
      <c r="G23" s="38">
        <v>527850</v>
      </c>
      <c r="H23" s="38">
        <v>492660</v>
      </c>
      <c r="I23" s="24"/>
      <c r="J23" s="26">
        <v>501457.5</v>
      </c>
      <c r="K23" s="44">
        <v>480930</v>
      </c>
      <c r="L23" s="46">
        <v>521398.5</v>
      </c>
      <c r="M23" s="26"/>
    </row>
    <row r="24" spans="1:13" ht="10.199999999999999" customHeight="1" x14ac:dyDescent="0.25">
      <c r="A24" s="6">
        <v>21</v>
      </c>
      <c r="B24" s="1" t="s">
        <v>34</v>
      </c>
      <c r="C24" s="47"/>
      <c r="D24" s="37"/>
      <c r="E24" s="38">
        <v>551310</v>
      </c>
      <c r="F24" s="25">
        <v>545445</v>
      </c>
      <c r="G24" s="25">
        <v>527850</v>
      </c>
      <c r="H24" s="38">
        <v>557175</v>
      </c>
      <c r="I24" s="24"/>
      <c r="J24" s="26">
        <v>545445</v>
      </c>
      <c r="K24" s="35">
        <v>551310</v>
      </c>
      <c r="L24" s="35">
        <v>554829</v>
      </c>
      <c r="M24" s="76">
        <v>553069.5</v>
      </c>
    </row>
    <row r="25" spans="1:13" ht="10.199999999999999" customHeight="1" x14ac:dyDescent="0.25">
      <c r="A25" s="6">
        <v>22</v>
      </c>
      <c r="B25" s="2" t="s">
        <v>35</v>
      </c>
      <c r="C25" s="36"/>
      <c r="D25" s="37"/>
      <c r="E25" s="38">
        <v>656880</v>
      </c>
      <c r="F25" s="25">
        <v>621690</v>
      </c>
      <c r="G25" s="25">
        <v>645150</v>
      </c>
      <c r="H25" s="38">
        <v>645150</v>
      </c>
      <c r="I25" s="24"/>
      <c r="J25" s="26">
        <v>642217.5</v>
      </c>
      <c r="K25" s="44">
        <v>668610</v>
      </c>
      <c r="L25" s="44">
        <v>674475</v>
      </c>
      <c r="M25" s="45">
        <v>671542.5</v>
      </c>
    </row>
    <row r="26" spans="1:13" ht="10.8" customHeight="1" x14ac:dyDescent="0.25">
      <c r="A26" s="6">
        <v>23</v>
      </c>
      <c r="B26" s="2" t="s">
        <v>36</v>
      </c>
      <c r="C26" s="36"/>
      <c r="D26" s="37"/>
      <c r="E26" s="38">
        <v>656880</v>
      </c>
      <c r="F26" s="25">
        <v>680340</v>
      </c>
      <c r="G26" s="25">
        <v>680340</v>
      </c>
      <c r="H26" s="38"/>
      <c r="I26" s="24"/>
      <c r="J26" s="26">
        <v>672527.82</v>
      </c>
      <c r="K26" s="44">
        <v>680340</v>
      </c>
      <c r="L26" s="44">
        <v>693829.5</v>
      </c>
      <c r="M26" s="45">
        <v>687084.75</v>
      </c>
    </row>
    <row r="27" spans="1:13" ht="10.199999999999999" customHeight="1" x14ac:dyDescent="0.25">
      <c r="A27" s="6">
        <v>24</v>
      </c>
      <c r="B27" s="2" t="s">
        <v>37</v>
      </c>
      <c r="C27" s="36"/>
      <c r="D27" s="37"/>
      <c r="E27" s="38">
        <v>633420</v>
      </c>
      <c r="F27" s="25">
        <v>586500</v>
      </c>
      <c r="G27" s="25">
        <v>563040</v>
      </c>
      <c r="H27" s="38"/>
      <c r="I27" s="24"/>
      <c r="J27" s="26">
        <v>594323.91</v>
      </c>
      <c r="K27" s="44">
        <v>668610</v>
      </c>
      <c r="L27" s="44">
        <v>750133.5</v>
      </c>
      <c r="M27" s="45">
        <v>709371.75</v>
      </c>
    </row>
    <row r="28" spans="1:13" ht="10.199999999999999" customHeight="1" x14ac:dyDescent="0.25">
      <c r="A28" s="6">
        <v>25</v>
      </c>
      <c r="B28" s="2" t="s">
        <v>38</v>
      </c>
      <c r="C28" s="36"/>
      <c r="D28" s="37"/>
      <c r="E28" s="38">
        <v>2697900</v>
      </c>
      <c r="F28" s="25">
        <v>2029290</v>
      </c>
      <c r="G28" s="25">
        <v>2639250</v>
      </c>
      <c r="H28" s="38">
        <v>2463300</v>
      </c>
      <c r="I28" s="24"/>
      <c r="J28" s="26">
        <v>2457435</v>
      </c>
      <c r="K28" s="44">
        <v>2134860</v>
      </c>
      <c r="L28" s="44">
        <v>2809335</v>
      </c>
      <c r="M28" s="45">
        <v>2472097.5</v>
      </c>
    </row>
    <row r="29" spans="1:13" ht="10.199999999999999" customHeight="1" x14ac:dyDescent="0.25">
      <c r="A29" s="6">
        <v>26</v>
      </c>
      <c r="B29" s="2" t="s">
        <v>39</v>
      </c>
      <c r="C29" s="36"/>
      <c r="D29" s="37"/>
      <c r="E29" s="38">
        <v>2580600</v>
      </c>
      <c r="F29" s="25">
        <v>2029290</v>
      </c>
      <c r="G29" s="25">
        <v>2580600</v>
      </c>
      <c r="H29" s="38">
        <v>2404650</v>
      </c>
      <c r="I29" s="24"/>
      <c r="J29" s="26">
        <v>2398785</v>
      </c>
      <c r="K29" s="77">
        <v>2076210</v>
      </c>
      <c r="L29" s="77">
        <v>2750685</v>
      </c>
      <c r="M29" s="77">
        <v>2413447.5</v>
      </c>
    </row>
    <row r="30" spans="1:13" ht="10.199999999999999" customHeight="1" x14ac:dyDescent="0.25">
      <c r="A30" s="6">
        <v>27</v>
      </c>
      <c r="B30" s="2" t="s">
        <v>40</v>
      </c>
      <c r="C30" s="36"/>
      <c r="D30" s="37"/>
      <c r="E30" s="38">
        <v>2463300</v>
      </c>
      <c r="F30" s="25">
        <v>2052750</v>
      </c>
      <c r="G30" s="25">
        <v>2228700</v>
      </c>
      <c r="H30" s="38"/>
      <c r="I30" s="24"/>
      <c r="J30" s="26">
        <v>2248253.91</v>
      </c>
      <c r="K30" s="44">
        <v>2228700</v>
      </c>
      <c r="L30" s="44">
        <v>2232219</v>
      </c>
      <c r="M30" s="26"/>
    </row>
    <row r="31" spans="1:13" ht="10.199999999999999" customHeight="1" x14ac:dyDescent="0.25">
      <c r="A31" s="6">
        <v>28</v>
      </c>
      <c r="B31" s="2" t="s">
        <v>41</v>
      </c>
      <c r="C31" s="36"/>
      <c r="D31" s="37"/>
      <c r="E31" s="38">
        <v>1847475</v>
      </c>
      <c r="F31" s="38">
        <v>1539562.5</v>
      </c>
      <c r="G31" s="38">
        <v>1671525</v>
      </c>
      <c r="H31" s="38"/>
      <c r="I31" s="24"/>
      <c r="J31" s="26">
        <v>1686187.5</v>
      </c>
      <c r="K31" s="44">
        <v>1671525</v>
      </c>
      <c r="L31" s="44">
        <v>2204067</v>
      </c>
      <c r="M31" s="45">
        <v>1937796</v>
      </c>
    </row>
    <row r="32" spans="1:13" ht="10.199999999999999" customHeight="1" x14ac:dyDescent="0.25">
      <c r="A32" s="6">
        <v>29</v>
      </c>
      <c r="B32" s="2" t="s">
        <v>42</v>
      </c>
      <c r="C32" s="36"/>
      <c r="D32" s="37"/>
      <c r="E32" s="38">
        <v>633420</v>
      </c>
      <c r="F32" s="25">
        <v>410550</v>
      </c>
      <c r="G32" s="25">
        <v>445740</v>
      </c>
      <c r="H32" s="38"/>
      <c r="I32" s="24"/>
      <c r="J32" s="26">
        <v>496577.82</v>
      </c>
      <c r="K32" s="50">
        <v>297942</v>
      </c>
      <c r="L32" s="50">
        <v>916113</v>
      </c>
      <c r="M32" s="26"/>
    </row>
    <row r="33" spans="1:13" ht="10.199999999999999" customHeight="1" x14ac:dyDescent="0.25">
      <c r="A33" s="6">
        <v>30</v>
      </c>
      <c r="B33" s="2" t="s">
        <v>43</v>
      </c>
      <c r="C33" s="36"/>
      <c r="D33" s="37"/>
      <c r="E33" s="25">
        <v>475065</v>
      </c>
      <c r="F33" s="25">
        <v>307912.5</v>
      </c>
      <c r="G33" s="25">
        <v>334305</v>
      </c>
      <c r="H33" s="38"/>
      <c r="I33" s="24"/>
      <c r="J33" s="26">
        <v>372427.5</v>
      </c>
      <c r="K33" s="44">
        <v>328440</v>
      </c>
      <c r="L33" s="44">
        <v>353073</v>
      </c>
      <c r="M33" s="26"/>
    </row>
    <row r="34" spans="1:13" ht="10.199999999999999" customHeight="1" x14ac:dyDescent="0.25">
      <c r="A34" s="6">
        <v>31</v>
      </c>
      <c r="B34" s="2" t="s">
        <v>44</v>
      </c>
      <c r="C34" s="36"/>
      <c r="D34" s="37"/>
      <c r="E34" s="38">
        <v>64515</v>
      </c>
      <c r="F34" s="25">
        <v>55834.8</v>
      </c>
      <c r="G34" s="25">
        <v>68972.399999999994</v>
      </c>
      <c r="H34" s="38"/>
      <c r="I34" s="24"/>
      <c r="J34" s="26">
        <v>63107.4</v>
      </c>
      <c r="K34" s="35">
        <v>79764</v>
      </c>
      <c r="L34" s="35">
        <v>94426.5</v>
      </c>
      <c r="M34" s="51">
        <v>87095.25</v>
      </c>
    </row>
    <row r="35" spans="1:13" ht="10.199999999999999" customHeight="1" x14ac:dyDescent="0.25">
      <c r="A35" s="6">
        <v>32</v>
      </c>
      <c r="B35" s="2" t="s">
        <v>45</v>
      </c>
      <c r="C35" s="36"/>
      <c r="D35" s="37"/>
      <c r="E35" s="38">
        <v>175950</v>
      </c>
      <c r="F35" s="25">
        <v>152490</v>
      </c>
      <c r="G35" s="25"/>
      <c r="H35" s="38"/>
      <c r="I35" s="24"/>
      <c r="J35" s="26">
        <v>164220</v>
      </c>
      <c r="K35" s="24"/>
      <c r="L35" s="24"/>
      <c r="M35" s="26">
        <v>164220</v>
      </c>
    </row>
    <row r="36" spans="1:13" ht="10.199999999999999" customHeight="1" x14ac:dyDescent="0.25">
      <c r="A36" s="6">
        <v>33</v>
      </c>
      <c r="B36" s="2" t="s">
        <v>46</v>
      </c>
      <c r="C36" s="36"/>
      <c r="D36" s="37"/>
      <c r="E36" s="38">
        <v>304980</v>
      </c>
      <c r="F36" s="25"/>
      <c r="G36" s="25">
        <v>351900</v>
      </c>
      <c r="H36" s="38"/>
      <c r="I36" s="24"/>
      <c r="J36" s="26">
        <v>328440</v>
      </c>
      <c r="K36" s="24"/>
      <c r="L36" s="37"/>
      <c r="M36" s="26">
        <v>328440</v>
      </c>
    </row>
    <row r="37" spans="1:13" ht="10.199999999999999" customHeight="1" x14ac:dyDescent="0.25">
      <c r="A37" s="6">
        <v>34</v>
      </c>
      <c r="B37" s="2" t="s">
        <v>47</v>
      </c>
      <c r="C37" s="36"/>
      <c r="D37" s="37"/>
      <c r="E37" s="38">
        <v>469200</v>
      </c>
      <c r="F37" s="25"/>
      <c r="G37" s="25">
        <v>586500</v>
      </c>
      <c r="H37" s="38"/>
      <c r="I37" s="24"/>
      <c r="J37" s="26">
        <v>527850</v>
      </c>
      <c r="K37" s="24"/>
      <c r="L37" s="24"/>
      <c r="M37" s="26">
        <v>527850</v>
      </c>
    </row>
    <row r="38" spans="1:13" ht="10.199999999999999" customHeight="1" x14ac:dyDescent="0.25">
      <c r="A38" s="6">
        <v>35</v>
      </c>
      <c r="B38" s="2" t="s">
        <v>48</v>
      </c>
      <c r="C38" s="36"/>
      <c r="D38" s="37"/>
      <c r="E38" s="38"/>
      <c r="F38" s="25"/>
      <c r="G38" s="25"/>
      <c r="H38" s="38"/>
      <c r="I38" s="24"/>
      <c r="J38" s="52">
        <v>46920</v>
      </c>
      <c r="K38" s="53">
        <v>46920</v>
      </c>
      <c r="L38" s="53">
        <v>48093</v>
      </c>
      <c r="M38" s="52">
        <v>46920</v>
      </c>
    </row>
    <row r="39" spans="1:13" ht="26.4" x14ac:dyDescent="0.25">
      <c r="A39" s="6">
        <v>36</v>
      </c>
      <c r="B39" s="2" t="s">
        <v>49</v>
      </c>
      <c r="C39" s="36"/>
      <c r="D39" s="37"/>
      <c r="E39" s="38">
        <v>53840.7</v>
      </c>
      <c r="F39" s="38">
        <v>48914.1</v>
      </c>
      <c r="G39" s="38"/>
      <c r="H39" s="38"/>
      <c r="I39" s="24"/>
      <c r="J39" s="54">
        <v>51377.4</v>
      </c>
      <c r="K39" s="50">
        <v>72726</v>
      </c>
      <c r="L39" s="50">
        <v>73077.899999999994</v>
      </c>
      <c r="M39" s="54">
        <v>51377.4</v>
      </c>
    </row>
    <row r="40" spans="1:13" x14ac:dyDescent="0.25">
      <c r="A40" s="6">
        <v>37</v>
      </c>
      <c r="B40" s="2" t="s">
        <v>50</v>
      </c>
      <c r="C40" s="36"/>
      <c r="D40" s="37"/>
      <c r="E40" s="38"/>
      <c r="F40" s="38"/>
      <c r="G40" s="38"/>
      <c r="H40" s="38"/>
      <c r="I40" s="24"/>
      <c r="J40" s="26"/>
      <c r="K40" s="37"/>
      <c r="L40" s="41">
        <v>49500.6</v>
      </c>
      <c r="M40" s="41">
        <v>49500.6</v>
      </c>
    </row>
    <row r="41" spans="1:13" x14ac:dyDescent="0.25">
      <c r="A41" s="6">
        <v>38</v>
      </c>
      <c r="B41" s="2" t="s">
        <v>51</v>
      </c>
      <c r="C41" s="36"/>
      <c r="D41" s="37"/>
      <c r="E41" s="38">
        <v>43987.5</v>
      </c>
      <c r="F41" s="38"/>
      <c r="G41" s="38"/>
      <c r="H41" s="38"/>
      <c r="I41" s="37"/>
      <c r="J41" s="54">
        <v>43987.5</v>
      </c>
      <c r="K41" s="24"/>
      <c r="L41" s="24"/>
      <c r="M41" s="54">
        <v>43987.5</v>
      </c>
    </row>
    <row r="42" spans="1:13" ht="26.4" x14ac:dyDescent="0.25">
      <c r="A42" s="6">
        <v>39</v>
      </c>
      <c r="B42" s="2" t="s">
        <v>52</v>
      </c>
      <c r="C42" s="36"/>
      <c r="D42" s="37" t="s">
        <v>99</v>
      </c>
      <c r="E42" s="38">
        <v>51846.6</v>
      </c>
      <c r="F42" s="38">
        <v>39178.199999999997</v>
      </c>
      <c r="G42" s="38"/>
      <c r="H42" s="38">
        <v>39178.199999999997</v>
      </c>
      <c r="I42" s="37"/>
      <c r="J42" s="54">
        <v>43401</v>
      </c>
      <c r="K42" s="24"/>
      <c r="L42" s="24"/>
      <c r="M42" s="54">
        <v>45512.4</v>
      </c>
    </row>
    <row r="43" spans="1:13" ht="9.6" customHeight="1" x14ac:dyDescent="0.25">
      <c r="A43" s="6">
        <v>40</v>
      </c>
      <c r="B43" s="3" t="s">
        <v>53</v>
      </c>
      <c r="C43" s="29"/>
      <c r="D43" s="37"/>
      <c r="E43" s="38"/>
      <c r="F43" s="38">
        <v>43401</v>
      </c>
      <c r="G43" s="38"/>
      <c r="H43" s="38"/>
      <c r="I43" s="37"/>
      <c r="J43" s="37"/>
      <c r="K43" s="55">
        <v>87975</v>
      </c>
      <c r="L43" s="55">
        <v>88561.5</v>
      </c>
      <c r="M43" s="55">
        <v>88268.25</v>
      </c>
    </row>
    <row r="44" spans="1:13" ht="9.6" customHeight="1" x14ac:dyDescent="0.25">
      <c r="A44" s="6">
        <v>41</v>
      </c>
      <c r="B44" s="3" t="s">
        <v>54</v>
      </c>
      <c r="C44" s="29"/>
      <c r="D44" s="37"/>
      <c r="E44" s="38"/>
      <c r="F44" s="38">
        <v>43401</v>
      </c>
      <c r="G44" s="38"/>
      <c r="H44" s="38"/>
      <c r="I44" s="37"/>
      <c r="J44" s="37"/>
      <c r="K44" s="55">
        <v>70380</v>
      </c>
      <c r="L44" s="55">
        <v>71553</v>
      </c>
      <c r="M44" s="55">
        <v>70966.5</v>
      </c>
    </row>
    <row r="45" spans="1:13" ht="10.199999999999999" hidden="1" customHeight="1" x14ac:dyDescent="0.25">
      <c r="A45" s="6">
        <v>42</v>
      </c>
      <c r="B45" s="3" t="s">
        <v>55</v>
      </c>
      <c r="C45" s="29"/>
      <c r="D45" s="37"/>
      <c r="E45" s="38"/>
      <c r="F45" s="38"/>
      <c r="G45" s="38"/>
      <c r="H45" s="38"/>
      <c r="I45" s="56">
        <v>32844</v>
      </c>
      <c r="J45" s="37"/>
      <c r="K45" s="37"/>
      <c r="L45" s="37"/>
      <c r="M45" s="57" t="s">
        <v>100</v>
      </c>
    </row>
    <row r="46" spans="1:13" ht="10.199999999999999" hidden="1" customHeight="1" x14ac:dyDescent="0.25">
      <c r="A46" s="6">
        <v>43</v>
      </c>
      <c r="B46" s="3" t="s">
        <v>56</v>
      </c>
      <c r="C46" s="29"/>
      <c r="D46" s="37"/>
      <c r="E46" s="38"/>
      <c r="F46" s="38"/>
      <c r="G46" s="38"/>
      <c r="H46" s="38"/>
      <c r="I46" s="56">
        <v>11730</v>
      </c>
      <c r="J46" s="37"/>
      <c r="K46" s="37"/>
      <c r="L46" s="37"/>
      <c r="M46" s="57" t="s">
        <v>100</v>
      </c>
    </row>
    <row r="47" spans="1:13" ht="10.199999999999999" hidden="1" customHeight="1" x14ac:dyDescent="0.25">
      <c r="A47" s="6">
        <v>44</v>
      </c>
      <c r="B47" s="3" t="s">
        <v>57</v>
      </c>
      <c r="C47" s="29"/>
      <c r="D47" s="37"/>
      <c r="E47" s="38"/>
      <c r="F47" s="38"/>
      <c r="G47" s="38">
        <v>46920</v>
      </c>
      <c r="H47" s="38"/>
      <c r="I47" s="56">
        <v>23460</v>
      </c>
      <c r="J47" s="37"/>
      <c r="K47" s="37"/>
      <c r="L47" s="37"/>
      <c r="M47" s="57" t="s">
        <v>100</v>
      </c>
    </row>
    <row r="48" spans="1:13" ht="10.199999999999999" hidden="1" customHeight="1" x14ac:dyDescent="0.25">
      <c r="A48" s="6">
        <v>45</v>
      </c>
      <c r="B48" s="3" t="s">
        <v>58</v>
      </c>
      <c r="C48" s="29"/>
      <c r="D48" s="37"/>
      <c r="E48" s="38"/>
      <c r="F48" s="38"/>
      <c r="G48" s="38">
        <v>17595</v>
      </c>
      <c r="H48" s="38"/>
      <c r="I48" s="56">
        <v>11730</v>
      </c>
      <c r="J48" s="37"/>
      <c r="K48" s="37"/>
      <c r="L48" s="37"/>
      <c r="M48" s="57" t="s">
        <v>100</v>
      </c>
    </row>
    <row r="49" spans="1:18" ht="10.199999999999999" customHeight="1" x14ac:dyDescent="0.25">
      <c r="A49" s="6">
        <v>46</v>
      </c>
      <c r="B49" s="3" t="s">
        <v>59</v>
      </c>
      <c r="C49" s="29"/>
      <c r="D49" s="37"/>
      <c r="E49" s="38"/>
      <c r="F49" s="58">
        <v>23460</v>
      </c>
      <c r="G49" s="38"/>
      <c r="H49" s="58"/>
      <c r="I49" s="37"/>
      <c r="J49" s="37"/>
      <c r="K49" s="59">
        <v>35893.800000000003</v>
      </c>
      <c r="L49" s="59">
        <v>84221.4</v>
      </c>
      <c r="M49" s="59">
        <v>60057.599999999999</v>
      </c>
    </row>
    <row r="50" spans="1:18" x14ac:dyDescent="0.25">
      <c r="A50" s="6">
        <v>47</v>
      </c>
      <c r="B50" s="3" t="s">
        <v>60</v>
      </c>
      <c r="C50" s="29"/>
      <c r="D50" s="37"/>
      <c r="E50" s="38"/>
      <c r="F50" s="38"/>
      <c r="G50" s="38"/>
      <c r="H50" s="38"/>
      <c r="I50" s="56">
        <v>41055</v>
      </c>
      <c r="J50" s="26"/>
      <c r="K50" s="37"/>
      <c r="L50" s="37"/>
      <c r="M50" s="60">
        <v>41055</v>
      </c>
    </row>
    <row r="51" spans="1:18" ht="10.199999999999999" customHeight="1" x14ac:dyDescent="0.25">
      <c r="A51" s="6">
        <v>48</v>
      </c>
      <c r="B51" s="7" t="s">
        <v>61</v>
      </c>
      <c r="C51" s="38">
        <v>19589.099999999999</v>
      </c>
      <c r="D51" s="61"/>
      <c r="E51" s="62"/>
      <c r="F51" s="38"/>
      <c r="G51" s="62"/>
      <c r="H51" s="38"/>
      <c r="I51" s="61"/>
      <c r="J51" s="26"/>
      <c r="K51" s="61"/>
      <c r="L51" s="61"/>
      <c r="M51" s="26">
        <v>19589.099999999999</v>
      </c>
    </row>
    <row r="52" spans="1:18" ht="10.199999999999999" customHeight="1" x14ac:dyDescent="0.25">
      <c r="A52" s="6">
        <v>49</v>
      </c>
      <c r="B52" s="10" t="s">
        <v>62</v>
      </c>
      <c r="C52" s="38">
        <v>19589.099999999999</v>
      </c>
      <c r="D52" s="37"/>
      <c r="E52" s="38"/>
      <c r="F52" s="38"/>
      <c r="G52" s="38"/>
      <c r="H52" s="38"/>
      <c r="I52" s="37"/>
      <c r="J52" s="37"/>
      <c r="K52" s="55">
        <v>17243.099999999999</v>
      </c>
      <c r="L52" s="55">
        <v>17360.400000000001</v>
      </c>
      <c r="M52" s="55">
        <v>17301.75</v>
      </c>
    </row>
    <row r="53" spans="1:18" ht="10.199999999999999" customHeight="1" x14ac:dyDescent="0.25">
      <c r="A53" s="6">
        <v>50</v>
      </c>
      <c r="B53" s="10" t="s">
        <v>63</v>
      </c>
      <c r="C53" s="38">
        <v>19589.099999999999</v>
      </c>
      <c r="D53" s="37"/>
      <c r="E53" s="38"/>
      <c r="F53" s="38"/>
      <c r="G53" s="38"/>
      <c r="H53" s="38"/>
      <c r="I53" s="37"/>
      <c r="J53" s="37"/>
      <c r="K53" s="55">
        <v>19941</v>
      </c>
      <c r="L53" s="55">
        <v>29031.75</v>
      </c>
      <c r="M53" s="55">
        <v>24492.240000000002</v>
      </c>
    </row>
    <row r="54" spans="1:18" ht="10.199999999999999" customHeight="1" x14ac:dyDescent="0.25">
      <c r="A54" s="6">
        <v>51</v>
      </c>
      <c r="B54" s="10" t="s">
        <v>64</v>
      </c>
      <c r="C54" s="38"/>
      <c r="D54" s="37">
        <v>37536</v>
      </c>
      <c r="E54" s="38"/>
      <c r="F54" s="38"/>
      <c r="G54" s="38"/>
      <c r="H54" s="38"/>
      <c r="I54" s="37"/>
      <c r="J54" s="52">
        <v>37536</v>
      </c>
      <c r="K54" s="37"/>
      <c r="L54" s="37"/>
      <c r="M54" s="52">
        <v>37536</v>
      </c>
    </row>
    <row r="55" spans="1:18" ht="10.199999999999999" customHeight="1" x14ac:dyDescent="0.25">
      <c r="A55" s="6">
        <v>52</v>
      </c>
      <c r="B55" s="10" t="s">
        <v>65</v>
      </c>
      <c r="C55" s="38"/>
      <c r="D55" s="37"/>
      <c r="E55" s="38"/>
      <c r="F55" s="38"/>
      <c r="G55" s="38"/>
      <c r="H55" s="38"/>
      <c r="I55" s="37"/>
      <c r="J55" s="54"/>
      <c r="K55" s="37"/>
      <c r="L55" s="37"/>
      <c r="M55" s="54">
        <v>21675</v>
      </c>
    </row>
    <row r="56" spans="1:18" s="8" customFormat="1" ht="10.199999999999999" customHeight="1" x14ac:dyDescent="0.25">
      <c r="A56" s="6">
        <v>53</v>
      </c>
      <c r="B56" s="7" t="s">
        <v>66</v>
      </c>
      <c r="C56" s="38">
        <v>20644.8</v>
      </c>
      <c r="D56" s="37">
        <v>31671</v>
      </c>
      <c r="E56" s="38"/>
      <c r="F56" s="38"/>
      <c r="G56" s="38"/>
      <c r="H56" s="38"/>
      <c r="I56" s="37"/>
      <c r="J56" s="26">
        <v>26157.9</v>
      </c>
      <c r="K56" s="37"/>
      <c r="L56" s="37"/>
      <c r="M56" s="26">
        <v>26157.9</v>
      </c>
      <c r="N56" s="4"/>
      <c r="O56" s="4"/>
      <c r="P56" s="4"/>
      <c r="Q56" s="4"/>
      <c r="R56" s="4"/>
    </row>
    <row r="57" spans="1:18" s="8" customFormat="1" ht="10.199999999999999" customHeight="1" x14ac:dyDescent="0.25">
      <c r="A57" s="6">
        <v>54</v>
      </c>
      <c r="B57" s="7" t="s">
        <v>67</v>
      </c>
      <c r="C57" s="38"/>
      <c r="D57" s="37">
        <v>66861</v>
      </c>
      <c r="E57" s="38"/>
      <c r="F57" s="38"/>
      <c r="G57" s="38"/>
      <c r="H57" s="38"/>
      <c r="I57" s="37"/>
      <c r="J57" s="26">
        <v>66861</v>
      </c>
      <c r="K57" s="34">
        <v>36949.5</v>
      </c>
      <c r="L57" s="34">
        <v>37066.800000000003</v>
      </c>
      <c r="M57" s="34">
        <v>37066.800000000003</v>
      </c>
      <c r="N57" s="4"/>
      <c r="O57" s="4"/>
      <c r="P57" s="4"/>
      <c r="Q57" s="4"/>
      <c r="R57" s="4"/>
    </row>
    <row r="58" spans="1:18" ht="10.199999999999999" customHeight="1" x14ac:dyDescent="0.25">
      <c r="A58" s="6">
        <v>55</v>
      </c>
      <c r="B58" s="7" t="s">
        <v>68</v>
      </c>
      <c r="C58" s="38">
        <v>20175.599999999999</v>
      </c>
      <c r="D58" s="61"/>
      <c r="E58" s="62"/>
      <c r="F58" s="38"/>
      <c r="G58" s="62"/>
      <c r="H58" s="38"/>
      <c r="I58" s="61"/>
      <c r="J58" s="26">
        <v>20175.599999999999</v>
      </c>
      <c r="K58" s="61"/>
      <c r="L58" s="61"/>
      <c r="M58" s="26">
        <v>20175.599999999999</v>
      </c>
    </row>
    <row r="59" spans="1:18" x14ac:dyDescent="0.25">
      <c r="A59" s="6">
        <v>56</v>
      </c>
      <c r="B59" s="7" t="s">
        <v>69</v>
      </c>
      <c r="C59" s="38"/>
      <c r="D59" s="61">
        <v>82110</v>
      </c>
      <c r="E59" s="62"/>
      <c r="F59" s="38"/>
      <c r="G59" s="62"/>
      <c r="H59" s="38"/>
      <c r="I59" s="61"/>
      <c r="J59" s="26">
        <v>82110</v>
      </c>
      <c r="K59" s="34">
        <v>46920</v>
      </c>
      <c r="L59" s="34">
        <v>47154.6</v>
      </c>
      <c r="M59" s="52">
        <v>82110</v>
      </c>
    </row>
    <row r="60" spans="1:18" ht="10.199999999999999" customHeight="1" x14ac:dyDescent="0.25">
      <c r="A60" s="6">
        <v>57</v>
      </c>
      <c r="B60" s="7" t="s">
        <v>70</v>
      </c>
      <c r="C60" s="38">
        <v>20879.400000000001</v>
      </c>
      <c r="D60" s="61">
        <v>29676.9</v>
      </c>
      <c r="E60" s="62"/>
      <c r="F60" s="38"/>
      <c r="G60" s="62"/>
      <c r="H60" s="38"/>
      <c r="I60" s="61"/>
      <c r="J60" s="26">
        <v>25278.15</v>
      </c>
      <c r="K60" s="61"/>
      <c r="L60" s="61"/>
      <c r="M60" s="26">
        <v>25278.15</v>
      </c>
    </row>
    <row r="61" spans="1:18" s="4" customFormat="1" x14ac:dyDescent="0.25">
      <c r="A61" s="6">
        <v>58</v>
      </c>
      <c r="B61" s="7" t="s">
        <v>71</v>
      </c>
      <c r="C61" s="38"/>
      <c r="D61" s="61">
        <v>55717.5</v>
      </c>
      <c r="E61" s="62"/>
      <c r="F61" s="38"/>
      <c r="G61" s="62"/>
      <c r="H61" s="38"/>
      <c r="I61" s="61"/>
      <c r="J61" s="26">
        <v>55717.5</v>
      </c>
      <c r="K61" s="63">
        <v>26979</v>
      </c>
      <c r="L61" s="63">
        <v>44691.3</v>
      </c>
      <c r="M61" s="38">
        <v>55717.5</v>
      </c>
    </row>
    <row r="62" spans="1:18" s="4" customFormat="1" ht="10.199999999999999" customHeight="1" x14ac:dyDescent="0.25">
      <c r="A62" s="6">
        <v>59</v>
      </c>
      <c r="B62" s="7" t="s">
        <v>72</v>
      </c>
      <c r="C62" s="38"/>
      <c r="D62" s="61"/>
      <c r="E62" s="62">
        <v>60996</v>
      </c>
      <c r="F62" s="38">
        <v>78591</v>
      </c>
      <c r="G62" s="62">
        <v>64515</v>
      </c>
      <c r="H62" s="62">
        <v>70380</v>
      </c>
      <c r="I62" s="61"/>
      <c r="J62" s="26">
        <v>68620.5</v>
      </c>
      <c r="K62" s="64">
        <v>104103.75</v>
      </c>
      <c r="L62" s="64">
        <v>117300</v>
      </c>
      <c r="M62" s="26">
        <v>68034</v>
      </c>
    </row>
    <row r="63" spans="1:18" s="4" customFormat="1" ht="10.199999999999999" customHeight="1" x14ac:dyDescent="0.25">
      <c r="A63" s="6">
        <v>60</v>
      </c>
      <c r="B63" s="7" t="s">
        <v>73</v>
      </c>
      <c r="C63" s="38"/>
      <c r="D63" s="61"/>
      <c r="E63" s="62">
        <v>42697.2</v>
      </c>
      <c r="F63" s="62">
        <v>55013.7</v>
      </c>
      <c r="G63" s="62">
        <v>45160.5</v>
      </c>
      <c r="H63" s="62">
        <v>49266</v>
      </c>
      <c r="I63" s="61"/>
      <c r="J63" s="26">
        <v>48034.35</v>
      </c>
      <c r="K63" s="61"/>
      <c r="L63" s="61"/>
      <c r="M63" s="26">
        <v>47623.8</v>
      </c>
    </row>
    <row r="64" spans="1:18" s="4" customFormat="1" ht="13.2" customHeight="1" x14ac:dyDescent="0.25">
      <c r="A64" s="6">
        <v>61</v>
      </c>
      <c r="B64" s="7" t="s">
        <v>74</v>
      </c>
      <c r="C64" s="38"/>
      <c r="D64" s="65">
        <v>34017</v>
      </c>
      <c r="E64" s="62"/>
      <c r="F64" s="38"/>
      <c r="G64" s="62"/>
      <c r="H64" s="38"/>
      <c r="I64" s="61"/>
      <c r="J64" s="26">
        <v>34017</v>
      </c>
      <c r="K64" s="55">
        <v>34017</v>
      </c>
      <c r="L64" s="55"/>
      <c r="M64" s="45"/>
    </row>
    <row r="65" spans="1:13" s="4" customFormat="1" ht="18.600000000000001" customHeight="1" x14ac:dyDescent="0.25">
      <c r="A65" s="6">
        <v>62</v>
      </c>
      <c r="B65" s="7" t="s">
        <v>75</v>
      </c>
      <c r="C65" s="38"/>
      <c r="D65" s="66">
        <v>41055</v>
      </c>
      <c r="E65" s="62"/>
      <c r="F65" s="38"/>
      <c r="G65" s="62"/>
      <c r="H65" s="38"/>
      <c r="I65" s="61"/>
      <c r="J65" s="26">
        <v>41055</v>
      </c>
      <c r="K65" s="67">
        <v>34017</v>
      </c>
      <c r="L65" s="67"/>
      <c r="M65" s="68"/>
    </row>
    <row r="66" spans="1:13" s="4" customFormat="1" x14ac:dyDescent="0.25">
      <c r="A66" s="6">
        <v>63</v>
      </c>
      <c r="B66" s="7" t="s">
        <v>76</v>
      </c>
      <c r="C66" s="38"/>
      <c r="D66" s="61">
        <v>105570</v>
      </c>
      <c r="E66" s="62">
        <v>49266</v>
      </c>
      <c r="F66" s="62">
        <v>58650</v>
      </c>
      <c r="G66" s="38">
        <v>49852.5</v>
      </c>
      <c r="H66" s="38">
        <v>52785</v>
      </c>
      <c r="I66" s="61"/>
      <c r="J66" s="26">
        <v>52644.24</v>
      </c>
      <c r="K66" s="55">
        <v>70380</v>
      </c>
      <c r="L66" s="55">
        <v>82110</v>
      </c>
      <c r="M66" s="68">
        <v>82110</v>
      </c>
    </row>
    <row r="67" spans="1:13" s="4" customFormat="1" ht="10.199999999999999" customHeight="1" x14ac:dyDescent="0.25">
      <c r="A67" s="6">
        <v>64</v>
      </c>
      <c r="B67" s="7" t="s">
        <v>77</v>
      </c>
      <c r="C67" s="38"/>
      <c r="D67" s="61">
        <v>103224</v>
      </c>
      <c r="E67" s="62">
        <v>46685.4</v>
      </c>
      <c r="F67" s="62">
        <v>56304</v>
      </c>
      <c r="G67" s="38">
        <v>47506.5</v>
      </c>
      <c r="H67" s="62">
        <v>50439</v>
      </c>
      <c r="I67" s="61"/>
      <c r="J67" s="26">
        <v>50239.59</v>
      </c>
      <c r="K67" s="67">
        <v>68034</v>
      </c>
      <c r="L67" s="67">
        <v>73605.75</v>
      </c>
      <c r="M67" s="68">
        <v>70825.740000000005</v>
      </c>
    </row>
    <row r="68" spans="1:13" s="4" customFormat="1" ht="10.199999999999999" customHeight="1" x14ac:dyDescent="0.25">
      <c r="A68" s="6">
        <v>65</v>
      </c>
      <c r="B68" s="7" t="s">
        <v>78</v>
      </c>
      <c r="C68" s="38"/>
      <c r="D68" s="61">
        <v>73899</v>
      </c>
      <c r="E68" s="62">
        <v>23460</v>
      </c>
      <c r="F68" s="62">
        <v>38709</v>
      </c>
      <c r="G68" s="62"/>
      <c r="H68" s="62">
        <v>29325</v>
      </c>
      <c r="I68" s="61"/>
      <c r="J68" s="26">
        <v>30498</v>
      </c>
      <c r="K68" s="61"/>
      <c r="L68" s="61"/>
      <c r="M68" s="26">
        <v>30498</v>
      </c>
    </row>
    <row r="69" spans="1:13" s="4" customFormat="1" x14ac:dyDescent="0.25">
      <c r="A69" s="6">
        <v>66</v>
      </c>
      <c r="B69" s="7" t="s">
        <v>79</v>
      </c>
      <c r="C69" s="38"/>
      <c r="D69" s="61"/>
      <c r="E69" s="62">
        <v>38709</v>
      </c>
      <c r="F69" s="38"/>
      <c r="G69" s="62"/>
      <c r="H69" s="38"/>
      <c r="I69" s="61"/>
      <c r="J69" s="26">
        <v>38709</v>
      </c>
      <c r="K69" s="71">
        <v>57477</v>
      </c>
      <c r="L69" s="71">
        <v>63576.6</v>
      </c>
      <c r="M69" s="72">
        <v>60526.8</v>
      </c>
    </row>
    <row r="70" spans="1:13" s="4" customFormat="1" ht="11.4" customHeight="1" x14ac:dyDescent="0.25">
      <c r="A70" s="6">
        <v>67</v>
      </c>
      <c r="B70" s="7" t="s">
        <v>80</v>
      </c>
      <c r="C70" s="38"/>
      <c r="D70" s="61"/>
      <c r="E70" s="62"/>
      <c r="F70" s="38"/>
      <c r="G70" s="62"/>
      <c r="H70" s="38"/>
      <c r="I70" s="61"/>
      <c r="J70" s="26"/>
      <c r="K70" s="61"/>
      <c r="L70" s="61"/>
      <c r="M70" s="52">
        <v>42368.76</v>
      </c>
    </row>
    <row r="71" spans="1:13" s="4" customFormat="1" ht="10.199999999999999" customHeight="1" x14ac:dyDescent="0.25">
      <c r="A71" s="6">
        <v>68</v>
      </c>
      <c r="B71" s="7" t="s">
        <v>81</v>
      </c>
      <c r="C71" s="38"/>
      <c r="D71" s="61">
        <v>161874</v>
      </c>
      <c r="E71" s="62">
        <v>73899</v>
      </c>
      <c r="F71" s="62">
        <v>152490</v>
      </c>
      <c r="G71" s="62"/>
      <c r="H71" s="62"/>
      <c r="I71" s="61"/>
      <c r="J71" s="26">
        <v>113194.5</v>
      </c>
      <c r="K71" s="67">
        <v>111435</v>
      </c>
      <c r="L71" s="67">
        <v>201169.5</v>
      </c>
      <c r="M71" s="68">
        <v>157182</v>
      </c>
    </row>
    <row r="72" spans="1:13" s="4" customFormat="1" ht="26.4" x14ac:dyDescent="0.25">
      <c r="A72" s="6">
        <v>69</v>
      </c>
      <c r="B72" s="7" t="s">
        <v>82</v>
      </c>
      <c r="C72" s="38"/>
      <c r="D72" s="61"/>
      <c r="E72" s="62"/>
      <c r="F72" s="62"/>
      <c r="G72" s="62"/>
      <c r="H72" s="62"/>
      <c r="I72" s="61"/>
      <c r="J72" s="26"/>
      <c r="K72" s="61"/>
      <c r="L72" s="61"/>
      <c r="M72" s="52">
        <v>33782.400000000001</v>
      </c>
    </row>
    <row r="73" spans="1:13" s="4" customFormat="1" ht="10.199999999999999" customHeight="1" x14ac:dyDescent="0.25">
      <c r="A73" s="6">
        <v>70</v>
      </c>
      <c r="B73" s="7" t="s">
        <v>83</v>
      </c>
      <c r="C73" s="38"/>
      <c r="D73" s="61"/>
      <c r="E73" s="62"/>
      <c r="F73" s="62"/>
      <c r="G73" s="62"/>
      <c r="H73" s="62"/>
      <c r="I73" s="61"/>
      <c r="J73" s="26"/>
      <c r="K73" s="61"/>
      <c r="L73" s="61"/>
      <c r="M73" s="52">
        <v>23647.68</v>
      </c>
    </row>
    <row r="74" spans="1:13" s="4" customFormat="1" ht="10.199999999999999" customHeight="1" x14ac:dyDescent="0.25">
      <c r="A74" s="6">
        <v>71</v>
      </c>
      <c r="B74" s="7" t="s">
        <v>84</v>
      </c>
      <c r="C74" s="38"/>
      <c r="D74" s="61"/>
      <c r="E74" s="62">
        <v>164220</v>
      </c>
      <c r="F74" s="62">
        <v>152490</v>
      </c>
      <c r="G74" s="62">
        <v>175950</v>
      </c>
      <c r="H74" s="62"/>
      <c r="I74" s="61"/>
      <c r="J74" s="26">
        <v>164220</v>
      </c>
      <c r="K74" s="61"/>
      <c r="L74" s="61"/>
      <c r="M74" s="26">
        <v>164220</v>
      </c>
    </row>
    <row r="75" spans="1:13" s="4" customFormat="1" ht="10.199999999999999" customHeight="1" x14ac:dyDescent="0.25">
      <c r="A75" s="6">
        <v>72</v>
      </c>
      <c r="B75" s="7" t="s">
        <v>85</v>
      </c>
      <c r="C75" s="38"/>
      <c r="D75" s="61"/>
      <c r="E75" s="62">
        <v>114954</v>
      </c>
      <c r="F75" s="62">
        <v>106743</v>
      </c>
      <c r="G75" s="62">
        <v>123165</v>
      </c>
      <c r="H75" s="62"/>
      <c r="I75" s="61"/>
      <c r="J75" s="26">
        <v>114954</v>
      </c>
      <c r="K75" s="73">
        <v>109089</v>
      </c>
      <c r="L75" s="61"/>
      <c r="M75" s="26">
        <v>114954</v>
      </c>
    </row>
    <row r="76" spans="1:13" s="4" customFormat="1" ht="21.6" customHeight="1" x14ac:dyDescent="0.25">
      <c r="A76" s="6">
        <v>73</v>
      </c>
      <c r="B76" s="17" t="s">
        <v>86</v>
      </c>
      <c r="C76" s="38"/>
      <c r="D76" s="61">
        <v>40233.9</v>
      </c>
      <c r="E76" s="62"/>
      <c r="F76" s="62"/>
      <c r="G76" s="62"/>
      <c r="H76" s="62"/>
      <c r="I76" s="61"/>
      <c r="J76" s="26">
        <v>40233.9</v>
      </c>
      <c r="K76" s="61"/>
      <c r="L76" s="61"/>
      <c r="M76" s="26"/>
    </row>
    <row r="77" spans="1:13" s="4" customFormat="1" ht="10.199999999999999" customHeight="1" x14ac:dyDescent="0.25">
      <c r="A77" s="6">
        <v>74</v>
      </c>
      <c r="B77" s="7" t="s">
        <v>87</v>
      </c>
      <c r="C77" s="38">
        <v>33782.400000000001</v>
      </c>
      <c r="D77" s="65"/>
      <c r="E77" s="62"/>
      <c r="F77" s="62"/>
      <c r="G77" s="62"/>
      <c r="H77" s="62"/>
      <c r="I77" s="61"/>
      <c r="J77" s="26">
        <v>33782.400000000001</v>
      </c>
      <c r="K77" s="61"/>
      <c r="L77" s="61"/>
      <c r="M77" s="52">
        <v>33782.400000000001</v>
      </c>
    </row>
    <row r="78" spans="1:13" s="4" customFormat="1" x14ac:dyDescent="0.25">
      <c r="A78" s="6">
        <v>75</v>
      </c>
      <c r="B78" s="7" t="s">
        <v>88</v>
      </c>
      <c r="C78" s="38"/>
      <c r="D78" s="61"/>
      <c r="E78" s="62">
        <v>73899</v>
      </c>
      <c r="F78" s="62">
        <v>105570</v>
      </c>
      <c r="G78" s="62"/>
      <c r="H78" s="62"/>
      <c r="I78" s="61"/>
      <c r="J78" s="26">
        <v>89734.5</v>
      </c>
      <c r="K78" s="61"/>
      <c r="L78" s="61"/>
      <c r="M78" s="74">
        <v>89734.5</v>
      </c>
    </row>
    <row r="79" spans="1:13" s="4" customFormat="1" ht="26.4" x14ac:dyDescent="0.25">
      <c r="A79" s="6">
        <v>76</v>
      </c>
      <c r="B79" s="17" t="s">
        <v>89</v>
      </c>
      <c r="C79" s="38"/>
      <c r="D79" s="61"/>
      <c r="E79" s="62"/>
      <c r="F79" s="62"/>
      <c r="G79" s="62"/>
      <c r="H79" s="62"/>
      <c r="I79" s="61"/>
      <c r="J79" s="26"/>
      <c r="K79" s="75">
        <v>34603.5</v>
      </c>
      <c r="L79" s="75">
        <v>36644.519999999997</v>
      </c>
      <c r="M79" s="60">
        <v>34603.5</v>
      </c>
    </row>
    <row r="80" spans="1:13" s="4" customFormat="1" ht="26.4" x14ac:dyDescent="0.25">
      <c r="A80" s="6">
        <v>77</v>
      </c>
      <c r="B80" s="17" t="s">
        <v>90</v>
      </c>
      <c r="C80" s="38"/>
      <c r="D80" s="61"/>
      <c r="E80" s="62"/>
      <c r="F80" s="62"/>
      <c r="G80" s="62"/>
      <c r="H80" s="62"/>
      <c r="I80" s="61"/>
      <c r="J80" s="26"/>
      <c r="K80" s="67">
        <v>34017</v>
      </c>
      <c r="L80" s="55"/>
      <c r="M80" s="45"/>
    </row>
    <row r="81" spans="1:13" s="4" customFormat="1" x14ac:dyDescent="0.25">
      <c r="A81" s="6">
        <v>78</v>
      </c>
      <c r="B81" s="7" t="s">
        <v>91</v>
      </c>
      <c r="C81" s="38">
        <v>19237.2</v>
      </c>
      <c r="D81" s="65"/>
      <c r="E81" s="62"/>
      <c r="F81" s="62"/>
      <c r="G81" s="62"/>
      <c r="H81" s="62"/>
      <c r="I81" s="61"/>
      <c r="J81" s="61"/>
      <c r="K81" s="67">
        <v>35190</v>
      </c>
      <c r="L81" s="55">
        <v>69265.649999999994</v>
      </c>
      <c r="M81" s="67">
        <v>52233.69</v>
      </c>
    </row>
  </sheetData>
  <mergeCells count="12">
    <mergeCell ref="M1:M3"/>
    <mergeCell ref="C2:C3"/>
    <mergeCell ref="D2:D3"/>
    <mergeCell ref="E2:E3"/>
    <mergeCell ref="F2:F3"/>
    <mergeCell ref="G2:G3"/>
    <mergeCell ref="H2:H3"/>
    <mergeCell ref="I2:I3"/>
    <mergeCell ref="K2:L2"/>
    <mergeCell ref="A1:A3"/>
    <mergeCell ref="B1:B3"/>
    <mergeCell ref="J1:J3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81"/>
  <sheetViews>
    <sheetView workbookViewId="0">
      <selection sqref="A1:A3"/>
    </sheetView>
  </sheetViews>
  <sheetFormatPr defaultRowHeight="13.2" x14ac:dyDescent="0.25"/>
  <cols>
    <col min="1" max="1" width="5.33203125" style="4" customWidth="1"/>
    <col min="2" max="2" width="62.88671875" style="4" customWidth="1"/>
    <col min="3" max="3" width="10.6640625" style="4" customWidth="1"/>
    <col min="4" max="4" width="15.33203125" style="4" customWidth="1"/>
    <col min="5" max="5" width="11.5546875" style="4" customWidth="1"/>
    <col min="6" max="6" width="10.109375" style="4" customWidth="1"/>
    <col min="7" max="8" width="10.5546875" style="4" customWidth="1"/>
    <col min="9" max="9" width="9.88671875" style="4" customWidth="1"/>
    <col min="10" max="10" width="12.109375" style="4" customWidth="1"/>
    <col min="11" max="11" width="10.6640625" style="4" customWidth="1"/>
    <col min="12" max="12" width="12.5546875" style="4" customWidth="1"/>
    <col min="13" max="13" width="14.109375" style="4" customWidth="1"/>
  </cols>
  <sheetData>
    <row r="1" spans="1:13" ht="10.199999999999999" customHeight="1" x14ac:dyDescent="0.25">
      <c r="A1" s="104" t="s">
        <v>0</v>
      </c>
      <c r="B1" s="109" t="s">
        <v>1</v>
      </c>
      <c r="C1" s="12"/>
      <c r="D1" s="13"/>
      <c r="E1" s="13"/>
      <c r="F1" s="11"/>
      <c r="G1" s="5"/>
      <c r="H1" s="5"/>
      <c r="I1" s="5"/>
      <c r="J1" s="112" t="s">
        <v>2</v>
      </c>
      <c r="K1" s="16"/>
      <c r="L1" s="5"/>
      <c r="M1" s="112" t="s">
        <v>3</v>
      </c>
    </row>
    <row r="2" spans="1:13" ht="22.2" customHeight="1" x14ac:dyDescent="0.25">
      <c r="A2" s="108"/>
      <c r="B2" s="110"/>
      <c r="C2" s="102" t="s">
        <v>4</v>
      </c>
      <c r="D2" s="104" t="s">
        <v>5</v>
      </c>
      <c r="E2" s="102" t="s">
        <v>6</v>
      </c>
      <c r="F2" s="102" t="s">
        <v>7</v>
      </c>
      <c r="G2" s="102" t="s">
        <v>8</v>
      </c>
      <c r="H2" s="102" t="s">
        <v>9</v>
      </c>
      <c r="I2" s="104" t="s">
        <v>10</v>
      </c>
      <c r="J2" s="113"/>
      <c r="K2" s="115" t="s">
        <v>92</v>
      </c>
      <c r="L2" s="116"/>
      <c r="M2" s="113"/>
    </row>
    <row r="3" spans="1:13" ht="34.799999999999997" customHeight="1" x14ac:dyDescent="0.25">
      <c r="A3" s="105"/>
      <c r="B3" s="111"/>
      <c r="C3" s="103"/>
      <c r="D3" s="105"/>
      <c r="E3" s="103"/>
      <c r="F3" s="103" t="s">
        <v>7</v>
      </c>
      <c r="G3" s="103"/>
      <c r="H3" s="103" t="s">
        <v>7</v>
      </c>
      <c r="I3" s="105"/>
      <c r="J3" s="114"/>
      <c r="K3" s="21" t="s">
        <v>12</v>
      </c>
      <c r="L3" s="21" t="s">
        <v>13</v>
      </c>
      <c r="M3" s="114"/>
    </row>
    <row r="4" spans="1:13" ht="10.199999999999999" customHeight="1" x14ac:dyDescent="0.25">
      <c r="A4" s="6">
        <v>1</v>
      </c>
      <c r="B4" s="9" t="s">
        <v>14</v>
      </c>
      <c r="C4" s="23"/>
      <c r="D4" s="24"/>
      <c r="E4" s="25">
        <v>809370</v>
      </c>
      <c r="F4" s="25">
        <v>873885</v>
      </c>
      <c r="G4" s="25">
        <v>844560</v>
      </c>
      <c r="H4" s="25">
        <v>850425</v>
      </c>
      <c r="I4" s="24"/>
      <c r="J4" s="26">
        <v>844560</v>
      </c>
      <c r="K4" s="44">
        <v>797640</v>
      </c>
      <c r="L4" s="44">
        <v>850034</v>
      </c>
      <c r="M4" s="45">
        <v>823844.82</v>
      </c>
    </row>
    <row r="5" spans="1:13" ht="10.199999999999999" customHeight="1" x14ac:dyDescent="0.25">
      <c r="A5" s="6">
        <v>2</v>
      </c>
      <c r="B5" s="9" t="s">
        <v>15</v>
      </c>
      <c r="C5" s="23"/>
      <c r="D5" s="24"/>
      <c r="E5" s="25">
        <v>785910</v>
      </c>
      <c r="F5" s="25">
        <v>873885</v>
      </c>
      <c r="G5" s="25">
        <v>832830</v>
      </c>
      <c r="H5" s="25">
        <v>862155</v>
      </c>
      <c r="I5" s="24"/>
      <c r="J5" s="26">
        <v>838695</v>
      </c>
      <c r="K5" s="24"/>
      <c r="L5" s="24"/>
      <c r="M5" s="26"/>
    </row>
    <row r="6" spans="1:13" ht="10.199999999999999" customHeight="1" x14ac:dyDescent="0.25">
      <c r="A6" s="6">
        <v>3</v>
      </c>
      <c r="B6" s="2" t="s">
        <v>16</v>
      </c>
      <c r="C6" s="29"/>
      <c r="D6" s="24"/>
      <c r="E6" s="25">
        <v>668610</v>
      </c>
      <c r="F6" s="25"/>
      <c r="G6" s="30">
        <v>733125</v>
      </c>
      <c r="H6" s="25"/>
      <c r="I6" s="24"/>
      <c r="J6" s="26">
        <v>700867.5</v>
      </c>
      <c r="K6" s="55">
        <v>774180</v>
      </c>
      <c r="L6" s="55">
        <v>820318</v>
      </c>
      <c r="M6" s="45">
        <v>797252.91</v>
      </c>
    </row>
    <row r="7" spans="1:13" ht="10.199999999999999" customHeight="1" x14ac:dyDescent="0.25">
      <c r="A7" s="6">
        <v>4</v>
      </c>
      <c r="B7" s="2" t="s">
        <v>17</v>
      </c>
      <c r="C7" s="29"/>
      <c r="D7" s="24"/>
      <c r="E7" s="25">
        <v>692070</v>
      </c>
      <c r="F7" s="25">
        <v>738990</v>
      </c>
      <c r="G7" s="25">
        <v>750720</v>
      </c>
      <c r="H7" s="32"/>
      <c r="I7" s="24"/>
      <c r="J7" s="26">
        <v>727260</v>
      </c>
      <c r="K7" s="44">
        <v>762450</v>
      </c>
      <c r="L7" s="44">
        <v>848079</v>
      </c>
      <c r="M7" s="45">
        <v>805264.5</v>
      </c>
    </row>
    <row r="8" spans="1:13" ht="10.199999999999999" customHeight="1" x14ac:dyDescent="0.25">
      <c r="A8" s="6">
        <v>5</v>
      </c>
      <c r="B8" s="2" t="s">
        <v>18</v>
      </c>
      <c r="C8" s="29"/>
      <c r="D8" s="24"/>
      <c r="E8" s="25">
        <v>566559</v>
      </c>
      <c r="F8" s="25">
        <v>611719.5</v>
      </c>
      <c r="G8" s="25">
        <v>591192</v>
      </c>
      <c r="H8" s="25">
        <v>595297.5</v>
      </c>
      <c r="I8" s="24"/>
      <c r="J8" s="26">
        <v>591192</v>
      </c>
      <c r="K8" s="24"/>
      <c r="L8" s="24"/>
      <c r="M8" s="26"/>
    </row>
    <row r="9" spans="1:13" ht="10.199999999999999" customHeight="1" x14ac:dyDescent="0.25">
      <c r="A9" s="6">
        <v>6</v>
      </c>
      <c r="B9" s="2" t="s">
        <v>19</v>
      </c>
      <c r="C9" s="29"/>
      <c r="D9" s="24"/>
      <c r="E9" s="25">
        <v>478619.19</v>
      </c>
      <c r="F9" s="25">
        <v>532195.96</v>
      </c>
      <c r="G9" s="25">
        <v>507193.47</v>
      </c>
      <c r="H9" s="25">
        <v>525052.39</v>
      </c>
      <c r="I9" s="24"/>
      <c r="J9" s="26">
        <v>510771.12</v>
      </c>
      <c r="K9" s="33"/>
      <c r="L9" s="33"/>
      <c r="M9" s="26"/>
    </row>
    <row r="10" spans="1:13" ht="10.199999999999999" customHeight="1" x14ac:dyDescent="0.25">
      <c r="A10" s="6">
        <v>7</v>
      </c>
      <c r="B10" s="14" t="s">
        <v>20</v>
      </c>
      <c r="C10" s="29"/>
      <c r="D10" s="24"/>
      <c r="E10" s="30">
        <v>633420</v>
      </c>
      <c r="F10" s="25">
        <v>375360</v>
      </c>
      <c r="G10" s="25"/>
      <c r="H10" s="25"/>
      <c r="I10" s="24"/>
      <c r="J10" s="26">
        <v>504390</v>
      </c>
      <c r="K10" s="24"/>
      <c r="L10" s="24"/>
      <c r="M10" s="26"/>
    </row>
    <row r="11" spans="1:13" ht="10.199999999999999" customHeight="1" x14ac:dyDescent="0.25">
      <c r="A11" s="6">
        <v>8</v>
      </c>
      <c r="B11" s="2" t="s">
        <v>21</v>
      </c>
      <c r="C11" s="29"/>
      <c r="D11" s="24"/>
      <c r="E11" s="25">
        <v>314364</v>
      </c>
      <c r="F11" s="25">
        <v>349554</v>
      </c>
      <c r="G11" s="25">
        <v>333132</v>
      </c>
      <c r="H11" s="25">
        <v>344862</v>
      </c>
      <c r="I11" s="24"/>
      <c r="J11" s="26">
        <v>335478</v>
      </c>
      <c r="K11" s="24"/>
      <c r="L11" s="24"/>
      <c r="M11" s="26"/>
    </row>
    <row r="12" spans="1:13" ht="10.199999999999999" customHeight="1" x14ac:dyDescent="0.25">
      <c r="A12" s="6">
        <v>9</v>
      </c>
      <c r="B12" s="2" t="s">
        <v>22</v>
      </c>
      <c r="C12" s="29"/>
      <c r="D12" s="24"/>
      <c r="E12" s="25">
        <v>429318</v>
      </c>
      <c r="F12" s="25">
        <v>590312.25</v>
      </c>
      <c r="G12" s="25">
        <v>643977</v>
      </c>
      <c r="H12" s="25">
        <v>643977</v>
      </c>
      <c r="I12" s="24"/>
      <c r="J12" s="26">
        <v>576904.86</v>
      </c>
      <c r="K12" s="34">
        <v>656880</v>
      </c>
      <c r="L12" s="34">
        <v>659226</v>
      </c>
      <c r="M12" s="26"/>
    </row>
    <row r="13" spans="1:13" ht="10.199999999999999" customHeight="1" x14ac:dyDescent="0.25">
      <c r="A13" s="6">
        <v>10</v>
      </c>
      <c r="B13" s="2" t="s">
        <v>23</v>
      </c>
      <c r="C13" s="29"/>
      <c r="D13" s="24"/>
      <c r="E13" s="25">
        <v>235773</v>
      </c>
      <c r="F13" s="25">
        <v>432250.5</v>
      </c>
      <c r="G13" s="25">
        <v>471546</v>
      </c>
      <c r="H13" s="25">
        <v>235773</v>
      </c>
      <c r="I13" s="24"/>
      <c r="J13" s="26">
        <v>343841.49</v>
      </c>
      <c r="K13" s="35">
        <v>422280</v>
      </c>
      <c r="L13" s="35">
        <v>423453</v>
      </c>
      <c r="M13" s="26"/>
    </row>
    <row r="14" spans="1:13" ht="10.199999999999999" customHeight="1" x14ac:dyDescent="0.25">
      <c r="A14" s="6">
        <v>11</v>
      </c>
      <c r="B14" s="2" t="s">
        <v>24</v>
      </c>
      <c r="C14" s="29"/>
      <c r="D14" s="24"/>
      <c r="E14" s="25">
        <v>140760</v>
      </c>
      <c r="F14" s="25">
        <v>152490</v>
      </c>
      <c r="G14" s="25">
        <v>134895</v>
      </c>
      <c r="H14" s="25">
        <v>154836</v>
      </c>
      <c r="I14" s="24"/>
      <c r="J14" s="26">
        <v>145745.25</v>
      </c>
      <c r="K14" s="44">
        <v>129030</v>
      </c>
      <c r="L14" s="44">
        <v>150144</v>
      </c>
      <c r="M14" s="45">
        <v>139587</v>
      </c>
    </row>
    <row r="15" spans="1:13" ht="10.199999999999999" customHeight="1" x14ac:dyDescent="0.25">
      <c r="A15" s="6">
        <v>12</v>
      </c>
      <c r="B15" s="2" t="s">
        <v>25</v>
      </c>
      <c r="C15" s="36"/>
      <c r="D15" s="37"/>
      <c r="E15" s="38">
        <v>129030</v>
      </c>
      <c r="F15" s="25"/>
      <c r="G15" s="25">
        <v>164220</v>
      </c>
      <c r="H15" s="38"/>
      <c r="I15" s="24"/>
      <c r="J15" s="26">
        <v>146625</v>
      </c>
      <c r="K15" s="44">
        <v>129030</v>
      </c>
      <c r="L15" s="44">
        <v>195304.5</v>
      </c>
      <c r="M15" s="45">
        <v>162167.25</v>
      </c>
    </row>
    <row r="16" spans="1:13" s="15" customFormat="1" ht="10.199999999999999" customHeight="1" x14ac:dyDescent="0.25">
      <c r="A16" s="6">
        <v>13</v>
      </c>
      <c r="B16" s="2" t="s">
        <v>26</v>
      </c>
      <c r="C16" s="36"/>
      <c r="D16" s="37"/>
      <c r="E16" s="38">
        <v>76245</v>
      </c>
      <c r="F16" s="25">
        <v>82110</v>
      </c>
      <c r="G16" s="25">
        <v>76245</v>
      </c>
      <c r="H16" s="38">
        <v>76245</v>
      </c>
      <c r="I16" s="24"/>
      <c r="J16" s="26">
        <v>77711.25</v>
      </c>
      <c r="K16" s="39">
        <v>85629</v>
      </c>
      <c r="L16" s="39">
        <v>86215.5</v>
      </c>
      <c r="M16" s="40">
        <v>85922.25</v>
      </c>
    </row>
    <row r="17" spans="1:13" ht="10.199999999999999" customHeight="1" x14ac:dyDescent="0.25">
      <c r="A17" s="6">
        <v>14</v>
      </c>
      <c r="B17" s="2" t="s">
        <v>27</v>
      </c>
      <c r="C17" s="36"/>
      <c r="D17" s="37"/>
      <c r="E17" s="38"/>
      <c r="F17" s="25"/>
      <c r="G17" s="25"/>
      <c r="H17" s="38"/>
      <c r="I17" s="24"/>
      <c r="J17" s="26"/>
      <c r="K17" s="41">
        <v>51612</v>
      </c>
      <c r="L17" s="41">
        <v>51846.6</v>
      </c>
      <c r="M17" s="42">
        <v>51729.3</v>
      </c>
    </row>
    <row r="18" spans="1:13" ht="21.6" customHeight="1" x14ac:dyDescent="0.25">
      <c r="A18" s="6">
        <v>15</v>
      </c>
      <c r="B18" s="2" t="s">
        <v>28</v>
      </c>
      <c r="C18" s="36"/>
      <c r="D18" s="37"/>
      <c r="E18" s="38">
        <v>140760</v>
      </c>
      <c r="F18" s="38">
        <v>152490</v>
      </c>
      <c r="G18" s="38">
        <v>134895</v>
      </c>
      <c r="H18" s="38">
        <v>154836</v>
      </c>
      <c r="I18" s="24"/>
      <c r="J18" s="26">
        <v>145745.25</v>
      </c>
      <c r="K18" s="39">
        <v>129030</v>
      </c>
      <c r="L18" s="39">
        <v>130203</v>
      </c>
      <c r="M18" s="40">
        <v>129616.5</v>
      </c>
    </row>
    <row r="19" spans="1:13" ht="12" customHeight="1" x14ac:dyDescent="0.25">
      <c r="A19" s="6">
        <v>16</v>
      </c>
      <c r="B19" s="2" t="s">
        <v>29</v>
      </c>
      <c r="C19" s="36"/>
      <c r="D19" s="37"/>
      <c r="E19" s="38">
        <v>211843.8</v>
      </c>
      <c r="F19" s="38">
        <v>229086.9</v>
      </c>
      <c r="G19" s="38">
        <v>206917.2</v>
      </c>
      <c r="H19" s="38">
        <v>216770.4</v>
      </c>
      <c r="I19" s="24"/>
      <c r="J19" s="26">
        <v>216160.44</v>
      </c>
      <c r="K19" s="43">
        <v>134895</v>
      </c>
      <c r="L19" s="43">
        <v>175950</v>
      </c>
      <c r="M19" s="26"/>
    </row>
    <row r="20" spans="1:13" ht="10.199999999999999" customHeight="1" x14ac:dyDescent="0.25">
      <c r="A20" s="6">
        <v>17</v>
      </c>
      <c r="B20" s="2" t="s">
        <v>30</v>
      </c>
      <c r="C20" s="36"/>
      <c r="D20" s="37"/>
      <c r="E20" s="38">
        <v>504390</v>
      </c>
      <c r="F20" s="25">
        <v>545445</v>
      </c>
      <c r="G20" s="25">
        <v>492660</v>
      </c>
      <c r="H20" s="38">
        <v>516120</v>
      </c>
      <c r="I20" s="24"/>
      <c r="J20" s="26">
        <v>514653.75</v>
      </c>
      <c r="K20" s="44">
        <v>527850</v>
      </c>
      <c r="L20" s="44">
        <v>546618</v>
      </c>
      <c r="M20" s="45">
        <v>537234</v>
      </c>
    </row>
    <row r="21" spans="1:13" ht="10.199999999999999" customHeight="1" x14ac:dyDescent="0.25">
      <c r="A21" s="6">
        <v>18</v>
      </c>
      <c r="B21" s="2" t="s">
        <v>31</v>
      </c>
      <c r="C21" s="36"/>
      <c r="D21" s="37"/>
      <c r="E21" s="38">
        <v>422280</v>
      </c>
      <c r="F21" s="25">
        <v>486795</v>
      </c>
      <c r="G21" s="25">
        <v>445740</v>
      </c>
      <c r="H21" s="38">
        <v>445740</v>
      </c>
      <c r="I21" s="24"/>
      <c r="J21" s="26">
        <v>450138.75</v>
      </c>
      <c r="K21" s="44">
        <v>469200</v>
      </c>
      <c r="L21" s="44">
        <v>568318.5</v>
      </c>
      <c r="M21" s="45">
        <v>518759.25</v>
      </c>
    </row>
    <row r="22" spans="1:13" ht="10.199999999999999" customHeight="1" x14ac:dyDescent="0.25">
      <c r="A22" s="6">
        <v>19</v>
      </c>
      <c r="B22" s="2" t="s">
        <v>32</v>
      </c>
      <c r="C22" s="36"/>
      <c r="D22" s="37"/>
      <c r="E22" s="38">
        <v>510255</v>
      </c>
      <c r="F22" s="38">
        <v>551310</v>
      </c>
      <c r="G22" s="38">
        <v>516120</v>
      </c>
      <c r="H22" s="38">
        <v>527850</v>
      </c>
      <c r="I22" s="24"/>
      <c r="J22" s="26">
        <v>526383.75</v>
      </c>
      <c r="K22" s="44">
        <v>545445</v>
      </c>
      <c r="L22" s="44">
        <v>564213</v>
      </c>
      <c r="M22" s="44">
        <v>554829</v>
      </c>
    </row>
    <row r="23" spans="1:13" ht="10.199999999999999" customHeight="1" x14ac:dyDescent="0.25">
      <c r="A23" s="6">
        <v>20</v>
      </c>
      <c r="B23" s="2" t="s">
        <v>33</v>
      </c>
      <c r="C23" s="36"/>
      <c r="D23" s="37"/>
      <c r="E23" s="38">
        <v>434010</v>
      </c>
      <c r="F23" s="38">
        <v>486795</v>
      </c>
      <c r="G23" s="38">
        <v>445740</v>
      </c>
      <c r="H23" s="38">
        <v>457470</v>
      </c>
      <c r="I23" s="24"/>
      <c r="J23" s="26">
        <v>456003.75</v>
      </c>
      <c r="K23" s="44">
        <v>480930</v>
      </c>
      <c r="L23" s="46">
        <v>521398.5</v>
      </c>
      <c r="M23" s="26"/>
    </row>
    <row r="24" spans="1:13" ht="10.199999999999999" customHeight="1" x14ac:dyDescent="0.25">
      <c r="A24" s="6">
        <v>21</v>
      </c>
      <c r="B24" s="1" t="s">
        <v>34</v>
      </c>
      <c r="C24" s="47"/>
      <c r="D24" s="37"/>
      <c r="E24" s="38">
        <v>527850</v>
      </c>
      <c r="F24" s="25">
        <v>551310</v>
      </c>
      <c r="G24" s="25">
        <v>504390</v>
      </c>
      <c r="H24" s="38">
        <v>516120</v>
      </c>
      <c r="I24" s="24"/>
      <c r="J24" s="26">
        <v>524917.5</v>
      </c>
      <c r="K24" s="35">
        <v>551310</v>
      </c>
      <c r="L24" s="35">
        <v>554829</v>
      </c>
      <c r="M24" s="76">
        <v>553069.5</v>
      </c>
    </row>
    <row r="25" spans="1:13" ht="10.199999999999999" customHeight="1" x14ac:dyDescent="0.25">
      <c r="A25" s="6">
        <v>22</v>
      </c>
      <c r="B25" s="2" t="s">
        <v>35</v>
      </c>
      <c r="C25" s="36"/>
      <c r="D25" s="37"/>
      <c r="E25" s="38">
        <v>621690</v>
      </c>
      <c r="F25" s="25">
        <v>598230</v>
      </c>
      <c r="G25" s="25">
        <v>598230</v>
      </c>
      <c r="H25" s="38">
        <v>621690</v>
      </c>
      <c r="I25" s="24"/>
      <c r="J25" s="26">
        <v>609960</v>
      </c>
      <c r="K25" s="44">
        <v>668610</v>
      </c>
      <c r="L25" s="44">
        <v>674475</v>
      </c>
      <c r="M25" s="45">
        <v>671542.5</v>
      </c>
    </row>
    <row r="26" spans="1:13" ht="10.8" customHeight="1" x14ac:dyDescent="0.25">
      <c r="A26" s="6">
        <v>23</v>
      </c>
      <c r="B26" s="2" t="s">
        <v>36</v>
      </c>
      <c r="C26" s="36"/>
      <c r="D26" s="37"/>
      <c r="E26" s="38">
        <v>621690</v>
      </c>
      <c r="F26" s="25">
        <v>621690</v>
      </c>
      <c r="G26" s="25">
        <v>645150</v>
      </c>
      <c r="H26" s="38"/>
      <c r="I26" s="24"/>
      <c r="J26" s="26">
        <v>629513.91</v>
      </c>
      <c r="K26" s="44">
        <v>680340</v>
      </c>
      <c r="L26" s="44">
        <v>693829.5</v>
      </c>
      <c r="M26" s="45">
        <v>687084.75</v>
      </c>
    </row>
    <row r="27" spans="1:13" ht="10.199999999999999" customHeight="1" x14ac:dyDescent="0.25">
      <c r="A27" s="6">
        <v>24</v>
      </c>
      <c r="B27" s="2" t="s">
        <v>37</v>
      </c>
      <c r="C27" s="36"/>
      <c r="D27" s="37"/>
      <c r="E27" s="38">
        <v>563040</v>
      </c>
      <c r="F27" s="25">
        <v>539580</v>
      </c>
      <c r="G27" s="25">
        <v>551310</v>
      </c>
      <c r="H27" s="38"/>
      <c r="I27" s="24"/>
      <c r="J27" s="26">
        <v>551310</v>
      </c>
      <c r="K27" s="44">
        <v>668610</v>
      </c>
      <c r="L27" s="44">
        <v>750133.5</v>
      </c>
      <c r="M27" s="45">
        <v>709371.75</v>
      </c>
    </row>
    <row r="28" spans="1:13" ht="10.199999999999999" customHeight="1" x14ac:dyDescent="0.25">
      <c r="A28" s="6">
        <v>25</v>
      </c>
      <c r="B28" s="2" t="s">
        <v>38</v>
      </c>
      <c r="C28" s="36"/>
      <c r="D28" s="37"/>
      <c r="E28" s="38">
        <v>2521950</v>
      </c>
      <c r="F28" s="25">
        <v>2029290</v>
      </c>
      <c r="G28" s="25">
        <v>2580600</v>
      </c>
      <c r="H28" s="38">
        <v>2228700</v>
      </c>
      <c r="I28" s="24"/>
      <c r="J28" s="26">
        <v>2340135</v>
      </c>
      <c r="K28" s="44">
        <v>2134860</v>
      </c>
      <c r="L28" s="44">
        <v>2809335</v>
      </c>
      <c r="M28" s="45">
        <v>2472097.5</v>
      </c>
    </row>
    <row r="29" spans="1:13" ht="10.199999999999999" customHeight="1" x14ac:dyDescent="0.25">
      <c r="A29" s="6">
        <v>26</v>
      </c>
      <c r="B29" s="2" t="s">
        <v>39</v>
      </c>
      <c r="C29" s="36"/>
      <c r="D29" s="37"/>
      <c r="E29" s="38">
        <v>2451570</v>
      </c>
      <c r="F29" s="25">
        <v>2029290</v>
      </c>
      <c r="G29" s="25">
        <v>2521950</v>
      </c>
      <c r="H29" s="38">
        <v>2170050</v>
      </c>
      <c r="I29" s="24"/>
      <c r="J29" s="26">
        <v>2293215</v>
      </c>
      <c r="K29" s="77">
        <v>2076210</v>
      </c>
      <c r="L29" s="77">
        <v>2750685</v>
      </c>
      <c r="M29" s="77">
        <v>2413447.5</v>
      </c>
    </row>
    <row r="30" spans="1:13" ht="10.199999999999999" customHeight="1" x14ac:dyDescent="0.25">
      <c r="A30" s="6">
        <v>27</v>
      </c>
      <c r="B30" s="2" t="s">
        <v>40</v>
      </c>
      <c r="C30" s="36"/>
      <c r="D30" s="37"/>
      <c r="E30" s="38">
        <v>2463300</v>
      </c>
      <c r="F30" s="25">
        <v>2052750</v>
      </c>
      <c r="G30" s="25">
        <v>2228700</v>
      </c>
      <c r="H30" s="38"/>
      <c r="I30" s="24"/>
      <c r="J30" s="26">
        <v>2248253.91</v>
      </c>
      <c r="K30" s="44">
        <v>2228700</v>
      </c>
      <c r="L30" s="44">
        <v>2232219</v>
      </c>
      <c r="M30" s="26"/>
    </row>
    <row r="31" spans="1:13" ht="10.199999999999999" customHeight="1" x14ac:dyDescent="0.25">
      <c r="A31" s="6">
        <v>28</v>
      </c>
      <c r="B31" s="2" t="s">
        <v>41</v>
      </c>
      <c r="C31" s="36"/>
      <c r="D31" s="37"/>
      <c r="E31" s="38">
        <v>1847475</v>
      </c>
      <c r="F31" s="38">
        <v>1539562.5</v>
      </c>
      <c r="G31" s="38">
        <v>1671525</v>
      </c>
      <c r="H31" s="38"/>
      <c r="I31" s="24"/>
      <c r="J31" s="26">
        <v>1686187.5</v>
      </c>
      <c r="K31" s="44">
        <v>1671525</v>
      </c>
      <c r="L31" s="44">
        <v>2204067</v>
      </c>
      <c r="M31" s="45">
        <v>1937796</v>
      </c>
    </row>
    <row r="32" spans="1:13" ht="10.199999999999999" customHeight="1" x14ac:dyDescent="0.25">
      <c r="A32" s="6">
        <v>29</v>
      </c>
      <c r="B32" s="2" t="s">
        <v>42</v>
      </c>
      <c r="C32" s="36"/>
      <c r="D32" s="37"/>
      <c r="E32" s="38">
        <v>633420</v>
      </c>
      <c r="F32" s="25">
        <v>410550</v>
      </c>
      <c r="G32" s="25">
        <v>445740</v>
      </c>
      <c r="H32" s="38"/>
      <c r="I32" s="24"/>
      <c r="J32" s="26">
        <v>496577.82</v>
      </c>
      <c r="K32" s="50">
        <v>297942</v>
      </c>
      <c r="L32" s="50">
        <v>916113</v>
      </c>
      <c r="M32" s="26"/>
    </row>
    <row r="33" spans="1:13" ht="10.199999999999999" customHeight="1" x14ac:dyDescent="0.25">
      <c r="A33" s="6">
        <v>30</v>
      </c>
      <c r="B33" s="2" t="s">
        <v>43</v>
      </c>
      <c r="C33" s="36"/>
      <c r="D33" s="37"/>
      <c r="E33" s="25">
        <v>475065</v>
      </c>
      <c r="F33" s="25">
        <v>307912.5</v>
      </c>
      <c r="G33" s="25">
        <v>334305</v>
      </c>
      <c r="H33" s="38"/>
      <c r="I33" s="24"/>
      <c r="J33" s="26">
        <v>372427.5</v>
      </c>
      <c r="K33" s="44">
        <v>328440</v>
      </c>
      <c r="L33" s="44">
        <v>353073</v>
      </c>
      <c r="M33" s="26"/>
    </row>
    <row r="34" spans="1:13" ht="10.199999999999999" customHeight="1" x14ac:dyDescent="0.25">
      <c r="A34" s="6">
        <v>31</v>
      </c>
      <c r="B34" s="2" t="s">
        <v>44</v>
      </c>
      <c r="C34" s="36"/>
      <c r="D34" s="37"/>
      <c r="E34" s="38">
        <v>64515</v>
      </c>
      <c r="F34" s="25">
        <v>55834.8</v>
      </c>
      <c r="G34" s="25">
        <v>68972.399999999994</v>
      </c>
      <c r="H34" s="38"/>
      <c r="I34" s="24"/>
      <c r="J34" s="26">
        <v>63107.4</v>
      </c>
      <c r="K34" s="35">
        <v>79764</v>
      </c>
      <c r="L34" s="35">
        <v>94426.5</v>
      </c>
      <c r="M34" s="51">
        <v>87095.25</v>
      </c>
    </row>
    <row r="35" spans="1:13" ht="10.199999999999999" customHeight="1" x14ac:dyDescent="0.25">
      <c r="A35" s="6">
        <v>32</v>
      </c>
      <c r="B35" s="2" t="s">
        <v>45</v>
      </c>
      <c r="C35" s="36"/>
      <c r="D35" s="37"/>
      <c r="E35" s="38">
        <v>175950</v>
      </c>
      <c r="F35" s="25">
        <v>152490</v>
      </c>
      <c r="G35" s="25"/>
      <c r="H35" s="38"/>
      <c r="I35" s="24"/>
      <c r="J35" s="26">
        <v>164220</v>
      </c>
      <c r="K35" s="24"/>
      <c r="L35" s="24"/>
      <c r="M35" s="26">
        <v>164220</v>
      </c>
    </row>
    <row r="36" spans="1:13" ht="10.199999999999999" customHeight="1" x14ac:dyDescent="0.25">
      <c r="A36" s="6">
        <v>33</v>
      </c>
      <c r="B36" s="2" t="s">
        <v>46</v>
      </c>
      <c r="C36" s="36"/>
      <c r="D36" s="37"/>
      <c r="E36" s="38">
        <v>304980</v>
      </c>
      <c r="F36" s="25"/>
      <c r="G36" s="25">
        <v>328440</v>
      </c>
      <c r="H36" s="38"/>
      <c r="I36" s="24"/>
      <c r="J36" s="26">
        <v>316710</v>
      </c>
      <c r="K36" s="24"/>
      <c r="L36" s="37"/>
      <c r="M36" s="26">
        <v>316710</v>
      </c>
    </row>
    <row r="37" spans="1:13" ht="10.199999999999999" customHeight="1" x14ac:dyDescent="0.25">
      <c r="A37" s="6">
        <v>34</v>
      </c>
      <c r="B37" s="2" t="s">
        <v>47</v>
      </c>
      <c r="C37" s="36"/>
      <c r="D37" s="37"/>
      <c r="E37" s="38">
        <v>469200</v>
      </c>
      <c r="F37" s="25"/>
      <c r="G37" s="25">
        <v>551310</v>
      </c>
      <c r="H37" s="38"/>
      <c r="I37" s="24"/>
      <c r="J37" s="26">
        <v>510255</v>
      </c>
      <c r="K37" s="24"/>
      <c r="L37" s="24"/>
      <c r="M37" s="26">
        <v>510255</v>
      </c>
    </row>
    <row r="38" spans="1:13" ht="10.199999999999999" customHeight="1" x14ac:dyDescent="0.25">
      <c r="A38" s="6">
        <v>35</v>
      </c>
      <c r="B38" s="2" t="s">
        <v>48</v>
      </c>
      <c r="C38" s="36"/>
      <c r="D38" s="37"/>
      <c r="E38" s="38"/>
      <c r="F38" s="25"/>
      <c r="G38" s="25"/>
      <c r="H38" s="38"/>
      <c r="I38" s="24"/>
      <c r="J38" s="52">
        <v>46920</v>
      </c>
      <c r="K38" s="53">
        <v>46920</v>
      </c>
      <c r="L38" s="53">
        <v>48093</v>
      </c>
      <c r="M38" s="52">
        <v>46920</v>
      </c>
    </row>
    <row r="39" spans="1:13" ht="26.4" x14ac:dyDescent="0.25">
      <c r="A39" s="6">
        <v>36</v>
      </c>
      <c r="B39" s="2" t="s">
        <v>49</v>
      </c>
      <c r="C39" s="36"/>
      <c r="D39" s="37"/>
      <c r="E39" s="38">
        <v>50908.2</v>
      </c>
      <c r="F39" s="38">
        <v>49852.5</v>
      </c>
      <c r="G39" s="38"/>
      <c r="H39" s="38"/>
      <c r="I39" s="24"/>
      <c r="J39" s="54">
        <v>50380.35</v>
      </c>
      <c r="K39" s="50">
        <v>72726</v>
      </c>
      <c r="L39" s="50">
        <v>73077.899999999994</v>
      </c>
      <c r="M39" s="54">
        <v>50380.35</v>
      </c>
    </row>
    <row r="40" spans="1:13" x14ac:dyDescent="0.25">
      <c r="A40" s="6">
        <v>37</v>
      </c>
      <c r="B40" s="2" t="s">
        <v>50</v>
      </c>
      <c r="C40" s="36"/>
      <c r="D40" s="37"/>
      <c r="E40" s="38"/>
      <c r="F40" s="38"/>
      <c r="G40" s="38"/>
      <c r="H40" s="38"/>
      <c r="I40" s="24"/>
      <c r="J40" s="26"/>
      <c r="K40" s="37"/>
      <c r="L40" s="41">
        <v>49500.6</v>
      </c>
      <c r="M40" s="41">
        <v>49500.6</v>
      </c>
    </row>
    <row r="41" spans="1:13" x14ac:dyDescent="0.25">
      <c r="A41" s="6">
        <v>38</v>
      </c>
      <c r="B41" s="2" t="s">
        <v>51</v>
      </c>
      <c r="C41" s="36"/>
      <c r="D41" s="37"/>
      <c r="E41" s="38">
        <v>43987.5</v>
      </c>
      <c r="F41" s="38"/>
      <c r="G41" s="38"/>
      <c r="H41" s="38"/>
      <c r="I41" s="37"/>
      <c r="J41" s="54">
        <v>43987.5</v>
      </c>
      <c r="K41" s="24"/>
      <c r="L41" s="24"/>
      <c r="M41" s="54">
        <v>43987.5</v>
      </c>
    </row>
    <row r="42" spans="1:13" ht="26.4" x14ac:dyDescent="0.25">
      <c r="A42" s="6">
        <v>39</v>
      </c>
      <c r="B42" s="2" t="s">
        <v>52</v>
      </c>
      <c r="C42" s="36"/>
      <c r="D42" s="37" t="s">
        <v>99</v>
      </c>
      <c r="E42" s="38">
        <v>46920</v>
      </c>
      <c r="F42" s="38">
        <v>41055</v>
      </c>
      <c r="G42" s="38"/>
      <c r="H42" s="38">
        <v>39178.199999999997</v>
      </c>
      <c r="I42" s="37"/>
      <c r="J42" s="54">
        <v>42392.22</v>
      </c>
      <c r="K42" s="24"/>
      <c r="L42" s="24"/>
      <c r="M42" s="54">
        <v>43987.5</v>
      </c>
    </row>
    <row r="43" spans="1:13" ht="9.6" customHeight="1" x14ac:dyDescent="0.25">
      <c r="A43" s="6">
        <v>40</v>
      </c>
      <c r="B43" s="3" t="s">
        <v>53</v>
      </c>
      <c r="C43" s="29"/>
      <c r="D43" s="37"/>
      <c r="E43" s="38"/>
      <c r="F43" s="38">
        <v>43401</v>
      </c>
      <c r="G43" s="38"/>
      <c r="H43" s="38"/>
      <c r="I43" s="37"/>
      <c r="J43" s="37"/>
      <c r="K43" s="55">
        <v>87975</v>
      </c>
      <c r="L43" s="55">
        <v>88561.5</v>
      </c>
      <c r="M43" s="55">
        <v>88268.25</v>
      </c>
    </row>
    <row r="44" spans="1:13" ht="9.6" customHeight="1" x14ac:dyDescent="0.25">
      <c r="A44" s="6">
        <v>41</v>
      </c>
      <c r="B44" s="3" t="s">
        <v>54</v>
      </c>
      <c r="C44" s="29"/>
      <c r="D44" s="37"/>
      <c r="E44" s="38"/>
      <c r="F44" s="38">
        <v>43401</v>
      </c>
      <c r="G44" s="38"/>
      <c r="H44" s="38"/>
      <c r="I44" s="37"/>
      <c r="J44" s="37"/>
      <c r="K44" s="55">
        <v>70380</v>
      </c>
      <c r="L44" s="55">
        <v>71553</v>
      </c>
      <c r="M44" s="55">
        <v>70966.5</v>
      </c>
    </row>
    <row r="45" spans="1:13" ht="10.199999999999999" hidden="1" customHeight="1" x14ac:dyDescent="0.25">
      <c r="A45" s="6">
        <v>42</v>
      </c>
      <c r="B45" s="3" t="s">
        <v>55</v>
      </c>
      <c r="C45" s="29"/>
      <c r="D45" s="37"/>
      <c r="E45" s="38"/>
      <c r="F45" s="38"/>
      <c r="G45" s="38"/>
      <c r="H45" s="38"/>
      <c r="I45" s="56">
        <v>32844</v>
      </c>
      <c r="J45" s="37"/>
      <c r="K45" s="37"/>
      <c r="L45" s="37"/>
      <c r="M45" s="57" t="s">
        <v>100</v>
      </c>
    </row>
    <row r="46" spans="1:13" ht="10.199999999999999" hidden="1" customHeight="1" x14ac:dyDescent="0.25">
      <c r="A46" s="6">
        <v>43</v>
      </c>
      <c r="B46" s="3" t="s">
        <v>56</v>
      </c>
      <c r="C46" s="29"/>
      <c r="D46" s="37"/>
      <c r="E46" s="38"/>
      <c r="F46" s="38"/>
      <c r="G46" s="38"/>
      <c r="H46" s="38"/>
      <c r="I46" s="56">
        <v>11730</v>
      </c>
      <c r="J46" s="37"/>
      <c r="K46" s="37"/>
      <c r="L46" s="37"/>
      <c r="M46" s="57" t="s">
        <v>100</v>
      </c>
    </row>
    <row r="47" spans="1:13" ht="10.199999999999999" hidden="1" customHeight="1" x14ac:dyDescent="0.25">
      <c r="A47" s="6">
        <v>44</v>
      </c>
      <c r="B47" s="3" t="s">
        <v>57</v>
      </c>
      <c r="C47" s="29"/>
      <c r="D47" s="37"/>
      <c r="E47" s="38"/>
      <c r="F47" s="38"/>
      <c r="G47" s="38">
        <v>46920</v>
      </c>
      <c r="H47" s="38"/>
      <c r="I47" s="56">
        <v>23460</v>
      </c>
      <c r="J47" s="37"/>
      <c r="K47" s="37"/>
      <c r="L47" s="37"/>
      <c r="M47" s="57" t="s">
        <v>100</v>
      </c>
    </row>
    <row r="48" spans="1:13" ht="10.199999999999999" hidden="1" customHeight="1" x14ac:dyDescent="0.25">
      <c r="A48" s="6">
        <v>45</v>
      </c>
      <c r="B48" s="3" t="s">
        <v>58</v>
      </c>
      <c r="C48" s="29"/>
      <c r="D48" s="37"/>
      <c r="E48" s="38"/>
      <c r="F48" s="38"/>
      <c r="G48" s="38">
        <v>17595</v>
      </c>
      <c r="H48" s="38"/>
      <c r="I48" s="56">
        <v>11730</v>
      </c>
      <c r="J48" s="37"/>
      <c r="K48" s="37"/>
      <c r="L48" s="37"/>
      <c r="M48" s="57" t="s">
        <v>100</v>
      </c>
    </row>
    <row r="49" spans="1:18" ht="10.199999999999999" customHeight="1" x14ac:dyDescent="0.25">
      <c r="A49" s="6">
        <v>46</v>
      </c>
      <c r="B49" s="3" t="s">
        <v>59</v>
      </c>
      <c r="C49" s="29"/>
      <c r="D49" s="37"/>
      <c r="E49" s="38"/>
      <c r="F49" s="58">
        <v>23460</v>
      </c>
      <c r="G49" s="38"/>
      <c r="H49" s="58"/>
      <c r="I49" s="37"/>
      <c r="J49" s="37"/>
      <c r="K49" s="59">
        <v>35893.800000000003</v>
      </c>
      <c r="L49" s="59">
        <v>84221.4</v>
      </c>
      <c r="M49" s="59">
        <v>60057.599999999999</v>
      </c>
    </row>
    <row r="50" spans="1:18" x14ac:dyDescent="0.25">
      <c r="A50" s="6">
        <v>47</v>
      </c>
      <c r="B50" s="3" t="s">
        <v>60</v>
      </c>
      <c r="C50" s="29"/>
      <c r="D50" s="37"/>
      <c r="E50" s="38"/>
      <c r="F50" s="38"/>
      <c r="G50" s="38"/>
      <c r="H50" s="38"/>
      <c r="I50" s="56">
        <v>41055</v>
      </c>
      <c r="J50" s="26"/>
      <c r="K50" s="37"/>
      <c r="L50" s="37"/>
      <c r="M50" s="60">
        <v>41055</v>
      </c>
    </row>
    <row r="51" spans="1:18" ht="10.199999999999999" customHeight="1" x14ac:dyDescent="0.25">
      <c r="A51" s="6">
        <v>48</v>
      </c>
      <c r="B51" s="7" t="s">
        <v>61</v>
      </c>
      <c r="C51" s="38">
        <v>17946.900000000001</v>
      </c>
      <c r="D51" s="61"/>
      <c r="E51" s="62"/>
      <c r="F51" s="38"/>
      <c r="G51" s="62"/>
      <c r="H51" s="38"/>
      <c r="I51" s="61"/>
      <c r="J51" s="26"/>
      <c r="K51" s="61"/>
      <c r="L51" s="61"/>
      <c r="M51" s="26">
        <v>17946.900000000001</v>
      </c>
    </row>
    <row r="52" spans="1:18" ht="10.199999999999999" customHeight="1" x14ac:dyDescent="0.25">
      <c r="A52" s="6">
        <v>49</v>
      </c>
      <c r="B52" s="10" t="s">
        <v>62</v>
      </c>
      <c r="C52" s="38">
        <v>17946.900000000001</v>
      </c>
      <c r="D52" s="37"/>
      <c r="E52" s="38"/>
      <c r="F52" s="38"/>
      <c r="G52" s="38"/>
      <c r="H52" s="38"/>
      <c r="I52" s="37"/>
      <c r="J52" s="37"/>
      <c r="K52" s="55">
        <v>17243.099999999999</v>
      </c>
      <c r="L52" s="55">
        <v>17360.400000000001</v>
      </c>
      <c r="M52" s="55">
        <v>17301.75</v>
      </c>
    </row>
    <row r="53" spans="1:18" ht="10.199999999999999" customHeight="1" x14ac:dyDescent="0.25">
      <c r="A53" s="6">
        <v>50</v>
      </c>
      <c r="B53" s="10" t="s">
        <v>63</v>
      </c>
      <c r="C53" s="38">
        <v>17946.900000000001</v>
      </c>
      <c r="D53" s="37"/>
      <c r="E53" s="38"/>
      <c r="F53" s="38"/>
      <c r="G53" s="38"/>
      <c r="H53" s="38"/>
      <c r="I53" s="37"/>
      <c r="J53" s="37"/>
      <c r="K53" s="55">
        <v>19941</v>
      </c>
      <c r="L53" s="55">
        <v>29031.75</v>
      </c>
      <c r="M53" s="55">
        <v>24492.240000000002</v>
      </c>
    </row>
    <row r="54" spans="1:18" ht="10.199999999999999" customHeight="1" x14ac:dyDescent="0.25">
      <c r="A54" s="6">
        <v>51</v>
      </c>
      <c r="B54" s="10" t="s">
        <v>64</v>
      </c>
      <c r="C54" s="38"/>
      <c r="D54" s="37">
        <v>37536</v>
      </c>
      <c r="E54" s="38"/>
      <c r="F54" s="38"/>
      <c r="G54" s="38"/>
      <c r="H54" s="38"/>
      <c r="I54" s="37"/>
      <c r="J54" s="52">
        <v>37536</v>
      </c>
      <c r="K54" s="37"/>
      <c r="L54" s="37"/>
      <c r="M54" s="52">
        <v>37536</v>
      </c>
    </row>
    <row r="55" spans="1:18" ht="10.199999999999999" customHeight="1" x14ac:dyDescent="0.25">
      <c r="A55" s="6">
        <v>52</v>
      </c>
      <c r="B55" s="10" t="s">
        <v>65</v>
      </c>
      <c r="C55" s="38"/>
      <c r="D55" s="37"/>
      <c r="E55" s="38"/>
      <c r="F55" s="38"/>
      <c r="G55" s="38"/>
      <c r="H55" s="38"/>
      <c r="I55" s="37"/>
      <c r="J55" s="54"/>
      <c r="K55" s="37"/>
      <c r="L55" s="37"/>
      <c r="M55" s="54">
        <v>21675</v>
      </c>
    </row>
    <row r="56" spans="1:18" s="8" customFormat="1" ht="10.199999999999999" customHeight="1" x14ac:dyDescent="0.25">
      <c r="A56" s="6">
        <v>53</v>
      </c>
      <c r="B56" s="7" t="s">
        <v>66</v>
      </c>
      <c r="C56" s="38">
        <v>19002.599999999999</v>
      </c>
      <c r="D56" s="37">
        <v>31671</v>
      </c>
      <c r="E56" s="38"/>
      <c r="F56" s="38"/>
      <c r="G56" s="38"/>
      <c r="H56" s="38"/>
      <c r="I56" s="37"/>
      <c r="J56" s="26">
        <v>25336.799999999999</v>
      </c>
      <c r="K56" s="37"/>
      <c r="L56" s="37"/>
      <c r="M56" s="26">
        <v>25336.799999999999</v>
      </c>
      <c r="N56" s="4"/>
      <c r="O56" s="4"/>
      <c r="P56" s="4"/>
      <c r="Q56" s="4"/>
      <c r="R56" s="4"/>
    </row>
    <row r="57" spans="1:18" s="8" customFormat="1" ht="10.199999999999999" customHeight="1" x14ac:dyDescent="0.25">
      <c r="A57" s="6">
        <v>54</v>
      </c>
      <c r="B57" s="7" t="s">
        <v>67</v>
      </c>
      <c r="C57" s="38"/>
      <c r="D57" s="37">
        <v>66861</v>
      </c>
      <c r="E57" s="38"/>
      <c r="F57" s="38"/>
      <c r="G57" s="38"/>
      <c r="H57" s="38"/>
      <c r="I57" s="37"/>
      <c r="J57" s="26">
        <v>66861</v>
      </c>
      <c r="K57" s="34">
        <v>36949.5</v>
      </c>
      <c r="L57" s="34">
        <v>37066.800000000003</v>
      </c>
      <c r="M57" s="34">
        <v>37066.800000000003</v>
      </c>
      <c r="N57" s="4"/>
      <c r="O57" s="4"/>
      <c r="P57" s="4"/>
      <c r="Q57" s="4"/>
      <c r="R57" s="4"/>
    </row>
    <row r="58" spans="1:18" ht="10.199999999999999" customHeight="1" x14ac:dyDescent="0.25">
      <c r="A58" s="6">
        <v>55</v>
      </c>
      <c r="B58" s="7" t="s">
        <v>68</v>
      </c>
      <c r="C58" s="38">
        <v>18533.400000000001</v>
      </c>
      <c r="D58" s="61"/>
      <c r="E58" s="62"/>
      <c r="F58" s="38"/>
      <c r="G58" s="62"/>
      <c r="H58" s="38"/>
      <c r="I58" s="61"/>
      <c r="J58" s="26">
        <v>18533.400000000001</v>
      </c>
      <c r="K58" s="61"/>
      <c r="L58" s="61"/>
      <c r="M58" s="26">
        <v>18533.400000000001</v>
      </c>
    </row>
    <row r="59" spans="1:18" x14ac:dyDescent="0.25">
      <c r="A59" s="6">
        <v>56</v>
      </c>
      <c r="B59" s="7" t="s">
        <v>69</v>
      </c>
      <c r="C59" s="38"/>
      <c r="D59" s="61">
        <v>82110</v>
      </c>
      <c r="E59" s="62"/>
      <c r="F59" s="38"/>
      <c r="G59" s="62"/>
      <c r="H59" s="38"/>
      <c r="I59" s="61"/>
      <c r="J59" s="26">
        <v>82110</v>
      </c>
      <c r="K59" s="34">
        <v>46920</v>
      </c>
      <c r="L59" s="34">
        <v>47154.6</v>
      </c>
      <c r="M59" s="52">
        <v>82110</v>
      </c>
    </row>
    <row r="60" spans="1:18" ht="10.199999999999999" customHeight="1" x14ac:dyDescent="0.25">
      <c r="A60" s="6">
        <v>57</v>
      </c>
      <c r="B60" s="7" t="s">
        <v>70</v>
      </c>
      <c r="C60" s="38">
        <v>19119.900000000001</v>
      </c>
      <c r="D60" s="61">
        <v>29676.9</v>
      </c>
      <c r="E60" s="62"/>
      <c r="F60" s="38"/>
      <c r="G60" s="62"/>
      <c r="H60" s="38"/>
      <c r="I60" s="61"/>
      <c r="J60" s="26">
        <v>24398.400000000001</v>
      </c>
      <c r="K60" s="61"/>
      <c r="L60" s="61"/>
      <c r="M60" s="26">
        <v>24398.400000000001</v>
      </c>
    </row>
    <row r="61" spans="1:18" s="4" customFormat="1" x14ac:dyDescent="0.25">
      <c r="A61" s="6">
        <v>58</v>
      </c>
      <c r="B61" s="7" t="s">
        <v>71</v>
      </c>
      <c r="C61" s="38"/>
      <c r="D61" s="61">
        <v>55717.5</v>
      </c>
      <c r="E61" s="62"/>
      <c r="F61" s="38"/>
      <c r="G61" s="62"/>
      <c r="H61" s="38"/>
      <c r="I61" s="61"/>
      <c r="J61" s="26">
        <v>55717.5</v>
      </c>
      <c r="K61" s="63">
        <v>26979</v>
      </c>
      <c r="L61" s="63">
        <v>44691.3</v>
      </c>
      <c r="M61" s="38">
        <v>55717.5</v>
      </c>
    </row>
    <row r="62" spans="1:18" s="4" customFormat="1" ht="10.199999999999999" customHeight="1" x14ac:dyDescent="0.25">
      <c r="A62" s="6">
        <v>59</v>
      </c>
      <c r="B62" s="7" t="s">
        <v>72</v>
      </c>
      <c r="C62" s="38"/>
      <c r="D62" s="61"/>
      <c r="E62" s="62">
        <v>60996</v>
      </c>
      <c r="F62" s="38">
        <v>78591</v>
      </c>
      <c r="G62" s="62">
        <v>64515</v>
      </c>
      <c r="H62" s="62">
        <v>64515</v>
      </c>
      <c r="I62" s="61"/>
      <c r="J62" s="26">
        <v>67154.25</v>
      </c>
      <c r="K62" s="64">
        <v>104103.75</v>
      </c>
      <c r="L62" s="64">
        <v>117300</v>
      </c>
      <c r="M62" s="26">
        <v>68034</v>
      </c>
    </row>
    <row r="63" spans="1:18" s="4" customFormat="1" ht="10.199999999999999" customHeight="1" x14ac:dyDescent="0.25">
      <c r="A63" s="6">
        <v>60</v>
      </c>
      <c r="B63" s="7" t="s">
        <v>73</v>
      </c>
      <c r="C63" s="38"/>
      <c r="D63" s="61"/>
      <c r="E63" s="62">
        <v>42697.2</v>
      </c>
      <c r="F63" s="62">
        <v>55013.7</v>
      </c>
      <c r="G63" s="62">
        <v>45160.5</v>
      </c>
      <c r="H63" s="62">
        <v>45160.5</v>
      </c>
      <c r="I63" s="61"/>
      <c r="J63" s="26">
        <v>47013.84</v>
      </c>
      <c r="K63" s="61"/>
      <c r="L63" s="61"/>
      <c r="M63" s="26">
        <v>47623.8</v>
      </c>
    </row>
    <row r="64" spans="1:18" s="4" customFormat="1" ht="13.2" customHeight="1" x14ac:dyDescent="0.25">
      <c r="A64" s="6">
        <v>61</v>
      </c>
      <c r="B64" s="7" t="s">
        <v>74</v>
      </c>
      <c r="C64" s="38"/>
      <c r="D64" s="65">
        <v>34017</v>
      </c>
      <c r="E64" s="62"/>
      <c r="F64" s="38"/>
      <c r="G64" s="62"/>
      <c r="H64" s="38"/>
      <c r="I64" s="61"/>
      <c r="J64" s="26">
        <v>34017</v>
      </c>
      <c r="K64" s="55">
        <v>34017</v>
      </c>
      <c r="L64" s="55"/>
      <c r="M64" s="45"/>
    </row>
    <row r="65" spans="1:13" s="4" customFormat="1" ht="10.199999999999999" customHeight="1" x14ac:dyDescent="0.25">
      <c r="A65" s="6">
        <v>62</v>
      </c>
      <c r="B65" s="7" t="s">
        <v>75</v>
      </c>
      <c r="C65" s="38"/>
      <c r="D65" s="66">
        <v>41055</v>
      </c>
      <c r="E65" s="62"/>
      <c r="F65" s="38"/>
      <c r="G65" s="62"/>
      <c r="H65" s="38"/>
      <c r="I65" s="61"/>
      <c r="J65" s="26">
        <v>41055</v>
      </c>
      <c r="K65" s="67">
        <v>34017</v>
      </c>
      <c r="L65" s="67"/>
      <c r="M65" s="68"/>
    </row>
    <row r="66" spans="1:13" s="4" customFormat="1" x14ac:dyDescent="0.25">
      <c r="A66" s="6">
        <v>63</v>
      </c>
      <c r="B66" s="7" t="s">
        <v>76</v>
      </c>
      <c r="C66" s="38"/>
      <c r="D66" s="61">
        <v>105570</v>
      </c>
      <c r="E66" s="62">
        <v>49266</v>
      </c>
      <c r="F66" s="62">
        <v>58650</v>
      </c>
      <c r="G66" s="38">
        <v>49852.5</v>
      </c>
      <c r="H66" s="38">
        <v>46920</v>
      </c>
      <c r="I66" s="61"/>
      <c r="J66" s="26">
        <v>51177.99</v>
      </c>
      <c r="K66" s="55">
        <v>70380</v>
      </c>
      <c r="L66" s="55">
        <v>82110</v>
      </c>
      <c r="M66" s="68">
        <v>82110</v>
      </c>
    </row>
    <row r="67" spans="1:13" s="4" customFormat="1" ht="10.199999999999999" customHeight="1" x14ac:dyDescent="0.25">
      <c r="A67" s="6">
        <v>64</v>
      </c>
      <c r="B67" s="7" t="s">
        <v>77</v>
      </c>
      <c r="C67" s="38"/>
      <c r="D67" s="61">
        <v>103224</v>
      </c>
      <c r="E67" s="62">
        <v>46685.4</v>
      </c>
      <c r="F67" s="62">
        <v>56304</v>
      </c>
      <c r="G67" s="38">
        <v>47506.5</v>
      </c>
      <c r="H67" s="62">
        <v>44574</v>
      </c>
      <c r="I67" s="61"/>
      <c r="J67" s="26">
        <v>48773.34</v>
      </c>
      <c r="K67" s="67">
        <v>68034</v>
      </c>
      <c r="L67" s="67">
        <v>73605.75</v>
      </c>
      <c r="M67" s="68">
        <v>70825.740000000005</v>
      </c>
    </row>
    <row r="68" spans="1:13" s="4" customFormat="1" ht="10.199999999999999" customHeight="1" x14ac:dyDescent="0.25">
      <c r="A68" s="6">
        <v>65</v>
      </c>
      <c r="B68" s="7" t="s">
        <v>78</v>
      </c>
      <c r="C68" s="38"/>
      <c r="D68" s="61">
        <v>73899</v>
      </c>
      <c r="E68" s="62">
        <v>23460</v>
      </c>
      <c r="F68" s="62">
        <v>38709</v>
      </c>
      <c r="G68" s="62"/>
      <c r="H68" s="62">
        <v>29325</v>
      </c>
      <c r="I68" s="61"/>
      <c r="J68" s="26">
        <v>30498</v>
      </c>
      <c r="K68" s="61"/>
      <c r="L68" s="61"/>
      <c r="M68" s="26">
        <v>30498</v>
      </c>
    </row>
    <row r="69" spans="1:13" s="4" customFormat="1" x14ac:dyDescent="0.25">
      <c r="A69" s="6">
        <v>66</v>
      </c>
      <c r="B69" s="7" t="s">
        <v>79</v>
      </c>
      <c r="C69" s="38"/>
      <c r="D69" s="61"/>
      <c r="E69" s="62">
        <v>38709</v>
      </c>
      <c r="F69" s="38"/>
      <c r="G69" s="62"/>
      <c r="H69" s="38"/>
      <c r="I69" s="61"/>
      <c r="J69" s="26">
        <v>38709</v>
      </c>
      <c r="K69" s="71">
        <v>57477</v>
      </c>
      <c r="L69" s="71">
        <v>63576.6</v>
      </c>
      <c r="M69" s="72">
        <v>60526.8</v>
      </c>
    </row>
    <row r="70" spans="1:13" s="4" customFormat="1" ht="11.4" customHeight="1" x14ac:dyDescent="0.25">
      <c r="A70" s="6">
        <v>67</v>
      </c>
      <c r="B70" s="7" t="s">
        <v>80</v>
      </c>
      <c r="C70" s="38"/>
      <c r="D70" s="61"/>
      <c r="E70" s="62"/>
      <c r="F70" s="38"/>
      <c r="G70" s="62"/>
      <c r="H70" s="38"/>
      <c r="I70" s="61"/>
      <c r="J70" s="26"/>
      <c r="K70" s="61"/>
      <c r="L70" s="61"/>
      <c r="M70" s="52">
        <v>42368.76</v>
      </c>
    </row>
    <row r="71" spans="1:13" s="4" customFormat="1" ht="10.199999999999999" customHeight="1" x14ac:dyDescent="0.25">
      <c r="A71" s="6">
        <v>68</v>
      </c>
      <c r="B71" s="7" t="s">
        <v>81</v>
      </c>
      <c r="C71" s="38"/>
      <c r="D71" s="61">
        <v>161874</v>
      </c>
      <c r="E71" s="62">
        <v>73899</v>
      </c>
      <c r="F71" s="62">
        <v>152490</v>
      </c>
      <c r="G71" s="62"/>
      <c r="H71" s="62"/>
      <c r="I71" s="61"/>
      <c r="J71" s="26">
        <v>113194.5</v>
      </c>
      <c r="K71" s="67">
        <v>111435</v>
      </c>
      <c r="L71" s="67">
        <v>201169.5</v>
      </c>
      <c r="M71" s="68">
        <v>135680.91</v>
      </c>
    </row>
    <row r="72" spans="1:13" s="4" customFormat="1" ht="26.4" x14ac:dyDescent="0.25">
      <c r="A72" s="6">
        <v>69</v>
      </c>
      <c r="B72" s="7" t="s">
        <v>82</v>
      </c>
      <c r="C72" s="38"/>
      <c r="D72" s="61"/>
      <c r="E72" s="62"/>
      <c r="F72" s="62"/>
      <c r="G72" s="62"/>
      <c r="H72" s="62"/>
      <c r="I72" s="61"/>
      <c r="J72" s="26"/>
      <c r="K72" s="61"/>
      <c r="L72" s="61"/>
      <c r="M72" s="52">
        <v>31084.5</v>
      </c>
    </row>
    <row r="73" spans="1:13" s="4" customFormat="1" ht="10.199999999999999" customHeight="1" x14ac:dyDescent="0.25">
      <c r="A73" s="6">
        <v>70</v>
      </c>
      <c r="B73" s="7" t="s">
        <v>83</v>
      </c>
      <c r="C73" s="38"/>
      <c r="D73" s="61"/>
      <c r="E73" s="62"/>
      <c r="F73" s="62"/>
      <c r="G73" s="62"/>
      <c r="H73" s="62"/>
      <c r="I73" s="61"/>
      <c r="J73" s="26"/>
      <c r="K73" s="61"/>
      <c r="L73" s="61"/>
      <c r="M73" s="52">
        <v>21759.15</v>
      </c>
    </row>
    <row r="74" spans="1:13" s="4" customFormat="1" ht="10.199999999999999" customHeight="1" x14ac:dyDescent="0.25">
      <c r="A74" s="6">
        <v>71</v>
      </c>
      <c r="B74" s="7" t="s">
        <v>84</v>
      </c>
      <c r="C74" s="38"/>
      <c r="D74" s="61"/>
      <c r="E74" s="62">
        <v>164220</v>
      </c>
      <c r="F74" s="62">
        <v>152490</v>
      </c>
      <c r="G74" s="62">
        <v>175950</v>
      </c>
      <c r="H74" s="62"/>
      <c r="I74" s="61"/>
      <c r="J74" s="26">
        <v>164220</v>
      </c>
      <c r="K74" s="61"/>
      <c r="L74" s="61"/>
      <c r="M74" s="26">
        <v>164220</v>
      </c>
    </row>
    <row r="75" spans="1:13" s="4" customFormat="1" ht="10.199999999999999" customHeight="1" x14ac:dyDescent="0.25">
      <c r="A75" s="6">
        <v>72</v>
      </c>
      <c r="B75" s="7" t="s">
        <v>85</v>
      </c>
      <c r="C75" s="38"/>
      <c r="D75" s="61"/>
      <c r="E75" s="62">
        <v>114954</v>
      </c>
      <c r="F75" s="62">
        <v>106743</v>
      </c>
      <c r="G75" s="62">
        <v>123165</v>
      </c>
      <c r="H75" s="62"/>
      <c r="I75" s="61"/>
      <c r="J75" s="26">
        <v>114954</v>
      </c>
      <c r="K75" s="73">
        <v>109089</v>
      </c>
      <c r="L75" s="61"/>
      <c r="M75" s="26">
        <v>114954</v>
      </c>
    </row>
    <row r="76" spans="1:13" s="4" customFormat="1" ht="21.6" customHeight="1" x14ac:dyDescent="0.25">
      <c r="A76" s="6">
        <v>73</v>
      </c>
      <c r="B76" s="17" t="s">
        <v>86</v>
      </c>
      <c r="C76" s="38"/>
      <c r="D76" s="61">
        <v>40233.9</v>
      </c>
      <c r="E76" s="62"/>
      <c r="F76" s="62"/>
      <c r="G76" s="62"/>
      <c r="H76" s="62"/>
      <c r="I76" s="61"/>
      <c r="J76" s="26">
        <v>40233.9</v>
      </c>
      <c r="K76" s="61"/>
      <c r="L76" s="61"/>
      <c r="M76" s="26"/>
    </row>
    <row r="77" spans="1:13" s="4" customFormat="1" ht="10.199999999999999" customHeight="1" x14ac:dyDescent="0.25">
      <c r="A77" s="6">
        <v>74</v>
      </c>
      <c r="B77" s="7" t="s">
        <v>87</v>
      </c>
      <c r="C77" s="38">
        <v>31084.5</v>
      </c>
      <c r="D77" s="65"/>
      <c r="E77" s="62"/>
      <c r="F77" s="62"/>
      <c r="G77" s="62"/>
      <c r="H77" s="62"/>
      <c r="I77" s="61"/>
      <c r="J77" s="26">
        <v>31084.5</v>
      </c>
      <c r="K77" s="61"/>
      <c r="L77" s="61"/>
      <c r="M77" s="52">
        <v>31084.5</v>
      </c>
    </row>
    <row r="78" spans="1:13" s="4" customFormat="1" x14ac:dyDescent="0.25">
      <c r="A78" s="6">
        <v>75</v>
      </c>
      <c r="B78" s="7" t="s">
        <v>88</v>
      </c>
      <c r="C78" s="38"/>
      <c r="D78" s="61"/>
      <c r="E78" s="62">
        <v>73899</v>
      </c>
      <c r="F78" s="62">
        <v>105570</v>
      </c>
      <c r="G78" s="62"/>
      <c r="H78" s="62"/>
      <c r="I78" s="61"/>
      <c r="J78" s="26">
        <v>89734.5</v>
      </c>
      <c r="K78" s="61"/>
      <c r="L78" s="61"/>
      <c r="M78" s="74">
        <v>89734.5</v>
      </c>
    </row>
    <row r="79" spans="1:13" s="4" customFormat="1" ht="26.4" x14ac:dyDescent="0.25">
      <c r="A79" s="6">
        <v>76</v>
      </c>
      <c r="B79" s="17" t="s">
        <v>89</v>
      </c>
      <c r="C79" s="38"/>
      <c r="D79" s="61"/>
      <c r="E79" s="62"/>
      <c r="F79" s="62"/>
      <c r="G79" s="62"/>
      <c r="H79" s="62"/>
      <c r="I79" s="61"/>
      <c r="J79" s="26"/>
      <c r="K79" s="75">
        <v>34603.5</v>
      </c>
      <c r="L79" s="75">
        <v>36644.519999999997</v>
      </c>
      <c r="M79" s="60">
        <v>34603.5</v>
      </c>
    </row>
    <row r="80" spans="1:13" s="4" customFormat="1" ht="26.4" x14ac:dyDescent="0.25">
      <c r="A80" s="6">
        <v>77</v>
      </c>
      <c r="B80" s="17" t="s">
        <v>90</v>
      </c>
      <c r="C80" s="38"/>
      <c r="D80" s="61"/>
      <c r="E80" s="62"/>
      <c r="F80" s="62"/>
      <c r="G80" s="62"/>
      <c r="H80" s="62"/>
      <c r="I80" s="61"/>
      <c r="J80" s="26"/>
      <c r="K80" s="67">
        <v>34017</v>
      </c>
      <c r="L80" s="55"/>
      <c r="M80" s="45"/>
    </row>
    <row r="81" spans="1:13" s="4" customFormat="1" x14ac:dyDescent="0.25">
      <c r="A81" s="6">
        <v>78</v>
      </c>
      <c r="B81" s="7" t="s">
        <v>91</v>
      </c>
      <c r="C81" s="38">
        <v>17477.7</v>
      </c>
      <c r="D81" s="65"/>
      <c r="E81" s="62"/>
      <c r="F81" s="62"/>
      <c r="G81" s="62"/>
      <c r="H81" s="62"/>
      <c r="I81" s="61"/>
      <c r="J81" s="61"/>
      <c r="K81" s="67">
        <v>35190</v>
      </c>
      <c r="L81" s="55">
        <v>69265.649999999994</v>
      </c>
      <c r="M81" s="67">
        <v>52233.69</v>
      </c>
    </row>
  </sheetData>
  <mergeCells count="12">
    <mergeCell ref="M1:M3"/>
    <mergeCell ref="C2:C3"/>
    <mergeCell ref="D2:D3"/>
    <mergeCell ref="E2:E3"/>
    <mergeCell ref="F2:F3"/>
    <mergeCell ref="G2:G3"/>
    <mergeCell ref="H2:H3"/>
    <mergeCell ref="I2:I3"/>
    <mergeCell ref="K2:L2"/>
    <mergeCell ref="A1:A3"/>
    <mergeCell ref="B1:B3"/>
    <mergeCell ref="J1:J3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81"/>
  <sheetViews>
    <sheetView workbookViewId="0">
      <selection sqref="A1:A3"/>
    </sheetView>
  </sheetViews>
  <sheetFormatPr defaultRowHeight="13.2" x14ac:dyDescent="0.25"/>
  <cols>
    <col min="1" max="1" width="5.33203125" style="4" customWidth="1"/>
    <col min="2" max="2" width="62.88671875" style="4" customWidth="1"/>
    <col min="3" max="3" width="10.6640625" style="4" customWidth="1"/>
    <col min="4" max="4" width="15.33203125" style="4" customWidth="1"/>
    <col min="5" max="5" width="11.5546875" style="4" customWidth="1"/>
    <col min="6" max="6" width="10.109375" style="4" customWidth="1"/>
    <col min="7" max="8" width="10.5546875" style="4" customWidth="1"/>
    <col min="9" max="9" width="9.88671875" style="4" customWidth="1"/>
    <col min="10" max="10" width="12.109375" style="4" customWidth="1"/>
    <col min="11" max="11" width="10.6640625" style="4" customWidth="1"/>
    <col min="12" max="12" width="12.5546875" style="4" customWidth="1"/>
    <col min="13" max="13" width="14.109375" style="4" customWidth="1"/>
  </cols>
  <sheetData>
    <row r="1" spans="1:13" ht="10.199999999999999" customHeight="1" x14ac:dyDescent="0.25">
      <c r="A1" s="104" t="s">
        <v>0</v>
      </c>
      <c r="B1" s="109" t="s">
        <v>1</v>
      </c>
      <c r="C1" s="12"/>
      <c r="D1" s="13"/>
      <c r="E1" s="13"/>
      <c r="F1" s="11"/>
      <c r="G1" s="5"/>
      <c r="H1" s="5"/>
      <c r="I1" s="5"/>
      <c r="J1" s="112" t="s">
        <v>2</v>
      </c>
      <c r="K1" s="16"/>
      <c r="L1" s="5"/>
      <c r="M1" s="112" t="s">
        <v>3</v>
      </c>
    </row>
    <row r="2" spans="1:13" ht="22.2" customHeight="1" x14ac:dyDescent="0.25">
      <c r="A2" s="108"/>
      <c r="B2" s="110"/>
      <c r="C2" s="102" t="s">
        <v>4</v>
      </c>
      <c r="D2" s="104" t="s">
        <v>5</v>
      </c>
      <c r="E2" s="102" t="s">
        <v>6</v>
      </c>
      <c r="F2" s="102" t="s">
        <v>7</v>
      </c>
      <c r="G2" s="102" t="s">
        <v>8</v>
      </c>
      <c r="H2" s="102" t="s">
        <v>9</v>
      </c>
      <c r="I2" s="104" t="s">
        <v>10</v>
      </c>
      <c r="J2" s="113"/>
      <c r="K2" s="115" t="s">
        <v>92</v>
      </c>
      <c r="L2" s="116"/>
      <c r="M2" s="113"/>
    </row>
    <row r="3" spans="1:13" ht="34.799999999999997" customHeight="1" x14ac:dyDescent="0.25">
      <c r="A3" s="105"/>
      <c r="B3" s="111"/>
      <c r="C3" s="103"/>
      <c r="D3" s="105"/>
      <c r="E3" s="103"/>
      <c r="F3" s="103" t="s">
        <v>7</v>
      </c>
      <c r="G3" s="103"/>
      <c r="H3" s="103" t="s">
        <v>7</v>
      </c>
      <c r="I3" s="105"/>
      <c r="J3" s="114"/>
      <c r="K3" s="21" t="s">
        <v>12</v>
      </c>
      <c r="L3" s="21" t="s">
        <v>13</v>
      </c>
      <c r="M3" s="114"/>
    </row>
    <row r="4" spans="1:13" ht="10.199999999999999" customHeight="1" x14ac:dyDescent="0.25">
      <c r="A4" s="6">
        <v>1</v>
      </c>
      <c r="B4" s="9" t="s">
        <v>14</v>
      </c>
      <c r="C4" s="23"/>
      <c r="D4" s="24"/>
      <c r="E4" s="25">
        <v>738990</v>
      </c>
      <c r="F4" s="25">
        <v>821100</v>
      </c>
      <c r="G4" s="25">
        <v>809370</v>
      </c>
      <c r="H4" s="25">
        <v>821100</v>
      </c>
      <c r="I4" s="24"/>
      <c r="J4" s="26">
        <v>797640</v>
      </c>
      <c r="K4" s="44">
        <v>797640</v>
      </c>
      <c r="L4" s="44">
        <v>850034</v>
      </c>
      <c r="M4" s="45">
        <v>823844.82</v>
      </c>
    </row>
    <row r="5" spans="1:13" ht="10.199999999999999" customHeight="1" x14ac:dyDescent="0.25">
      <c r="A5" s="6">
        <v>2</v>
      </c>
      <c r="B5" s="9" t="s">
        <v>15</v>
      </c>
      <c r="C5" s="23"/>
      <c r="D5" s="24"/>
      <c r="E5" s="25">
        <v>727260</v>
      </c>
      <c r="F5" s="25">
        <v>821100</v>
      </c>
      <c r="G5" s="25">
        <v>797640</v>
      </c>
      <c r="H5" s="25">
        <v>809370</v>
      </c>
      <c r="I5" s="24"/>
      <c r="J5" s="26">
        <v>788842.5</v>
      </c>
      <c r="K5" s="24"/>
      <c r="L5" s="24"/>
      <c r="M5" s="26"/>
    </row>
    <row r="6" spans="1:13" ht="10.199999999999999" customHeight="1" x14ac:dyDescent="0.25">
      <c r="A6" s="6">
        <v>3</v>
      </c>
      <c r="B6" s="2" t="s">
        <v>16</v>
      </c>
      <c r="C6" s="29"/>
      <c r="D6" s="24"/>
      <c r="E6" s="25">
        <v>609960</v>
      </c>
      <c r="F6" s="25"/>
      <c r="G6" s="30">
        <v>705755</v>
      </c>
      <c r="H6" s="25"/>
      <c r="I6" s="24"/>
      <c r="J6" s="26">
        <v>657865.31999999995</v>
      </c>
      <c r="K6" s="55">
        <v>774180</v>
      </c>
      <c r="L6" s="55">
        <v>820318</v>
      </c>
      <c r="M6" s="45">
        <v>797252.91</v>
      </c>
    </row>
    <row r="7" spans="1:13" ht="10.199999999999999" customHeight="1" x14ac:dyDescent="0.25">
      <c r="A7" s="6">
        <v>4</v>
      </c>
      <c r="B7" s="2" t="s">
        <v>17</v>
      </c>
      <c r="C7" s="29"/>
      <c r="D7" s="24"/>
      <c r="E7" s="25">
        <v>633420</v>
      </c>
      <c r="F7" s="25">
        <v>738990</v>
      </c>
      <c r="G7" s="25">
        <v>680340</v>
      </c>
      <c r="H7" s="32"/>
      <c r="I7" s="24"/>
      <c r="J7" s="26">
        <v>684257.82</v>
      </c>
      <c r="K7" s="44">
        <v>762450</v>
      </c>
      <c r="L7" s="44">
        <v>848079</v>
      </c>
      <c r="M7" s="45">
        <v>805264.5</v>
      </c>
    </row>
    <row r="8" spans="1:13" ht="10.199999999999999" customHeight="1" x14ac:dyDescent="0.25">
      <c r="A8" s="6">
        <v>5</v>
      </c>
      <c r="B8" s="2" t="s">
        <v>18</v>
      </c>
      <c r="C8" s="29"/>
      <c r="D8" s="24"/>
      <c r="E8" s="25">
        <v>517293</v>
      </c>
      <c r="F8" s="25">
        <v>574770</v>
      </c>
      <c r="G8" s="25">
        <v>566559</v>
      </c>
      <c r="H8" s="25">
        <v>574770</v>
      </c>
      <c r="I8" s="24"/>
      <c r="J8" s="26">
        <v>558348</v>
      </c>
      <c r="K8" s="24"/>
      <c r="L8" s="24"/>
      <c r="M8" s="26"/>
    </row>
    <row r="9" spans="1:13" ht="10.199999999999999" customHeight="1" x14ac:dyDescent="0.25">
      <c r="A9" s="6">
        <v>6</v>
      </c>
      <c r="B9" s="2" t="s">
        <v>19</v>
      </c>
      <c r="C9" s="29"/>
      <c r="D9" s="24"/>
      <c r="E9" s="25">
        <v>442901.34</v>
      </c>
      <c r="F9" s="25">
        <v>500049.9</v>
      </c>
      <c r="G9" s="25">
        <v>485762.76</v>
      </c>
      <c r="H9" s="25">
        <v>492906.33</v>
      </c>
      <c r="I9" s="24"/>
      <c r="J9" s="26">
        <v>480413.88</v>
      </c>
      <c r="K9" s="33"/>
      <c r="L9" s="33"/>
      <c r="M9" s="26"/>
    </row>
    <row r="10" spans="1:13" ht="10.199999999999999" customHeight="1" x14ac:dyDescent="0.25">
      <c r="A10" s="6">
        <v>7</v>
      </c>
      <c r="B10" s="14" t="s">
        <v>20</v>
      </c>
      <c r="C10" s="29"/>
      <c r="D10" s="24"/>
      <c r="E10" s="30">
        <v>633420</v>
      </c>
      <c r="F10" s="25">
        <v>375360</v>
      </c>
      <c r="G10" s="25"/>
      <c r="H10" s="25"/>
      <c r="I10" s="24"/>
      <c r="J10" s="26">
        <v>504390</v>
      </c>
      <c r="K10" s="24"/>
      <c r="L10" s="24"/>
      <c r="M10" s="26"/>
    </row>
    <row r="11" spans="1:13" ht="10.199999999999999" customHeight="1" x14ac:dyDescent="0.25">
      <c r="A11" s="6">
        <v>8</v>
      </c>
      <c r="B11" s="2" t="s">
        <v>21</v>
      </c>
      <c r="C11" s="29"/>
      <c r="D11" s="24"/>
      <c r="E11" s="25">
        <v>290904</v>
      </c>
      <c r="F11" s="25">
        <v>328440</v>
      </c>
      <c r="G11" s="25">
        <v>319056</v>
      </c>
      <c r="H11" s="25">
        <v>323748</v>
      </c>
      <c r="I11" s="24"/>
      <c r="J11" s="26">
        <v>315537</v>
      </c>
      <c r="K11" s="24"/>
      <c r="L11" s="24"/>
      <c r="M11" s="26"/>
    </row>
    <row r="12" spans="1:13" ht="10.199999999999999" customHeight="1" x14ac:dyDescent="0.25">
      <c r="A12" s="6">
        <v>9</v>
      </c>
      <c r="B12" s="2" t="s">
        <v>22</v>
      </c>
      <c r="C12" s="29"/>
      <c r="D12" s="24"/>
      <c r="E12" s="25">
        <v>429318</v>
      </c>
      <c r="F12" s="25">
        <v>643977</v>
      </c>
      <c r="G12" s="25">
        <v>611778.15</v>
      </c>
      <c r="H12" s="25">
        <v>643977</v>
      </c>
      <c r="I12" s="24"/>
      <c r="J12" s="26">
        <v>582265.47</v>
      </c>
      <c r="K12" s="34">
        <v>656880</v>
      </c>
      <c r="L12" s="34">
        <v>659226</v>
      </c>
      <c r="M12" s="26"/>
    </row>
    <row r="13" spans="1:13" ht="10.199999999999999" customHeight="1" x14ac:dyDescent="0.25">
      <c r="A13" s="6">
        <v>10</v>
      </c>
      <c r="B13" s="2" t="s">
        <v>23</v>
      </c>
      <c r="C13" s="29"/>
      <c r="D13" s="24"/>
      <c r="E13" s="25">
        <v>235773</v>
      </c>
      <c r="F13" s="25">
        <v>471546</v>
      </c>
      <c r="G13" s="25">
        <v>447968.7</v>
      </c>
      <c r="H13" s="25">
        <v>275068.5</v>
      </c>
      <c r="I13" s="24"/>
      <c r="J13" s="26">
        <v>357589.05</v>
      </c>
      <c r="K13" s="35">
        <v>422280</v>
      </c>
      <c r="L13" s="35">
        <v>423453</v>
      </c>
      <c r="M13" s="26"/>
    </row>
    <row r="14" spans="1:13" ht="10.199999999999999" customHeight="1" x14ac:dyDescent="0.25">
      <c r="A14" s="6">
        <v>11</v>
      </c>
      <c r="B14" s="2" t="s">
        <v>24</v>
      </c>
      <c r="C14" s="29"/>
      <c r="D14" s="24"/>
      <c r="E14" s="25">
        <v>117300</v>
      </c>
      <c r="F14" s="25">
        <v>148971</v>
      </c>
      <c r="G14" s="25">
        <v>129030</v>
      </c>
      <c r="H14" s="25">
        <v>145452</v>
      </c>
      <c r="I14" s="24"/>
      <c r="J14" s="26">
        <v>135188.25</v>
      </c>
      <c r="K14" s="44">
        <v>129030</v>
      </c>
      <c r="L14" s="44">
        <v>150144</v>
      </c>
      <c r="M14" s="45">
        <v>139587</v>
      </c>
    </row>
    <row r="15" spans="1:13" ht="10.199999999999999" customHeight="1" x14ac:dyDescent="0.25">
      <c r="A15" s="6">
        <v>12</v>
      </c>
      <c r="B15" s="2" t="s">
        <v>25</v>
      </c>
      <c r="C15" s="36"/>
      <c r="D15" s="37"/>
      <c r="E15" s="38">
        <v>105570</v>
      </c>
      <c r="F15" s="25"/>
      <c r="G15" s="25">
        <v>164220</v>
      </c>
      <c r="H15" s="38"/>
      <c r="I15" s="24"/>
      <c r="J15" s="26">
        <v>134895</v>
      </c>
      <c r="K15" s="44">
        <v>129030</v>
      </c>
      <c r="L15" s="44">
        <v>195304.5</v>
      </c>
      <c r="M15" s="45">
        <v>162167.25</v>
      </c>
    </row>
    <row r="16" spans="1:13" s="15" customFormat="1" ht="10.199999999999999" customHeight="1" x14ac:dyDescent="0.25">
      <c r="A16" s="6">
        <v>13</v>
      </c>
      <c r="B16" s="2" t="s">
        <v>26</v>
      </c>
      <c r="C16" s="36"/>
      <c r="D16" s="37"/>
      <c r="E16" s="38">
        <v>70380</v>
      </c>
      <c r="F16" s="25">
        <v>76245</v>
      </c>
      <c r="G16" s="25">
        <v>76245</v>
      </c>
      <c r="H16" s="38">
        <v>76245</v>
      </c>
      <c r="I16" s="24"/>
      <c r="J16" s="26">
        <v>74778.75</v>
      </c>
      <c r="K16" s="39">
        <v>85629</v>
      </c>
      <c r="L16" s="39">
        <v>86215.5</v>
      </c>
      <c r="M16" s="40">
        <v>85922.25</v>
      </c>
    </row>
    <row r="17" spans="1:13" ht="10.199999999999999" customHeight="1" x14ac:dyDescent="0.25">
      <c r="A17" s="6">
        <v>14</v>
      </c>
      <c r="B17" s="2" t="s">
        <v>27</v>
      </c>
      <c r="C17" s="36"/>
      <c r="D17" s="37"/>
      <c r="E17" s="38"/>
      <c r="F17" s="25"/>
      <c r="G17" s="25"/>
      <c r="H17" s="38"/>
      <c r="I17" s="24"/>
      <c r="J17" s="26"/>
      <c r="K17" s="41">
        <v>51612</v>
      </c>
      <c r="L17" s="41">
        <v>51846.6</v>
      </c>
      <c r="M17" s="42">
        <v>51729.3</v>
      </c>
    </row>
    <row r="18" spans="1:13" ht="21.6" customHeight="1" x14ac:dyDescent="0.25">
      <c r="A18" s="6">
        <v>15</v>
      </c>
      <c r="B18" s="2" t="s">
        <v>28</v>
      </c>
      <c r="C18" s="36"/>
      <c r="D18" s="37"/>
      <c r="E18" s="38">
        <v>117300</v>
      </c>
      <c r="F18" s="38">
        <v>148971</v>
      </c>
      <c r="G18" s="38">
        <v>129030</v>
      </c>
      <c r="H18" s="38">
        <v>145452</v>
      </c>
      <c r="I18" s="24"/>
      <c r="J18" s="26">
        <v>135188.25</v>
      </c>
      <c r="K18" s="39">
        <v>129030</v>
      </c>
      <c r="L18" s="39">
        <v>130203</v>
      </c>
      <c r="M18" s="40">
        <v>129616.5</v>
      </c>
    </row>
    <row r="19" spans="1:13" ht="12" customHeight="1" x14ac:dyDescent="0.25">
      <c r="A19" s="6">
        <v>16</v>
      </c>
      <c r="B19" s="2" t="s">
        <v>29</v>
      </c>
      <c r="C19" s="36"/>
      <c r="D19" s="37"/>
      <c r="E19" s="38">
        <v>197064</v>
      </c>
      <c r="F19" s="38">
        <v>212829.12</v>
      </c>
      <c r="G19" s="38">
        <v>201990.6</v>
      </c>
      <c r="H19" s="38">
        <v>209380.5</v>
      </c>
      <c r="I19" s="24"/>
      <c r="J19" s="26">
        <v>205321.92</v>
      </c>
      <c r="K19" s="43">
        <v>134895</v>
      </c>
      <c r="L19" s="43">
        <v>175950</v>
      </c>
      <c r="M19" s="26"/>
    </row>
    <row r="20" spans="1:13" ht="10.199999999999999" customHeight="1" x14ac:dyDescent="0.25">
      <c r="A20" s="6">
        <v>17</v>
      </c>
      <c r="B20" s="2" t="s">
        <v>30</v>
      </c>
      <c r="C20" s="36"/>
      <c r="D20" s="37"/>
      <c r="E20" s="38">
        <v>469200</v>
      </c>
      <c r="F20" s="25">
        <v>506736</v>
      </c>
      <c r="G20" s="25">
        <v>480930</v>
      </c>
      <c r="H20" s="38">
        <v>498525</v>
      </c>
      <c r="I20" s="24"/>
      <c r="J20" s="26">
        <v>488847.75</v>
      </c>
      <c r="K20" s="44">
        <v>527850</v>
      </c>
      <c r="L20" s="44">
        <v>546618</v>
      </c>
      <c r="M20" s="45">
        <v>537234</v>
      </c>
    </row>
    <row r="21" spans="1:13" ht="10.199999999999999" customHeight="1" x14ac:dyDescent="0.25">
      <c r="A21" s="6">
        <v>18</v>
      </c>
      <c r="B21" s="2" t="s">
        <v>31</v>
      </c>
      <c r="C21" s="36"/>
      <c r="D21" s="37"/>
      <c r="E21" s="38">
        <v>410550</v>
      </c>
      <c r="F21" s="25">
        <v>439875</v>
      </c>
      <c r="G21" s="25">
        <v>434010</v>
      </c>
      <c r="H21" s="38">
        <v>439875</v>
      </c>
      <c r="I21" s="24"/>
      <c r="J21" s="26">
        <v>431077.5</v>
      </c>
      <c r="K21" s="44">
        <v>469200</v>
      </c>
      <c r="L21" s="44">
        <v>568318.5</v>
      </c>
      <c r="M21" s="45">
        <v>518759.25</v>
      </c>
    </row>
    <row r="22" spans="1:13" ht="10.199999999999999" customHeight="1" x14ac:dyDescent="0.25">
      <c r="A22" s="6">
        <v>19</v>
      </c>
      <c r="B22" s="2" t="s">
        <v>32</v>
      </c>
      <c r="C22" s="36"/>
      <c r="D22" s="37"/>
      <c r="E22" s="38">
        <v>480930</v>
      </c>
      <c r="F22" s="38">
        <v>510255</v>
      </c>
      <c r="G22" s="38">
        <v>516120</v>
      </c>
      <c r="H22" s="38">
        <v>515338</v>
      </c>
      <c r="I22" s="24"/>
      <c r="J22" s="26">
        <v>505668.57</v>
      </c>
      <c r="K22" s="44">
        <v>545445</v>
      </c>
      <c r="L22" s="44">
        <v>564213</v>
      </c>
      <c r="M22" s="44">
        <v>554829</v>
      </c>
    </row>
    <row r="23" spans="1:13" ht="10.199999999999999" customHeight="1" x14ac:dyDescent="0.25">
      <c r="A23" s="6">
        <v>20</v>
      </c>
      <c r="B23" s="2" t="s">
        <v>33</v>
      </c>
      <c r="C23" s="36"/>
      <c r="D23" s="37"/>
      <c r="E23" s="38">
        <v>422280</v>
      </c>
      <c r="F23" s="38">
        <v>439875</v>
      </c>
      <c r="G23" s="38">
        <v>434010</v>
      </c>
      <c r="H23" s="38">
        <v>456688</v>
      </c>
      <c r="I23" s="24"/>
      <c r="J23" s="26">
        <v>438221.07</v>
      </c>
      <c r="K23" s="44">
        <v>480930</v>
      </c>
      <c r="L23" s="46">
        <v>521398.5</v>
      </c>
      <c r="M23" s="26"/>
    </row>
    <row r="24" spans="1:13" ht="10.199999999999999" customHeight="1" x14ac:dyDescent="0.25">
      <c r="A24" s="6">
        <v>21</v>
      </c>
      <c r="B24" s="1" t="s">
        <v>34</v>
      </c>
      <c r="C24" s="47"/>
      <c r="D24" s="37"/>
      <c r="E24" s="38">
        <v>469200</v>
      </c>
      <c r="F24" s="25">
        <v>510255</v>
      </c>
      <c r="G24" s="25">
        <v>480930</v>
      </c>
      <c r="H24" s="38">
        <v>498525</v>
      </c>
      <c r="I24" s="24"/>
      <c r="J24" s="26">
        <v>489727.5</v>
      </c>
      <c r="K24" s="35">
        <v>551310</v>
      </c>
      <c r="L24" s="35">
        <v>554829</v>
      </c>
      <c r="M24" s="76">
        <v>553069.5</v>
      </c>
    </row>
    <row r="25" spans="1:13" ht="10.199999999999999" customHeight="1" x14ac:dyDescent="0.25">
      <c r="A25" s="6">
        <v>22</v>
      </c>
      <c r="B25" s="2" t="s">
        <v>35</v>
      </c>
      <c r="C25" s="36"/>
      <c r="D25" s="37"/>
      <c r="E25" s="38">
        <v>586500</v>
      </c>
      <c r="F25" s="25">
        <v>586500</v>
      </c>
      <c r="G25" s="25">
        <v>598230</v>
      </c>
      <c r="H25" s="38">
        <v>598230</v>
      </c>
      <c r="I25" s="24"/>
      <c r="J25" s="26">
        <v>592365</v>
      </c>
      <c r="K25" s="44">
        <v>668610</v>
      </c>
      <c r="L25" s="44">
        <v>674475</v>
      </c>
      <c r="M25" s="45">
        <v>671542.5</v>
      </c>
    </row>
    <row r="26" spans="1:13" ht="10.8" customHeight="1" x14ac:dyDescent="0.25">
      <c r="A26" s="6">
        <v>23</v>
      </c>
      <c r="B26" s="2" t="s">
        <v>36</v>
      </c>
      <c r="C26" s="36"/>
      <c r="D26" s="37"/>
      <c r="E26" s="38">
        <v>586500</v>
      </c>
      <c r="F26" s="25">
        <v>609960</v>
      </c>
      <c r="G26" s="25">
        <v>621690</v>
      </c>
      <c r="H26" s="38"/>
      <c r="I26" s="24"/>
      <c r="J26" s="26">
        <v>606053.91</v>
      </c>
      <c r="K26" s="44">
        <v>680340</v>
      </c>
      <c r="L26" s="44">
        <v>693829.5</v>
      </c>
      <c r="M26" s="45">
        <v>687084.75</v>
      </c>
    </row>
    <row r="27" spans="1:13" ht="10.199999999999999" customHeight="1" x14ac:dyDescent="0.25">
      <c r="A27" s="6">
        <v>24</v>
      </c>
      <c r="B27" s="2" t="s">
        <v>37</v>
      </c>
      <c r="C27" s="36"/>
      <c r="D27" s="37"/>
      <c r="E27" s="38">
        <v>527850</v>
      </c>
      <c r="F27" s="25">
        <v>527850</v>
      </c>
      <c r="G27" s="25">
        <v>539580</v>
      </c>
      <c r="H27" s="38"/>
      <c r="I27" s="24"/>
      <c r="J27" s="26">
        <v>531767.81999999995</v>
      </c>
      <c r="K27" s="44">
        <v>668610</v>
      </c>
      <c r="L27" s="44">
        <v>750133.5</v>
      </c>
      <c r="M27" s="45">
        <v>709371.75</v>
      </c>
    </row>
    <row r="28" spans="1:13" ht="10.199999999999999" customHeight="1" x14ac:dyDescent="0.25">
      <c r="A28" s="6">
        <v>25</v>
      </c>
      <c r="B28" s="2" t="s">
        <v>38</v>
      </c>
      <c r="C28" s="36"/>
      <c r="D28" s="37"/>
      <c r="E28" s="38">
        <v>2287350</v>
      </c>
      <c r="F28" s="25">
        <v>2029290</v>
      </c>
      <c r="G28" s="25">
        <v>2170050</v>
      </c>
      <c r="H28" s="38">
        <v>2111400</v>
      </c>
      <c r="I28" s="24"/>
      <c r="J28" s="26">
        <v>2149522.5</v>
      </c>
      <c r="K28" s="44">
        <v>2134860</v>
      </c>
      <c r="L28" s="44">
        <v>2809335</v>
      </c>
      <c r="M28" s="45">
        <v>2472097.5</v>
      </c>
    </row>
    <row r="29" spans="1:13" ht="10.199999999999999" customHeight="1" x14ac:dyDescent="0.25">
      <c r="A29" s="6">
        <v>26</v>
      </c>
      <c r="B29" s="2" t="s">
        <v>39</v>
      </c>
      <c r="C29" s="36"/>
      <c r="D29" s="37"/>
      <c r="E29" s="38">
        <v>2228700</v>
      </c>
      <c r="F29" s="25">
        <v>2029290</v>
      </c>
      <c r="G29" s="25">
        <v>2111400</v>
      </c>
      <c r="H29" s="38">
        <v>2052750</v>
      </c>
      <c r="I29" s="24"/>
      <c r="J29" s="26">
        <v>2105535</v>
      </c>
      <c r="K29" s="77">
        <v>2076210</v>
      </c>
      <c r="L29" s="77">
        <v>2750685</v>
      </c>
      <c r="M29" s="77">
        <v>2413447.5</v>
      </c>
    </row>
    <row r="30" spans="1:13" ht="10.199999999999999" customHeight="1" x14ac:dyDescent="0.25">
      <c r="A30" s="6">
        <v>27</v>
      </c>
      <c r="B30" s="2" t="s">
        <v>40</v>
      </c>
      <c r="C30" s="36"/>
      <c r="D30" s="37"/>
      <c r="E30" s="38">
        <v>2463300</v>
      </c>
      <c r="F30" s="25">
        <v>2052750</v>
      </c>
      <c r="G30" s="25">
        <v>2228700</v>
      </c>
      <c r="H30" s="38"/>
      <c r="I30" s="24"/>
      <c r="J30" s="26">
        <v>2248253.91</v>
      </c>
      <c r="K30" s="44">
        <v>2228700</v>
      </c>
      <c r="L30" s="44">
        <v>2232219</v>
      </c>
      <c r="M30" s="26"/>
    </row>
    <row r="31" spans="1:13" ht="10.199999999999999" customHeight="1" x14ac:dyDescent="0.25">
      <c r="A31" s="6">
        <v>28</v>
      </c>
      <c r="B31" s="2" t="s">
        <v>41</v>
      </c>
      <c r="C31" s="36"/>
      <c r="D31" s="37"/>
      <c r="E31" s="38">
        <v>1847475</v>
      </c>
      <c r="F31" s="38">
        <v>1539562.5</v>
      </c>
      <c r="G31" s="38">
        <v>1671525</v>
      </c>
      <c r="H31" s="38"/>
      <c r="I31" s="24"/>
      <c r="J31" s="26">
        <v>1686187.5</v>
      </c>
      <c r="K31" s="44">
        <v>1671525</v>
      </c>
      <c r="L31" s="44">
        <v>2204067</v>
      </c>
      <c r="M31" s="45">
        <v>1937796</v>
      </c>
    </row>
    <row r="32" spans="1:13" ht="10.199999999999999" customHeight="1" x14ac:dyDescent="0.25">
      <c r="A32" s="6">
        <v>29</v>
      </c>
      <c r="B32" s="2" t="s">
        <v>42</v>
      </c>
      <c r="C32" s="36"/>
      <c r="D32" s="37"/>
      <c r="E32" s="38">
        <v>469200</v>
      </c>
      <c r="F32" s="25">
        <v>410550</v>
      </c>
      <c r="G32" s="25">
        <v>434010</v>
      </c>
      <c r="H32" s="38"/>
      <c r="I32" s="24"/>
      <c r="J32" s="26">
        <v>437927.82</v>
      </c>
      <c r="K32" s="50">
        <v>297942</v>
      </c>
      <c r="L32" s="50">
        <v>916113</v>
      </c>
      <c r="M32" s="26"/>
    </row>
    <row r="33" spans="1:13" ht="10.199999999999999" customHeight="1" x14ac:dyDescent="0.25">
      <c r="A33" s="6">
        <v>30</v>
      </c>
      <c r="B33" s="2" t="s">
        <v>43</v>
      </c>
      <c r="C33" s="36"/>
      <c r="D33" s="37"/>
      <c r="E33" s="25">
        <v>351900</v>
      </c>
      <c r="F33" s="25">
        <v>307912.5</v>
      </c>
      <c r="G33" s="25">
        <v>325507.5</v>
      </c>
      <c r="H33" s="38"/>
      <c r="I33" s="24"/>
      <c r="J33" s="26">
        <v>328440</v>
      </c>
      <c r="K33" s="44">
        <v>328440</v>
      </c>
      <c r="L33" s="44">
        <v>353073</v>
      </c>
      <c r="M33" s="26"/>
    </row>
    <row r="34" spans="1:13" ht="10.199999999999999" customHeight="1" x14ac:dyDescent="0.25">
      <c r="A34" s="6">
        <v>31</v>
      </c>
      <c r="B34" s="2" t="s">
        <v>44</v>
      </c>
      <c r="C34" s="36"/>
      <c r="D34" s="37"/>
      <c r="E34" s="38">
        <v>70380</v>
      </c>
      <c r="F34" s="25">
        <v>55834.8</v>
      </c>
      <c r="G34" s="25">
        <v>62403.6</v>
      </c>
      <c r="H34" s="38"/>
      <c r="I34" s="24"/>
      <c r="J34" s="26">
        <v>62872.800000000003</v>
      </c>
      <c r="K34" s="35">
        <v>79764</v>
      </c>
      <c r="L34" s="35">
        <v>94426.5</v>
      </c>
      <c r="M34" s="51">
        <v>87095.25</v>
      </c>
    </row>
    <row r="35" spans="1:13" ht="10.199999999999999" customHeight="1" x14ac:dyDescent="0.25">
      <c r="A35" s="6">
        <v>32</v>
      </c>
      <c r="B35" s="2" t="s">
        <v>45</v>
      </c>
      <c r="C35" s="36"/>
      <c r="D35" s="37"/>
      <c r="E35" s="38">
        <v>187680</v>
      </c>
      <c r="F35" s="25">
        <v>164220</v>
      </c>
      <c r="G35" s="25"/>
      <c r="H35" s="38"/>
      <c r="I35" s="24"/>
      <c r="J35" s="26">
        <v>175950</v>
      </c>
      <c r="K35" s="24"/>
      <c r="L35" s="24"/>
      <c r="M35" s="26">
        <v>175950</v>
      </c>
    </row>
    <row r="36" spans="1:13" ht="10.199999999999999" customHeight="1" x14ac:dyDescent="0.25">
      <c r="A36" s="6">
        <v>33</v>
      </c>
      <c r="B36" s="2" t="s">
        <v>46</v>
      </c>
      <c r="C36" s="36"/>
      <c r="D36" s="37"/>
      <c r="E36" s="38">
        <v>304980</v>
      </c>
      <c r="F36" s="25"/>
      <c r="G36" s="25">
        <v>316710</v>
      </c>
      <c r="H36" s="38"/>
      <c r="I36" s="24"/>
      <c r="J36" s="26">
        <v>310845</v>
      </c>
      <c r="K36" s="24"/>
      <c r="L36" s="37"/>
      <c r="M36" s="26">
        <v>310845</v>
      </c>
    </row>
    <row r="37" spans="1:13" ht="10.199999999999999" customHeight="1" x14ac:dyDescent="0.25">
      <c r="A37" s="6">
        <v>34</v>
      </c>
      <c r="B37" s="2" t="s">
        <v>47</v>
      </c>
      <c r="C37" s="36"/>
      <c r="D37" s="37"/>
      <c r="E37" s="38">
        <v>469200</v>
      </c>
      <c r="F37" s="25"/>
      <c r="G37" s="25">
        <v>516120</v>
      </c>
      <c r="H37" s="38"/>
      <c r="I37" s="24"/>
      <c r="J37" s="26">
        <v>492660</v>
      </c>
      <c r="K37" s="24"/>
      <c r="L37" s="24"/>
      <c r="M37" s="26">
        <v>492660</v>
      </c>
    </row>
    <row r="38" spans="1:13" ht="10.199999999999999" customHeight="1" x14ac:dyDescent="0.25">
      <c r="A38" s="6">
        <v>35</v>
      </c>
      <c r="B38" s="2" t="s">
        <v>48</v>
      </c>
      <c r="C38" s="36"/>
      <c r="D38" s="37"/>
      <c r="E38" s="38"/>
      <c r="F38" s="25"/>
      <c r="G38" s="25"/>
      <c r="H38" s="38"/>
      <c r="I38" s="24"/>
      <c r="J38" s="52">
        <v>46920</v>
      </c>
      <c r="K38" s="53">
        <v>46920</v>
      </c>
      <c r="L38" s="53">
        <v>48093</v>
      </c>
      <c r="M38" s="52">
        <v>46920</v>
      </c>
    </row>
    <row r="39" spans="1:13" ht="26.4" x14ac:dyDescent="0.25">
      <c r="A39" s="6">
        <v>36</v>
      </c>
      <c r="B39" s="2" t="s">
        <v>49</v>
      </c>
      <c r="C39" s="36"/>
      <c r="D39" s="37"/>
      <c r="E39" s="38">
        <v>48914.1</v>
      </c>
      <c r="F39" s="38">
        <v>49852.5</v>
      </c>
      <c r="G39" s="38"/>
      <c r="H39" s="38"/>
      <c r="I39" s="24"/>
      <c r="J39" s="54">
        <v>49383.3</v>
      </c>
      <c r="K39" s="50">
        <v>72726</v>
      </c>
      <c r="L39" s="50">
        <v>73077.899999999994</v>
      </c>
      <c r="M39" s="54">
        <v>49383.3</v>
      </c>
    </row>
    <row r="40" spans="1:13" x14ac:dyDescent="0.25">
      <c r="A40" s="6">
        <v>37</v>
      </c>
      <c r="B40" s="2" t="s">
        <v>50</v>
      </c>
      <c r="C40" s="36"/>
      <c r="D40" s="37"/>
      <c r="E40" s="38"/>
      <c r="F40" s="38"/>
      <c r="G40" s="38"/>
      <c r="H40" s="38"/>
      <c r="I40" s="24"/>
      <c r="J40" s="26"/>
      <c r="K40" s="37"/>
      <c r="L40" s="41">
        <v>49500.6</v>
      </c>
      <c r="M40" s="41">
        <v>49500.6</v>
      </c>
    </row>
    <row r="41" spans="1:13" x14ac:dyDescent="0.25">
      <c r="A41" s="6">
        <v>38</v>
      </c>
      <c r="B41" s="2" t="s">
        <v>51</v>
      </c>
      <c r="C41" s="36"/>
      <c r="D41" s="37"/>
      <c r="E41" s="38">
        <v>53840.7</v>
      </c>
      <c r="F41" s="38"/>
      <c r="G41" s="38"/>
      <c r="H41" s="38"/>
      <c r="I41" s="37"/>
      <c r="J41" s="54">
        <v>53840.7</v>
      </c>
      <c r="K41" s="24"/>
      <c r="L41" s="24"/>
      <c r="M41" s="54">
        <v>53840.7</v>
      </c>
    </row>
    <row r="42" spans="1:13" ht="26.4" x14ac:dyDescent="0.25">
      <c r="A42" s="6">
        <v>39</v>
      </c>
      <c r="B42" s="2" t="s">
        <v>52</v>
      </c>
      <c r="C42" s="36"/>
      <c r="D42" s="37" t="s">
        <v>99</v>
      </c>
      <c r="E42" s="38">
        <v>46920</v>
      </c>
      <c r="F42" s="38">
        <v>41055</v>
      </c>
      <c r="G42" s="38"/>
      <c r="H42" s="38">
        <v>46920</v>
      </c>
      <c r="I42" s="37"/>
      <c r="J42" s="54">
        <v>44972.82</v>
      </c>
      <c r="K42" s="24"/>
      <c r="L42" s="24"/>
      <c r="M42" s="54">
        <v>43987.5</v>
      </c>
    </row>
    <row r="43" spans="1:13" ht="9.6" customHeight="1" x14ac:dyDescent="0.25">
      <c r="A43" s="6">
        <v>40</v>
      </c>
      <c r="B43" s="3" t="s">
        <v>53</v>
      </c>
      <c r="C43" s="29"/>
      <c r="D43" s="37"/>
      <c r="E43" s="38"/>
      <c r="F43" s="38">
        <v>43401</v>
      </c>
      <c r="G43" s="38"/>
      <c r="H43" s="38"/>
      <c r="I43" s="37"/>
      <c r="J43" s="37"/>
      <c r="K43" s="55">
        <v>87975</v>
      </c>
      <c r="L43" s="55">
        <v>88561.5</v>
      </c>
      <c r="M43" s="55">
        <v>88268.25</v>
      </c>
    </row>
    <row r="44" spans="1:13" ht="9.6" customHeight="1" x14ac:dyDescent="0.25">
      <c r="A44" s="6">
        <v>41</v>
      </c>
      <c r="B44" s="3" t="s">
        <v>54</v>
      </c>
      <c r="C44" s="29"/>
      <c r="D44" s="37"/>
      <c r="E44" s="38"/>
      <c r="F44" s="38">
        <v>43401</v>
      </c>
      <c r="G44" s="38"/>
      <c r="H44" s="38"/>
      <c r="I44" s="37"/>
      <c r="J44" s="37"/>
      <c r="K44" s="55">
        <v>70380</v>
      </c>
      <c r="L44" s="55">
        <v>71553</v>
      </c>
      <c r="M44" s="55">
        <v>70966.5</v>
      </c>
    </row>
    <row r="45" spans="1:13" ht="10.199999999999999" hidden="1" customHeight="1" x14ac:dyDescent="0.25">
      <c r="A45" s="6">
        <v>42</v>
      </c>
      <c r="B45" s="3" t="s">
        <v>55</v>
      </c>
      <c r="C45" s="29"/>
      <c r="D45" s="37"/>
      <c r="E45" s="38"/>
      <c r="F45" s="38"/>
      <c r="G45" s="38"/>
      <c r="H45" s="38"/>
      <c r="I45" s="56">
        <v>32844</v>
      </c>
      <c r="J45" s="37"/>
      <c r="K45" s="37"/>
      <c r="L45" s="37"/>
      <c r="M45" s="57" t="s">
        <v>100</v>
      </c>
    </row>
    <row r="46" spans="1:13" ht="10.199999999999999" hidden="1" customHeight="1" x14ac:dyDescent="0.25">
      <c r="A46" s="6">
        <v>43</v>
      </c>
      <c r="B46" s="3" t="s">
        <v>56</v>
      </c>
      <c r="C46" s="29"/>
      <c r="D46" s="37"/>
      <c r="E46" s="38"/>
      <c r="F46" s="38"/>
      <c r="G46" s="38"/>
      <c r="H46" s="38"/>
      <c r="I46" s="56">
        <v>11730</v>
      </c>
      <c r="J46" s="37"/>
      <c r="K46" s="37"/>
      <c r="L46" s="37"/>
      <c r="M46" s="57" t="s">
        <v>100</v>
      </c>
    </row>
    <row r="47" spans="1:13" ht="10.199999999999999" hidden="1" customHeight="1" x14ac:dyDescent="0.25">
      <c r="A47" s="6">
        <v>44</v>
      </c>
      <c r="B47" s="3" t="s">
        <v>57</v>
      </c>
      <c r="C47" s="29"/>
      <c r="D47" s="37"/>
      <c r="E47" s="38"/>
      <c r="F47" s="38"/>
      <c r="G47" s="38">
        <v>46920</v>
      </c>
      <c r="H47" s="38"/>
      <c r="I47" s="56">
        <v>23460</v>
      </c>
      <c r="J47" s="37"/>
      <c r="K47" s="37"/>
      <c r="L47" s="37"/>
      <c r="M47" s="57" t="s">
        <v>100</v>
      </c>
    </row>
    <row r="48" spans="1:13" ht="10.199999999999999" hidden="1" customHeight="1" x14ac:dyDescent="0.25">
      <c r="A48" s="6">
        <v>45</v>
      </c>
      <c r="B48" s="3" t="s">
        <v>58</v>
      </c>
      <c r="C48" s="29"/>
      <c r="D48" s="37"/>
      <c r="E48" s="38"/>
      <c r="F48" s="38"/>
      <c r="G48" s="38">
        <v>17595</v>
      </c>
      <c r="H48" s="38"/>
      <c r="I48" s="56">
        <v>11730</v>
      </c>
      <c r="J48" s="37"/>
      <c r="K48" s="37"/>
      <c r="L48" s="37"/>
      <c r="M48" s="57" t="s">
        <v>100</v>
      </c>
    </row>
    <row r="49" spans="1:18" ht="10.199999999999999" customHeight="1" x14ac:dyDescent="0.25">
      <c r="A49" s="6">
        <v>46</v>
      </c>
      <c r="B49" s="3" t="s">
        <v>59</v>
      </c>
      <c r="C49" s="29"/>
      <c r="D49" s="37"/>
      <c r="E49" s="38"/>
      <c r="F49" s="58">
        <v>23460</v>
      </c>
      <c r="G49" s="38"/>
      <c r="H49" s="58"/>
      <c r="I49" s="37"/>
      <c r="J49" s="37"/>
      <c r="K49" s="59">
        <v>35893.800000000003</v>
      </c>
      <c r="L49" s="59">
        <v>84221.4</v>
      </c>
      <c r="M49" s="59">
        <v>60057.599999999999</v>
      </c>
    </row>
    <row r="50" spans="1:18" x14ac:dyDescent="0.25">
      <c r="A50" s="6">
        <v>47</v>
      </c>
      <c r="B50" s="3" t="s">
        <v>60</v>
      </c>
      <c r="C50" s="29"/>
      <c r="D50" s="37"/>
      <c r="E50" s="38"/>
      <c r="F50" s="38"/>
      <c r="G50" s="38"/>
      <c r="H50" s="38"/>
      <c r="I50" s="56">
        <v>41055</v>
      </c>
      <c r="J50" s="26"/>
      <c r="K50" s="37"/>
      <c r="L50" s="37"/>
      <c r="M50" s="60">
        <v>41055</v>
      </c>
    </row>
    <row r="51" spans="1:18" ht="10.199999999999999" customHeight="1" x14ac:dyDescent="0.25">
      <c r="A51" s="6">
        <v>48</v>
      </c>
      <c r="B51" s="7" t="s">
        <v>61</v>
      </c>
      <c r="C51" s="38">
        <v>17946.900000000001</v>
      </c>
      <c r="D51" s="61"/>
      <c r="E51" s="62"/>
      <c r="F51" s="38"/>
      <c r="G51" s="62"/>
      <c r="H51" s="38"/>
      <c r="I51" s="61"/>
      <c r="J51" s="26"/>
      <c r="K51" s="61"/>
      <c r="L51" s="61"/>
      <c r="M51" s="26">
        <v>17946.900000000001</v>
      </c>
    </row>
    <row r="52" spans="1:18" ht="10.199999999999999" customHeight="1" x14ac:dyDescent="0.25">
      <c r="A52" s="6">
        <v>49</v>
      </c>
      <c r="B52" s="10" t="s">
        <v>62</v>
      </c>
      <c r="C52" s="38">
        <v>17946.900000000001</v>
      </c>
      <c r="D52" s="37"/>
      <c r="E52" s="38"/>
      <c r="F52" s="38"/>
      <c r="G52" s="38"/>
      <c r="H52" s="38"/>
      <c r="I52" s="37"/>
      <c r="J52" s="37"/>
      <c r="K52" s="55">
        <v>17243.099999999999</v>
      </c>
      <c r="L52" s="55">
        <v>17360.400000000001</v>
      </c>
      <c r="M52" s="55">
        <v>17301.75</v>
      </c>
    </row>
    <row r="53" spans="1:18" ht="10.199999999999999" customHeight="1" x14ac:dyDescent="0.25">
      <c r="A53" s="6">
        <v>50</v>
      </c>
      <c r="B53" s="10" t="s">
        <v>63</v>
      </c>
      <c r="C53" s="38">
        <v>17946.900000000001</v>
      </c>
      <c r="D53" s="37"/>
      <c r="E53" s="38"/>
      <c r="F53" s="38"/>
      <c r="G53" s="38"/>
      <c r="H53" s="38"/>
      <c r="I53" s="37"/>
      <c r="J53" s="37"/>
      <c r="K53" s="55">
        <v>19941</v>
      </c>
      <c r="L53" s="55">
        <v>29031.75</v>
      </c>
      <c r="M53" s="55">
        <v>24492.240000000002</v>
      </c>
    </row>
    <row r="54" spans="1:18" ht="10.199999999999999" customHeight="1" x14ac:dyDescent="0.25">
      <c r="A54" s="6">
        <v>51</v>
      </c>
      <c r="B54" s="10" t="s">
        <v>64</v>
      </c>
      <c r="C54" s="38"/>
      <c r="D54" s="37">
        <v>37536</v>
      </c>
      <c r="E54" s="38"/>
      <c r="F54" s="38"/>
      <c r="G54" s="38"/>
      <c r="H54" s="38"/>
      <c r="I54" s="37"/>
      <c r="J54" s="52">
        <v>37536</v>
      </c>
      <c r="K54" s="37"/>
      <c r="L54" s="37"/>
      <c r="M54" s="52">
        <v>37536</v>
      </c>
    </row>
    <row r="55" spans="1:18" ht="10.199999999999999" customHeight="1" x14ac:dyDescent="0.25">
      <c r="A55" s="6">
        <v>52</v>
      </c>
      <c r="B55" s="10" t="s">
        <v>65</v>
      </c>
      <c r="C55" s="38"/>
      <c r="D55" s="37"/>
      <c r="E55" s="38"/>
      <c r="F55" s="38"/>
      <c r="G55" s="38"/>
      <c r="H55" s="38"/>
      <c r="I55" s="37"/>
      <c r="J55" s="54"/>
      <c r="K55" s="37"/>
      <c r="L55" s="37"/>
      <c r="M55" s="54">
        <v>21675</v>
      </c>
    </row>
    <row r="56" spans="1:18" s="8" customFormat="1" ht="10.199999999999999" customHeight="1" x14ac:dyDescent="0.25">
      <c r="A56" s="6">
        <v>53</v>
      </c>
      <c r="B56" s="7" t="s">
        <v>66</v>
      </c>
      <c r="C56" s="38">
        <v>19002.599999999999</v>
      </c>
      <c r="D56" s="37">
        <v>31671</v>
      </c>
      <c r="E56" s="38"/>
      <c r="F56" s="38"/>
      <c r="G56" s="38"/>
      <c r="H56" s="38"/>
      <c r="I56" s="37"/>
      <c r="J56" s="26">
        <v>25336.799999999999</v>
      </c>
      <c r="K56" s="37"/>
      <c r="L56" s="37"/>
      <c r="M56" s="26">
        <v>25336.799999999999</v>
      </c>
      <c r="N56" s="4"/>
      <c r="O56" s="4"/>
      <c r="P56" s="4"/>
      <c r="Q56" s="4"/>
      <c r="R56" s="4"/>
    </row>
    <row r="57" spans="1:18" s="8" customFormat="1" ht="10.199999999999999" customHeight="1" x14ac:dyDescent="0.25">
      <c r="A57" s="6">
        <v>54</v>
      </c>
      <c r="B57" s="7" t="s">
        <v>67</v>
      </c>
      <c r="C57" s="38"/>
      <c r="D57" s="37">
        <v>66861</v>
      </c>
      <c r="E57" s="38"/>
      <c r="F57" s="38"/>
      <c r="G57" s="38"/>
      <c r="H57" s="38"/>
      <c r="I57" s="37"/>
      <c r="J57" s="26">
        <v>66861</v>
      </c>
      <c r="K57" s="34">
        <v>36949.5</v>
      </c>
      <c r="L57" s="34">
        <v>37066.800000000003</v>
      </c>
      <c r="M57" s="34">
        <v>37066.800000000003</v>
      </c>
      <c r="N57" s="4"/>
      <c r="O57" s="4"/>
      <c r="P57" s="4"/>
      <c r="Q57" s="4"/>
      <c r="R57" s="4"/>
    </row>
    <row r="58" spans="1:18" ht="10.199999999999999" customHeight="1" x14ac:dyDescent="0.25">
      <c r="A58" s="6">
        <v>55</v>
      </c>
      <c r="B58" s="7" t="s">
        <v>68</v>
      </c>
      <c r="C58" s="38">
        <v>18533.400000000001</v>
      </c>
      <c r="D58" s="61"/>
      <c r="E58" s="62"/>
      <c r="F58" s="38"/>
      <c r="G58" s="62"/>
      <c r="H58" s="38"/>
      <c r="I58" s="61"/>
      <c r="J58" s="26">
        <v>18533.400000000001</v>
      </c>
      <c r="K58" s="61"/>
      <c r="L58" s="61"/>
      <c r="M58" s="26">
        <v>18533.400000000001</v>
      </c>
    </row>
    <row r="59" spans="1:18" x14ac:dyDescent="0.25">
      <c r="A59" s="6">
        <v>56</v>
      </c>
      <c r="B59" s="7" t="s">
        <v>69</v>
      </c>
      <c r="C59" s="38"/>
      <c r="D59" s="61">
        <v>82110</v>
      </c>
      <c r="E59" s="62"/>
      <c r="F59" s="38"/>
      <c r="G59" s="62"/>
      <c r="H59" s="38"/>
      <c r="I59" s="61"/>
      <c r="J59" s="26">
        <v>82110</v>
      </c>
      <c r="K59" s="34">
        <v>46920</v>
      </c>
      <c r="L59" s="34">
        <v>47154.6</v>
      </c>
      <c r="M59" s="52">
        <v>82110</v>
      </c>
    </row>
    <row r="60" spans="1:18" ht="10.199999999999999" customHeight="1" x14ac:dyDescent="0.25">
      <c r="A60" s="6">
        <v>57</v>
      </c>
      <c r="B60" s="7" t="s">
        <v>70</v>
      </c>
      <c r="C60" s="38">
        <v>19119.900000000001</v>
      </c>
      <c r="D60" s="61">
        <v>29676.9</v>
      </c>
      <c r="E60" s="62"/>
      <c r="F60" s="38"/>
      <c r="G60" s="62"/>
      <c r="H60" s="38"/>
      <c r="I60" s="61"/>
      <c r="J60" s="26">
        <v>24398.400000000001</v>
      </c>
      <c r="K60" s="61"/>
      <c r="L60" s="61"/>
      <c r="M60" s="26">
        <v>24398.400000000001</v>
      </c>
    </row>
    <row r="61" spans="1:18" s="4" customFormat="1" x14ac:dyDescent="0.25">
      <c r="A61" s="6">
        <v>58</v>
      </c>
      <c r="B61" s="7" t="s">
        <v>71</v>
      </c>
      <c r="C61" s="38"/>
      <c r="D61" s="61">
        <v>55717.5</v>
      </c>
      <c r="E61" s="62"/>
      <c r="F61" s="38"/>
      <c r="G61" s="62"/>
      <c r="H61" s="38"/>
      <c r="I61" s="61"/>
      <c r="J61" s="26">
        <v>55717.5</v>
      </c>
      <c r="K61" s="63">
        <v>26979</v>
      </c>
      <c r="L61" s="63">
        <v>44691.3</v>
      </c>
      <c r="M61" s="38">
        <v>55717.5</v>
      </c>
    </row>
    <row r="62" spans="1:18" s="4" customFormat="1" ht="10.199999999999999" customHeight="1" x14ac:dyDescent="0.25">
      <c r="A62" s="6">
        <v>59</v>
      </c>
      <c r="B62" s="7" t="s">
        <v>72</v>
      </c>
      <c r="C62" s="38"/>
      <c r="D62" s="61"/>
      <c r="E62" s="62">
        <v>64515</v>
      </c>
      <c r="F62" s="38">
        <v>78591</v>
      </c>
      <c r="G62" s="62">
        <v>70380</v>
      </c>
      <c r="H62" s="62">
        <v>76245</v>
      </c>
      <c r="I62" s="61"/>
      <c r="J62" s="26">
        <v>72432.75</v>
      </c>
      <c r="K62" s="64">
        <v>104103.75</v>
      </c>
      <c r="L62" s="64">
        <v>117300</v>
      </c>
      <c r="M62" s="26">
        <v>71165.91</v>
      </c>
    </row>
    <row r="63" spans="1:18" s="4" customFormat="1" ht="10.199999999999999" customHeight="1" x14ac:dyDescent="0.25">
      <c r="A63" s="6">
        <v>60</v>
      </c>
      <c r="B63" s="7" t="s">
        <v>73</v>
      </c>
      <c r="C63" s="38"/>
      <c r="D63" s="61"/>
      <c r="E63" s="62">
        <v>45160.5</v>
      </c>
      <c r="F63" s="62">
        <v>55013.7</v>
      </c>
      <c r="G63" s="62">
        <v>49266</v>
      </c>
      <c r="H63" s="62">
        <v>53371.5</v>
      </c>
      <c r="I63" s="61"/>
      <c r="J63" s="26">
        <v>50708.79</v>
      </c>
      <c r="K63" s="61"/>
      <c r="L63" s="61"/>
      <c r="M63" s="26">
        <v>49816.14</v>
      </c>
    </row>
    <row r="64" spans="1:18" s="4" customFormat="1" ht="13.2" customHeight="1" x14ac:dyDescent="0.25">
      <c r="A64" s="6">
        <v>61</v>
      </c>
      <c r="B64" s="7" t="s">
        <v>74</v>
      </c>
      <c r="C64" s="38"/>
      <c r="D64" s="65">
        <v>34017</v>
      </c>
      <c r="E64" s="62"/>
      <c r="F64" s="38"/>
      <c r="G64" s="62"/>
      <c r="H64" s="38"/>
      <c r="I64" s="61"/>
      <c r="J64" s="26">
        <v>34017</v>
      </c>
      <c r="K64" s="55">
        <v>34017</v>
      </c>
      <c r="L64" s="55"/>
      <c r="M64" s="45"/>
    </row>
    <row r="65" spans="1:13" s="4" customFormat="1" ht="10.199999999999999" customHeight="1" x14ac:dyDescent="0.25">
      <c r="A65" s="6">
        <v>62</v>
      </c>
      <c r="B65" s="7" t="s">
        <v>75</v>
      </c>
      <c r="C65" s="38"/>
      <c r="D65" s="66">
        <v>41055</v>
      </c>
      <c r="E65" s="62"/>
      <c r="F65" s="38"/>
      <c r="G65" s="62"/>
      <c r="H65" s="38"/>
      <c r="I65" s="61"/>
      <c r="J65" s="26">
        <v>41055</v>
      </c>
      <c r="K65" s="67">
        <v>34017</v>
      </c>
      <c r="L65" s="67"/>
      <c r="M65" s="68"/>
    </row>
    <row r="66" spans="1:13" s="4" customFormat="1" x14ac:dyDescent="0.25">
      <c r="A66" s="6">
        <v>63</v>
      </c>
      <c r="B66" s="7" t="s">
        <v>76</v>
      </c>
      <c r="C66" s="38"/>
      <c r="D66" s="61">
        <v>105570</v>
      </c>
      <c r="E66" s="62">
        <v>52785</v>
      </c>
      <c r="F66" s="62">
        <v>58650</v>
      </c>
      <c r="G66" s="38">
        <v>55717.5</v>
      </c>
      <c r="H66" s="38">
        <v>58650</v>
      </c>
      <c r="I66" s="61"/>
      <c r="J66" s="26">
        <v>56456.49</v>
      </c>
      <c r="K66" s="55">
        <v>70380</v>
      </c>
      <c r="L66" s="55">
        <v>82110</v>
      </c>
      <c r="M66" s="68">
        <v>82110</v>
      </c>
    </row>
    <row r="67" spans="1:13" s="4" customFormat="1" ht="10.199999999999999" customHeight="1" x14ac:dyDescent="0.25">
      <c r="A67" s="6">
        <v>64</v>
      </c>
      <c r="B67" s="7" t="s">
        <v>77</v>
      </c>
      <c r="C67" s="38"/>
      <c r="D67" s="61">
        <v>103224</v>
      </c>
      <c r="E67" s="62">
        <v>50204.4</v>
      </c>
      <c r="F67" s="62">
        <v>56304</v>
      </c>
      <c r="G67" s="38">
        <v>53371.5</v>
      </c>
      <c r="H67" s="62">
        <v>56304</v>
      </c>
      <c r="I67" s="61"/>
      <c r="J67" s="26">
        <v>54051.839999999997</v>
      </c>
      <c r="K67" s="67">
        <v>68034</v>
      </c>
      <c r="L67" s="67">
        <v>73605.75</v>
      </c>
      <c r="M67" s="68">
        <v>70825.740000000005</v>
      </c>
    </row>
    <row r="68" spans="1:13" s="4" customFormat="1" ht="10.199999999999999" customHeight="1" x14ac:dyDescent="0.25">
      <c r="A68" s="6">
        <v>65</v>
      </c>
      <c r="B68" s="7" t="s">
        <v>78</v>
      </c>
      <c r="C68" s="38"/>
      <c r="D68" s="61">
        <v>73899</v>
      </c>
      <c r="E68" s="62">
        <v>29325</v>
      </c>
      <c r="F68" s="62">
        <v>38709</v>
      </c>
      <c r="G68" s="62"/>
      <c r="H68" s="62">
        <v>29325</v>
      </c>
      <c r="I68" s="61"/>
      <c r="J68" s="26">
        <v>32456.91</v>
      </c>
      <c r="K68" s="61"/>
      <c r="L68" s="61"/>
      <c r="M68" s="26">
        <v>32456.91</v>
      </c>
    </row>
    <row r="69" spans="1:13" s="4" customFormat="1" x14ac:dyDescent="0.25">
      <c r="A69" s="6">
        <v>66</v>
      </c>
      <c r="B69" s="7" t="s">
        <v>79</v>
      </c>
      <c r="C69" s="38"/>
      <c r="D69" s="61"/>
      <c r="E69" s="62">
        <v>38709</v>
      </c>
      <c r="F69" s="38"/>
      <c r="G69" s="62"/>
      <c r="H69" s="38"/>
      <c r="I69" s="61"/>
      <c r="J69" s="26">
        <v>38709</v>
      </c>
      <c r="K69" s="71">
        <v>57477</v>
      </c>
      <c r="L69" s="71">
        <v>63576.6</v>
      </c>
      <c r="M69" s="72">
        <v>60526.8</v>
      </c>
    </row>
    <row r="70" spans="1:13" s="4" customFormat="1" ht="11.4" customHeight="1" x14ac:dyDescent="0.25">
      <c r="A70" s="6">
        <v>67</v>
      </c>
      <c r="B70" s="7" t="s">
        <v>80</v>
      </c>
      <c r="C70" s="38"/>
      <c r="D70" s="61"/>
      <c r="E70" s="62"/>
      <c r="F70" s="38"/>
      <c r="G70" s="62"/>
      <c r="H70" s="38"/>
      <c r="I70" s="61"/>
      <c r="J70" s="26"/>
      <c r="K70" s="61"/>
      <c r="L70" s="61"/>
      <c r="M70" s="52">
        <v>42368.76</v>
      </c>
    </row>
    <row r="71" spans="1:13" s="4" customFormat="1" ht="10.199999999999999" customHeight="1" x14ac:dyDescent="0.25">
      <c r="A71" s="6">
        <v>68</v>
      </c>
      <c r="B71" s="7" t="s">
        <v>81</v>
      </c>
      <c r="C71" s="38"/>
      <c r="D71" s="61">
        <v>161874</v>
      </c>
      <c r="E71" s="62">
        <v>73899</v>
      </c>
      <c r="F71" s="62">
        <v>152490</v>
      </c>
      <c r="G71" s="62"/>
      <c r="H71" s="62"/>
      <c r="I71" s="61"/>
      <c r="J71" s="26">
        <v>113194.5</v>
      </c>
      <c r="K71" s="67">
        <v>111435</v>
      </c>
      <c r="L71" s="67">
        <v>201169.5</v>
      </c>
      <c r="M71" s="68">
        <v>135680.91</v>
      </c>
    </row>
    <row r="72" spans="1:13" s="4" customFormat="1" ht="26.4" x14ac:dyDescent="0.25">
      <c r="A72" s="6">
        <v>69</v>
      </c>
      <c r="B72" s="7" t="s">
        <v>82</v>
      </c>
      <c r="C72" s="38"/>
      <c r="D72" s="61"/>
      <c r="E72" s="62"/>
      <c r="F72" s="62"/>
      <c r="G72" s="62"/>
      <c r="H72" s="62"/>
      <c r="I72" s="61"/>
      <c r="J72" s="26"/>
      <c r="K72" s="61"/>
      <c r="L72" s="61"/>
      <c r="M72" s="52">
        <v>31084.5</v>
      </c>
    </row>
    <row r="73" spans="1:13" s="4" customFormat="1" ht="10.199999999999999" customHeight="1" x14ac:dyDescent="0.25">
      <c r="A73" s="6">
        <v>70</v>
      </c>
      <c r="B73" s="7" t="s">
        <v>83</v>
      </c>
      <c r="C73" s="38"/>
      <c r="D73" s="61"/>
      <c r="E73" s="62"/>
      <c r="F73" s="62"/>
      <c r="G73" s="62"/>
      <c r="H73" s="62"/>
      <c r="I73" s="61"/>
      <c r="J73" s="26"/>
      <c r="K73" s="61"/>
      <c r="L73" s="61"/>
      <c r="M73" s="52">
        <v>21759.15</v>
      </c>
    </row>
    <row r="74" spans="1:13" s="4" customFormat="1" ht="10.199999999999999" customHeight="1" x14ac:dyDescent="0.25">
      <c r="A74" s="6">
        <v>71</v>
      </c>
      <c r="B74" s="7" t="s">
        <v>84</v>
      </c>
      <c r="C74" s="38"/>
      <c r="D74" s="61"/>
      <c r="E74" s="62">
        <v>164220</v>
      </c>
      <c r="F74" s="62">
        <v>152490</v>
      </c>
      <c r="G74" s="62">
        <v>164220</v>
      </c>
      <c r="H74" s="62"/>
      <c r="I74" s="61"/>
      <c r="J74" s="26">
        <v>160313.91</v>
      </c>
      <c r="K74" s="61"/>
      <c r="L74" s="61"/>
      <c r="M74" s="26">
        <v>160313.91</v>
      </c>
    </row>
    <row r="75" spans="1:13" s="4" customFormat="1" ht="10.199999999999999" customHeight="1" x14ac:dyDescent="0.25">
      <c r="A75" s="6">
        <v>72</v>
      </c>
      <c r="B75" s="7" t="s">
        <v>85</v>
      </c>
      <c r="C75" s="38"/>
      <c r="D75" s="61"/>
      <c r="E75" s="62">
        <v>114954</v>
      </c>
      <c r="F75" s="62">
        <v>106743</v>
      </c>
      <c r="G75" s="62">
        <v>114954</v>
      </c>
      <c r="H75" s="62"/>
      <c r="I75" s="61"/>
      <c r="J75" s="26">
        <v>112220.91</v>
      </c>
      <c r="K75" s="73">
        <v>109089</v>
      </c>
      <c r="L75" s="61"/>
      <c r="M75" s="26">
        <v>112220.91</v>
      </c>
    </row>
    <row r="76" spans="1:13" s="4" customFormat="1" ht="21.6" customHeight="1" x14ac:dyDescent="0.25">
      <c r="A76" s="6">
        <v>73</v>
      </c>
      <c r="B76" s="17" t="s">
        <v>86</v>
      </c>
      <c r="C76" s="38"/>
      <c r="D76" s="61">
        <v>40233.9</v>
      </c>
      <c r="E76" s="62"/>
      <c r="F76" s="62"/>
      <c r="G76" s="62"/>
      <c r="H76" s="62"/>
      <c r="I76" s="61"/>
      <c r="J76" s="26">
        <v>40233.9</v>
      </c>
      <c r="K76" s="61"/>
      <c r="L76" s="61"/>
      <c r="M76" s="26"/>
    </row>
    <row r="77" spans="1:13" s="4" customFormat="1" ht="10.199999999999999" customHeight="1" x14ac:dyDescent="0.25">
      <c r="A77" s="6">
        <v>74</v>
      </c>
      <c r="B77" s="7" t="s">
        <v>87</v>
      </c>
      <c r="C77" s="38">
        <v>31084.5</v>
      </c>
      <c r="D77" s="65"/>
      <c r="E77" s="62"/>
      <c r="F77" s="62"/>
      <c r="G77" s="62"/>
      <c r="H77" s="62"/>
      <c r="I77" s="61"/>
      <c r="J77" s="26">
        <v>31084.5</v>
      </c>
      <c r="K77" s="61"/>
      <c r="L77" s="61"/>
      <c r="M77" s="52">
        <v>31084.5</v>
      </c>
    </row>
    <row r="78" spans="1:13" s="4" customFormat="1" x14ac:dyDescent="0.25">
      <c r="A78" s="6">
        <v>75</v>
      </c>
      <c r="B78" s="7" t="s">
        <v>88</v>
      </c>
      <c r="C78" s="38"/>
      <c r="D78" s="61"/>
      <c r="E78" s="62">
        <v>73899</v>
      </c>
      <c r="F78" s="62">
        <v>105570</v>
      </c>
      <c r="G78" s="62"/>
      <c r="H78" s="62"/>
      <c r="I78" s="61"/>
      <c r="J78" s="26">
        <v>89734.5</v>
      </c>
      <c r="K78" s="61"/>
      <c r="L78" s="61"/>
      <c r="M78" s="74">
        <v>89734.5</v>
      </c>
    </row>
    <row r="79" spans="1:13" s="4" customFormat="1" ht="26.4" x14ac:dyDescent="0.25">
      <c r="A79" s="6">
        <v>76</v>
      </c>
      <c r="B79" s="17" t="s">
        <v>89</v>
      </c>
      <c r="C79" s="38"/>
      <c r="D79" s="61"/>
      <c r="E79" s="62"/>
      <c r="F79" s="62"/>
      <c r="G79" s="62"/>
      <c r="H79" s="62"/>
      <c r="I79" s="61"/>
      <c r="J79" s="26"/>
      <c r="K79" s="75">
        <v>34603.5</v>
      </c>
      <c r="L79" s="75">
        <v>36644.519999999997</v>
      </c>
      <c r="M79" s="60">
        <v>34603.5</v>
      </c>
    </row>
    <row r="80" spans="1:13" s="4" customFormat="1" ht="26.4" x14ac:dyDescent="0.25">
      <c r="A80" s="6">
        <v>77</v>
      </c>
      <c r="B80" s="17" t="s">
        <v>90</v>
      </c>
      <c r="C80" s="38"/>
      <c r="D80" s="61"/>
      <c r="E80" s="62"/>
      <c r="F80" s="62"/>
      <c r="G80" s="62"/>
      <c r="H80" s="62"/>
      <c r="I80" s="61"/>
      <c r="J80" s="26"/>
      <c r="K80" s="67">
        <v>34017</v>
      </c>
      <c r="L80" s="55"/>
      <c r="M80" s="45"/>
    </row>
    <row r="81" spans="1:13" s="4" customFormat="1" x14ac:dyDescent="0.25">
      <c r="A81" s="6">
        <v>78</v>
      </c>
      <c r="B81" s="7" t="s">
        <v>91</v>
      </c>
      <c r="C81" s="38">
        <v>17477.7</v>
      </c>
      <c r="D81" s="65"/>
      <c r="E81" s="62"/>
      <c r="F81" s="62"/>
      <c r="G81" s="62"/>
      <c r="H81" s="62"/>
      <c r="I81" s="61"/>
      <c r="J81" s="61"/>
      <c r="K81" s="67">
        <v>35190</v>
      </c>
      <c r="L81" s="55">
        <v>69265.649999999994</v>
      </c>
      <c r="M81" s="67">
        <v>52233.69</v>
      </c>
    </row>
  </sheetData>
  <mergeCells count="12">
    <mergeCell ref="M1:M3"/>
    <mergeCell ref="C2:C3"/>
    <mergeCell ref="D2:D3"/>
    <mergeCell ref="E2:E3"/>
    <mergeCell ref="F2:F3"/>
    <mergeCell ref="G2:G3"/>
    <mergeCell ref="H2:H3"/>
    <mergeCell ref="I2:I3"/>
    <mergeCell ref="K2:L2"/>
    <mergeCell ref="A1:A3"/>
    <mergeCell ref="B1:B3"/>
    <mergeCell ref="J1:J3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81"/>
  <sheetViews>
    <sheetView workbookViewId="0">
      <selection sqref="A1:A3"/>
    </sheetView>
  </sheetViews>
  <sheetFormatPr defaultRowHeight="13.2" x14ac:dyDescent="0.25"/>
  <cols>
    <col min="1" max="1" width="5.33203125" style="4" customWidth="1"/>
    <col min="2" max="2" width="62.88671875" style="4" customWidth="1"/>
    <col min="3" max="3" width="10.6640625" style="4" customWidth="1"/>
    <col min="4" max="4" width="15.33203125" style="4" customWidth="1"/>
    <col min="5" max="5" width="11.5546875" style="4" customWidth="1"/>
    <col min="6" max="6" width="10.109375" style="4" customWidth="1"/>
    <col min="7" max="8" width="10.5546875" style="4" customWidth="1"/>
    <col min="9" max="9" width="9.88671875" style="4" customWidth="1"/>
    <col min="10" max="10" width="12.109375" style="4" customWidth="1"/>
    <col min="11" max="11" width="10.6640625" style="4" customWidth="1"/>
    <col min="12" max="12" width="12.5546875" style="4" customWidth="1"/>
    <col min="13" max="13" width="14.109375" style="4" customWidth="1"/>
  </cols>
  <sheetData>
    <row r="1" spans="1:13" ht="10.199999999999999" customHeight="1" x14ac:dyDescent="0.25">
      <c r="A1" s="104" t="s">
        <v>0</v>
      </c>
      <c r="B1" s="109" t="s">
        <v>1</v>
      </c>
      <c r="C1" s="12"/>
      <c r="D1" s="13"/>
      <c r="E1" s="13"/>
      <c r="F1" s="11"/>
      <c r="G1" s="5"/>
      <c r="H1" s="5"/>
      <c r="I1" s="5"/>
      <c r="J1" s="112" t="s">
        <v>2</v>
      </c>
      <c r="K1" s="16"/>
      <c r="L1" s="5"/>
      <c r="M1" s="112" t="s">
        <v>3</v>
      </c>
    </row>
    <row r="2" spans="1:13" ht="22.2" customHeight="1" x14ac:dyDescent="0.25">
      <c r="A2" s="108"/>
      <c r="B2" s="110"/>
      <c r="C2" s="102" t="s">
        <v>4</v>
      </c>
      <c r="D2" s="104" t="s">
        <v>5</v>
      </c>
      <c r="E2" s="102" t="s">
        <v>6</v>
      </c>
      <c r="F2" s="102" t="s">
        <v>7</v>
      </c>
      <c r="G2" s="102" t="s">
        <v>8</v>
      </c>
      <c r="H2" s="102" t="s">
        <v>9</v>
      </c>
      <c r="I2" s="104" t="s">
        <v>10</v>
      </c>
      <c r="J2" s="113"/>
      <c r="K2" s="117" t="s">
        <v>93</v>
      </c>
      <c r="L2" s="118"/>
      <c r="M2" s="113"/>
    </row>
    <row r="3" spans="1:13" ht="34.799999999999997" customHeight="1" x14ac:dyDescent="0.25">
      <c r="A3" s="105"/>
      <c r="B3" s="111"/>
      <c r="C3" s="103"/>
      <c r="D3" s="105"/>
      <c r="E3" s="103"/>
      <c r="F3" s="103" t="s">
        <v>7</v>
      </c>
      <c r="G3" s="103"/>
      <c r="H3" s="103" t="s">
        <v>7</v>
      </c>
      <c r="I3" s="105"/>
      <c r="J3" s="114"/>
      <c r="K3" s="20" t="s">
        <v>94</v>
      </c>
      <c r="L3" s="20" t="s">
        <v>13</v>
      </c>
      <c r="M3" s="114"/>
    </row>
    <row r="4" spans="1:13" ht="10.199999999999999" customHeight="1" x14ac:dyDescent="0.25">
      <c r="A4" s="6">
        <v>1</v>
      </c>
      <c r="B4" s="9" t="s">
        <v>14</v>
      </c>
      <c r="C4" s="23"/>
      <c r="D4" s="24"/>
      <c r="E4" s="25">
        <v>750720</v>
      </c>
      <c r="F4" s="25">
        <v>768315</v>
      </c>
      <c r="G4" s="25">
        <v>762450</v>
      </c>
      <c r="H4" s="25">
        <v>797640</v>
      </c>
      <c r="I4" s="24"/>
      <c r="J4" s="26">
        <v>769781.25</v>
      </c>
      <c r="K4" s="39">
        <v>821100</v>
      </c>
      <c r="L4" s="39">
        <v>835176</v>
      </c>
      <c r="M4" s="40">
        <v>828138</v>
      </c>
    </row>
    <row r="5" spans="1:13" ht="10.199999999999999" customHeight="1" x14ac:dyDescent="0.25">
      <c r="A5" s="6">
        <f>A4+1</f>
        <v>2</v>
      </c>
      <c r="B5" s="9" t="s">
        <v>15</v>
      </c>
      <c r="C5" s="23"/>
      <c r="D5" s="24"/>
      <c r="E5" s="25">
        <v>727260</v>
      </c>
      <c r="F5" s="25">
        <v>762450</v>
      </c>
      <c r="G5" s="25">
        <v>750720</v>
      </c>
      <c r="H5" s="25">
        <v>785910</v>
      </c>
      <c r="I5" s="24"/>
      <c r="J5" s="26">
        <v>756585</v>
      </c>
      <c r="K5" s="24"/>
      <c r="L5" s="24"/>
      <c r="M5" s="26"/>
    </row>
    <row r="6" spans="1:13" ht="10.199999999999999" customHeight="1" x14ac:dyDescent="0.25">
      <c r="A6" s="6">
        <f t="shared" ref="A6:A69" si="0">A5+1</f>
        <v>3</v>
      </c>
      <c r="B6" s="2" t="s">
        <v>16</v>
      </c>
      <c r="C6" s="29"/>
      <c r="D6" s="24"/>
      <c r="E6" s="25">
        <v>609960</v>
      </c>
      <c r="F6" s="25"/>
      <c r="G6" s="30">
        <v>668610</v>
      </c>
      <c r="H6" s="25"/>
      <c r="I6" s="24"/>
      <c r="J6" s="26">
        <v>639285</v>
      </c>
      <c r="K6" s="78">
        <v>774180</v>
      </c>
      <c r="L6" s="78">
        <v>859222.5</v>
      </c>
      <c r="M6" s="40">
        <v>816701.25</v>
      </c>
    </row>
    <row r="7" spans="1:13" ht="10.199999999999999" customHeight="1" x14ac:dyDescent="0.25">
      <c r="A7" s="6">
        <f t="shared" si="0"/>
        <v>4</v>
      </c>
      <c r="B7" s="2" t="s">
        <v>17</v>
      </c>
      <c r="C7" s="29"/>
      <c r="D7" s="24"/>
      <c r="E7" s="25">
        <v>633420</v>
      </c>
      <c r="F7" s="25">
        <v>692070</v>
      </c>
      <c r="G7" s="25">
        <v>645150</v>
      </c>
      <c r="H7" s="32"/>
      <c r="I7" s="24"/>
      <c r="J7" s="26">
        <v>656880</v>
      </c>
      <c r="K7" s="39">
        <v>750720</v>
      </c>
      <c r="L7" s="39">
        <v>757758</v>
      </c>
      <c r="M7" s="40">
        <v>754239</v>
      </c>
    </row>
    <row r="8" spans="1:13" ht="10.199999999999999" customHeight="1" x14ac:dyDescent="0.25">
      <c r="A8" s="6">
        <f t="shared" si="0"/>
        <v>5</v>
      </c>
      <c r="B8" s="2" t="s">
        <v>18</v>
      </c>
      <c r="C8" s="29"/>
      <c r="D8" s="24"/>
      <c r="E8" s="25">
        <v>525504</v>
      </c>
      <c r="F8" s="25">
        <v>537820.5</v>
      </c>
      <c r="G8" s="25">
        <v>533715</v>
      </c>
      <c r="H8" s="25">
        <v>558348</v>
      </c>
      <c r="I8" s="24"/>
      <c r="J8" s="26">
        <v>538852.74</v>
      </c>
      <c r="K8" s="24"/>
      <c r="L8" s="24"/>
      <c r="M8" s="42"/>
    </row>
    <row r="9" spans="1:13" ht="10.199999999999999" customHeight="1" x14ac:dyDescent="0.25">
      <c r="A9" s="6">
        <f t="shared" si="0"/>
        <v>6</v>
      </c>
      <c r="B9" s="2" t="s">
        <v>19</v>
      </c>
      <c r="C9" s="29"/>
      <c r="D9" s="24"/>
      <c r="E9" s="25">
        <v>442901.34</v>
      </c>
      <c r="F9" s="25">
        <v>464332.05</v>
      </c>
      <c r="G9" s="25">
        <v>457188.48</v>
      </c>
      <c r="H9" s="25">
        <v>478619.19</v>
      </c>
      <c r="I9" s="24"/>
      <c r="J9" s="26">
        <v>460766.13</v>
      </c>
      <c r="K9" s="79">
        <v>480930</v>
      </c>
      <c r="L9" s="79">
        <v>507909</v>
      </c>
      <c r="M9" s="80">
        <v>494419.5</v>
      </c>
    </row>
    <row r="10" spans="1:13" ht="10.199999999999999" customHeight="1" x14ac:dyDescent="0.25">
      <c r="A10" s="6">
        <f t="shared" si="0"/>
        <v>7</v>
      </c>
      <c r="B10" s="14" t="s">
        <v>20</v>
      </c>
      <c r="C10" s="29"/>
      <c r="D10" s="24"/>
      <c r="E10" s="30">
        <v>633420</v>
      </c>
      <c r="F10" s="25">
        <v>375360</v>
      </c>
      <c r="G10" s="25"/>
      <c r="H10" s="25"/>
      <c r="I10" s="24"/>
      <c r="J10" s="26">
        <v>504390</v>
      </c>
      <c r="K10" s="24"/>
      <c r="L10" s="24"/>
      <c r="M10" s="26"/>
    </row>
    <row r="11" spans="1:13" ht="10.199999999999999" customHeight="1" x14ac:dyDescent="0.25">
      <c r="A11" s="6">
        <f t="shared" si="0"/>
        <v>8</v>
      </c>
      <c r="B11" s="2" t="s">
        <v>21</v>
      </c>
      <c r="C11" s="29"/>
      <c r="D11" s="24"/>
      <c r="E11" s="25">
        <v>290904</v>
      </c>
      <c r="F11" s="25">
        <v>304980</v>
      </c>
      <c r="G11" s="25">
        <v>300288</v>
      </c>
      <c r="H11" s="25">
        <v>314364</v>
      </c>
      <c r="I11" s="24"/>
      <c r="J11" s="26">
        <v>302634</v>
      </c>
      <c r="K11" s="41">
        <v>315537</v>
      </c>
      <c r="L11" s="41">
        <v>316710</v>
      </c>
      <c r="M11" s="26"/>
    </row>
    <row r="12" spans="1:13" ht="10.199999999999999" customHeight="1" x14ac:dyDescent="0.25">
      <c r="A12" s="6">
        <f t="shared" si="0"/>
        <v>9</v>
      </c>
      <c r="B12" s="2" t="s">
        <v>22</v>
      </c>
      <c r="C12" s="29"/>
      <c r="D12" s="24"/>
      <c r="E12" s="25">
        <v>429318</v>
      </c>
      <c r="F12" s="25">
        <v>643977</v>
      </c>
      <c r="G12" s="25">
        <v>590312.25</v>
      </c>
      <c r="H12" s="25">
        <v>643977</v>
      </c>
      <c r="I12" s="24"/>
      <c r="J12" s="26">
        <v>576904.86</v>
      </c>
      <c r="K12" s="34">
        <v>656880</v>
      </c>
      <c r="L12" s="34">
        <v>659226</v>
      </c>
      <c r="M12" s="26"/>
    </row>
    <row r="13" spans="1:13" ht="10.199999999999999" customHeight="1" x14ac:dyDescent="0.25">
      <c r="A13" s="6">
        <f t="shared" si="0"/>
        <v>10</v>
      </c>
      <c r="B13" s="2" t="s">
        <v>23</v>
      </c>
      <c r="C13" s="29"/>
      <c r="D13" s="24"/>
      <c r="E13" s="25">
        <v>235773</v>
      </c>
      <c r="F13" s="25">
        <v>471546</v>
      </c>
      <c r="G13" s="25">
        <v>432250.5</v>
      </c>
      <c r="H13" s="25">
        <v>275068.5</v>
      </c>
      <c r="I13" s="24"/>
      <c r="J13" s="26">
        <v>353659.5</v>
      </c>
      <c r="K13" s="35">
        <v>422280</v>
      </c>
      <c r="L13" s="35">
        <v>423453</v>
      </c>
      <c r="M13" s="26"/>
    </row>
    <row r="14" spans="1:13" ht="10.199999999999999" customHeight="1" x14ac:dyDescent="0.25">
      <c r="A14" s="6">
        <f t="shared" si="0"/>
        <v>11</v>
      </c>
      <c r="B14" s="2" t="s">
        <v>24</v>
      </c>
      <c r="C14" s="29"/>
      <c r="D14" s="24"/>
      <c r="E14" s="25">
        <v>117300</v>
      </c>
      <c r="F14" s="25">
        <v>143106</v>
      </c>
      <c r="G14" s="25">
        <v>117300</v>
      </c>
      <c r="H14" s="25">
        <v>140760</v>
      </c>
      <c r="I14" s="24"/>
      <c r="J14" s="26">
        <v>129616.5</v>
      </c>
      <c r="K14" s="39">
        <v>153663</v>
      </c>
      <c r="L14" s="39"/>
      <c r="M14" s="40">
        <v>153663</v>
      </c>
    </row>
    <row r="15" spans="1:13" ht="10.199999999999999" customHeight="1" x14ac:dyDescent="0.25">
      <c r="A15" s="6">
        <f t="shared" si="0"/>
        <v>12</v>
      </c>
      <c r="B15" s="2" t="s">
        <v>25</v>
      </c>
      <c r="C15" s="36"/>
      <c r="D15" s="37"/>
      <c r="E15" s="38">
        <v>105570</v>
      </c>
      <c r="F15" s="25"/>
      <c r="G15" s="25">
        <v>152490</v>
      </c>
      <c r="H15" s="38"/>
      <c r="I15" s="24"/>
      <c r="J15" s="26">
        <v>129030</v>
      </c>
      <c r="K15" s="39">
        <v>129030</v>
      </c>
      <c r="L15" s="39">
        <v>199410</v>
      </c>
      <c r="M15" s="40">
        <v>164220</v>
      </c>
    </row>
    <row r="16" spans="1:13" s="15" customFormat="1" ht="10.199999999999999" customHeight="1" x14ac:dyDescent="0.25">
      <c r="A16" s="6">
        <f t="shared" si="0"/>
        <v>13</v>
      </c>
      <c r="B16" s="2" t="s">
        <v>26</v>
      </c>
      <c r="C16" s="36"/>
      <c r="D16" s="37"/>
      <c r="E16" s="38">
        <v>70380</v>
      </c>
      <c r="F16" s="25">
        <v>75072</v>
      </c>
      <c r="G16" s="25">
        <v>64515</v>
      </c>
      <c r="H16" s="38">
        <v>76245</v>
      </c>
      <c r="I16" s="24"/>
      <c r="J16" s="26">
        <v>71553</v>
      </c>
      <c r="K16" s="39">
        <v>85629</v>
      </c>
      <c r="L16" s="39">
        <v>86215.5</v>
      </c>
      <c r="M16" s="40">
        <v>85922.25</v>
      </c>
    </row>
    <row r="17" spans="1:13" ht="10.199999999999999" customHeight="1" x14ac:dyDescent="0.25">
      <c r="A17" s="6">
        <f t="shared" si="0"/>
        <v>14</v>
      </c>
      <c r="B17" s="2" t="s">
        <v>27</v>
      </c>
      <c r="C17" s="36"/>
      <c r="D17" s="37"/>
      <c r="E17" s="38"/>
      <c r="F17" s="25"/>
      <c r="G17" s="25"/>
      <c r="H17" s="38"/>
      <c r="I17" s="24"/>
      <c r="J17" s="26"/>
      <c r="K17" s="41">
        <v>51612</v>
      </c>
      <c r="L17" s="41">
        <v>51846.6</v>
      </c>
      <c r="M17" s="42">
        <v>51729.3</v>
      </c>
    </row>
    <row r="18" spans="1:13" ht="21.6" customHeight="1" x14ac:dyDescent="0.25">
      <c r="A18" s="6">
        <f t="shared" si="0"/>
        <v>15</v>
      </c>
      <c r="B18" s="2" t="s">
        <v>28</v>
      </c>
      <c r="C18" s="36"/>
      <c r="D18" s="37"/>
      <c r="E18" s="38">
        <v>117300</v>
      </c>
      <c r="F18" s="38">
        <v>143106</v>
      </c>
      <c r="G18" s="38">
        <v>117300</v>
      </c>
      <c r="H18" s="38">
        <v>140760</v>
      </c>
      <c r="I18" s="24"/>
      <c r="J18" s="26">
        <v>129616.5</v>
      </c>
      <c r="K18" s="39">
        <v>129030</v>
      </c>
      <c r="L18" s="39">
        <v>130203</v>
      </c>
      <c r="M18" s="40">
        <v>129616.5</v>
      </c>
    </row>
    <row r="19" spans="1:13" ht="12" customHeight="1" x14ac:dyDescent="0.25">
      <c r="A19" s="6">
        <f t="shared" si="0"/>
        <v>16</v>
      </c>
      <c r="B19" s="2" t="s">
        <v>29</v>
      </c>
      <c r="C19" s="36"/>
      <c r="D19" s="37"/>
      <c r="E19" s="38">
        <v>197064</v>
      </c>
      <c r="F19" s="38">
        <v>204453.9</v>
      </c>
      <c r="G19" s="38">
        <v>197064</v>
      </c>
      <c r="H19" s="38">
        <v>201990.6</v>
      </c>
      <c r="I19" s="24"/>
      <c r="J19" s="26">
        <v>200148.99</v>
      </c>
      <c r="K19" s="43">
        <v>134895</v>
      </c>
      <c r="L19" s="43">
        <v>175950</v>
      </c>
      <c r="M19" s="26"/>
    </row>
    <row r="20" spans="1:13" ht="10.199999999999999" customHeight="1" x14ac:dyDescent="0.25">
      <c r="A20" s="6">
        <f t="shared" si="0"/>
        <v>17</v>
      </c>
      <c r="B20" s="2" t="s">
        <v>30</v>
      </c>
      <c r="C20" s="36"/>
      <c r="D20" s="37"/>
      <c r="E20" s="38">
        <v>469200</v>
      </c>
      <c r="F20" s="25">
        <v>486795</v>
      </c>
      <c r="G20" s="25">
        <v>469200</v>
      </c>
      <c r="H20" s="38">
        <v>480930</v>
      </c>
      <c r="I20" s="24"/>
      <c r="J20" s="26">
        <v>476531.25</v>
      </c>
      <c r="K20" s="39">
        <v>551310</v>
      </c>
      <c r="L20" s="39">
        <v>554829</v>
      </c>
      <c r="M20" s="40">
        <v>553069.5</v>
      </c>
    </row>
    <row r="21" spans="1:13" ht="10.199999999999999" customHeight="1" x14ac:dyDescent="0.25">
      <c r="A21" s="6">
        <f t="shared" si="0"/>
        <v>18</v>
      </c>
      <c r="B21" s="2" t="s">
        <v>31</v>
      </c>
      <c r="C21" s="36"/>
      <c r="D21" s="37"/>
      <c r="E21" s="38">
        <v>410550</v>
      </c>
      <c r="F21" s="25">
        <v>428145</v>
      </c>
      <c r="G21" s="25">
        <v>422280</v>
      </c>
      <c r="H21" s="38">
        <v>422280</v>
      </c>
      <c r="I21" s="24"/>
      <c r="J21" s="26">
        <v>420813.75</v>
      </c>
      <c r="K21" s="39">
        <v>486795</v>
      </c>
      <c r="L21" s="39">
        <v>504390</v>
      </c>
      <c r="M21" s="40">
        <v>495592.5</v>
      </c>
    </row>
    <row r="22" spans="1:13" ht="10.199999999999999" customHeight="1" x14ac:dyDescent="0.25">
      <c r="A22" s="6">
        <f t="shared" si="0"/>
        <v>19</v>
      </c>
      <c r="B22" s="2" t="s">
        <v>32</v>
      </c>
      <c r="C22" s="36"/>
      <c r="D22" s="37"/>
      <c r="E22" s="38">
        <v>480930</v>
      </c>
      <c r="F22" s="38">
        <v>492660</v>
      </c>
      <c r="G22" s="38">
        <v>504390</v>
      </c>
      <c r="H22" s="38">
        <v>498525</v>
      </c>
      <c r="I22" s="24"/>
      <c r="J22" s="26">
        <v>494126.25</v>
      </c>
      <c r="K22" s="81">
        <v>491487</v>
      </c>
      <c r="L22" s="81">
        <v>498525</v>
      </c>
      <c r="M22" s="40">
        <v>507322.5</v>
      </c>
    </row>
    <row r="23" spans="1:13" ht="10.199999999999999" customHeight="1" x14ac:dyDescent="0.25">
      <c r="A23" s="6">
        <f t="shared" si="0"/>
        <v>20</v>
      </c>
      <c r="B23" s="2" t="s">
        <v>33</v>
      </c>
      <c r="C23" s="36"/>
      <c r="D23" s="37"/>
      <c r="E23" s="38">
        <v>422280</v>
      </c>
      <c r="F23" s="38">
        <v>428145</v>
      </c>
      <c r="G23" s="38">
        <v>469200</v>
      </c>
      <c r="H23" s="38">
        <v>439875</v>
      </c>
      <c r="I23" s="24"/>
      <c r="J23" s="26">
        <v>439875</v>
      </c>
      <c r="K23" s="46">
        <v>383571</v>
      </c>
      <c r="L23" s="46">
        <v>521398.5</v>
      </c>
      <c r="M23" s="26"/>
    </row>
    <row r="24" spans="1:13" ht="10.199999999999999" customHeight="1" x14ac:dyDescent="0.25">
      <c r="A24" s="6">
        <f t="shared" si="0"/>
        <v>21</v>
      </c>
      <c r="B24" s="1" t="s">
        <v>34</v>
      </c>
      <c r="C24" s="47"/>
      <c r="D24" s="37"/>
      <c r="E24" s="38">
        <v>469200</v>
      </c>
      <c r="F24" s="25">
        <v>492660</v>
      </c>
      <c r="G24" s="25">
        <v>457470</v>
      </c>
      <c r="H24" s="38">
        <v>480930</v>
      </c>
      <c r="I24" s="24"/>
      <c r="J24" s="26">
        <v>475065</v>
      </c>
      <c r="K24" s="35">
        <v>551310</v>
      </c>
      <c r="L24" s="35">
        <v>554829</v>
      </c>
      <c r="M24" s="76">
        <v>553069.5</v>
      </c>
    </row>
    <row r="25" spans="1:13" ht="10.199999999999999" customHeight="1" x14ac:dyDescent="0.25">
      <c r="A25" s="6">
        <f t="shared" si="0"/>
        <v>22</v>
      </c>
      <c r="B25" s="2" t="s">
        <v>35</v>
      </c>
      <c r="C25" s="36"/>
      <c r="D25" s="37"/>
      <c r="E25" s="38">
        <v>586500</v>
      </c>
      <c r="F25" s="25">
        <v>574770</v>
      </c>
      <c r="G25" s="25">
        <v>586500</v>
      </c>
      <c r="H25" s="38">
        <v>598230</v>
      </c>
      <c r="I25" s="24"/>
      <c r="J25" s="26">
        <v>586500</v>
      </c>
      <c r="K25" s="81">
        <v>570078</v>
      </c>
      <c r="L25" s="81">
        <v>627555</v>
      </c>
      <c r="M25" s="82">
        <v>598816.5</v>
      </c>
    </row>
    <row r="26" spans="1:13" ht="10.8" customHeight="1" x14ac:dyDescent="0.25">
      <c r="A26" s="6">
        <f t="shared" si="0"/>
        <v>23</v>
      </c>
      <c r="B26" s="2" t="s">
        <v>36</v>
      </c>
      <c r="C26" s="36"/>
      <c r="D26" s="37"/>
      <c r="E26" s="38">
        <v>586500</v>
      </c>
      <c r="F26" s="25">
        <v>586500</v>
      </c>
      <c r="G26" s="25">
        <v>609960</v>
      </c>
      <c r="H26" s="38"/>
      <c r="I26" s="24"/>
      <c r="J26" s="26">
        <v>594323.91</v>
      </c>
      <c r="K26" s="35">
        <v>699108</v>
      </c>
      <c r="L26" s="35">
        <v>781218</v>
      </c>
      <c r="M26" s="76">
        <v>740163</v>
      </c>
    </row>
    <row r="27" spans="1:13" ht="10.199999999999999" customHeight="1" x14ac:dyDescent="0.25">
      <c r="A27" s="6">
        <f t="shared" si="0"/>
        <v>24</v>
      </c>
      <c r="B27" s="2" t="s">
        <v>37</v>
      </c>
      <c r="C27" s="36"/>
      <c r="D27" s="37"/>
      <c r="E27" s="38">
        <v>527850</v>
      </c>
      <c r="F27" s="25">
        <v>504390</v>
      </c>
      <c r="G27" s="25">
        <v>539580</v>
      </c>
      <c r="H27" s="38"/>
      <c r="I27" s="24"/>
      <c r="J27" s="26">
        <v>523943.91</v>
      </c>
      <c r="K27" s="39">
        <v>668610</v>
      </c>
      <c r="L27" s="39">
        <v>703800</v>
      </c>
      <c r="M27" s="40">
        <v>686205</v>
      </c>
    </row>
    <row r="28" spans="1:13" ht="10.199999999999999" customHeight="1" x14ac:dyDescent="0.25">
      <c r="A28" s="6">
        <f t="shared" si="0"/>
        <v>25</v>
      </c>
      <c r="B28" s="2" t="s">
        <v>38</v>
      </c>
      <c r="C28" s="36"/>
      <c r="D28" s="37"/>
      <c r="E28" s="38">
        <v>2287350</v>
      </c>
      <c r="F28" s="25">
        <v>2029290</v>
      </c>
      <c r="G28" s="25">
        <v>2111400</v>
      </c>
      <c r="H28" s="38">
        <v>2111400</v>
      </c>
      <c r="I28" s="24"/>
      <c r="J28" s="26">
        <v>2134860</v>
      </c>
      <c r="K28" s="39">
        <v>2087940</v>
      </c>
      <c r="L28" s="39">
        <v>2557140</v>
      </c>
      <c r="M28" s="40">
        <v>2322540</v>
      </c>
    </row>
    <row r="29" spans="1:13" ht="10.199999999999999" customHeight="1" x14ac:dyDescent="0.25">
      <c r="A29" s="6">
        <f t="shared" si="0"/>
        <v>26</v>
      </c>
      <c r="B29" s="2" t="s">
        <v>39</v>
      </c>
      <c r="C29" s="36"/>
      <c r="D29" s="37"/>
      <c r="E29" s="38">
        <v>2228700</v>
      </c>
      <c r="F29" s="25">
        <v>2029290</v>
      </c>
      <c r="G29" s="25">
        <v>2052750</v>
      </c>
      <c r="H29" s="38">
        <v>2052750</v>
      </c>
      <c r="I29" s="24"/>
      <c r="J29" s="26">
        <v>2090872.5</v>
      </c>
      <c r="K29" s="35">
        <v>1958910</v>
      </c>
      <c r="L29" s="35">
        <v>2370633</v>
      </c>
      <c r="M29" s="76">
        <v>2164771.5</v>
      </c>
    </row>
    <row r="30" spans="1:13" ht="10.199999999999999" customHeight="1" x14ac:dyDescent="0.25">
      <c r="A30" s="6">
        <f t="shared" si="0"/>
        <v>27</v>
      </c>
      <c r="B30" s="2" t="s">
        <v>40</v>
      </c>
      <c r="C30" s="36"/>
      <c r="D30" s="37"/>
      <c r="E30" s="38">
        <v>2463300</v>
      </c>
      <c r="F30" s="25">
        <v>2052750</v>
      </c>
      <c r="G30" s="25">
        <v>2170050</v>
      </c>
      <c r="H30" s="38"/>
      <c r="I30" s="24"/>
      <c r="J30" s="26">
        <v>2228700</v>
      </c>
      <c r="K30" s="83">
        <v>913767</v>
      </c>
      <c r="L30" s="41">
        <v>2244340</v>
      </c>
      <c r="M30" s="26">
        <v>2241994</v>
      </c>
    </row>
    <row r="31" spans="1:13" ht="10.199999999999999" customHeight="1" x14ac:dyDescent="0.25">
      <c r="A31" s="6">
        <f t="shared" si="0"/>
        <v>28</v>
      </c>
      <c r="B31" s="2" t="s">
        <v>41</v>
      </c>
      <c r="C31" s="36"/>
      <c r="D31" s="37"/>
      <c r="E31" s="38">
        <v>1847475</v>
      </c>
      <c r="F31" s="38">
        <v>1539562.5</v>
      </c>
      <c r="G31" s="38">
        <v>1627537.5</v>
      </c>
      <c r="H31" s="38"/>
      <c r="I31" s="24"/>
      <c r="J31" s="26">
        <v>1671525</v>
      </c>
      <c r="K31" s="39">
        <v>1679736</v>
      </c>
      <c r="L31" s="39">
        <v>1683255</v>
      </c>
      <c r="M31" s="40">
        <v>1681495.5</v>
      </c>
    </row>
    <row r="32" spans="1:13" ht="10.199999999999999" customHeight="1" x14ac:dyDescent="0.25">
      <c r="A32" s="6">
        <f t="shared" si="0"/>
        <v>29</v>
      </c>
      <c r="B32" s="2" t="s">
        <v>42</v>
      </c>
      <c r="C32" s="36"/>
      <c r="D32" s="37"/>
      <c r="E32" s="38">
        <v>469200</v>
      </c>
      <c r="F32" s="25">
        <v>410550</v>
      </c>
      <c r="G32" s="25">
        <v>434010</v>
      </c>
      <c r="H32" s="38"/>
      <c r="I32" s="24"/>
      <c r="J32" s="26">
        <v>437927.82</v>
      </c>
      <c r="K32" s="50">
        <v>297942</v>
      </c>
      <c r="L32" s="50">
        <v>916113</v>
      </c>
      <c r="M32" s="26"/>
    </row>
    <row r="33" spans="1:13" ht="10.199999999999999" customHeight="1" x14ac:dyDescent="0.25">
      <c r="A33" s="6">
        <f t="shared" si="0"/>
        <v>30</v>
      </c>
      <c r="B33" s="2" t="s">
        <v>43</v>
      </c>
      <c r="C33" s="36"/>
      <c r="D33" s="37"/>
      <c r="E33" s="25">
        <v>351900</v>
      </c>
      <c r="F33" s="25">
        <v>307912.5</v>
      </c>
      <c r="G33" s="25">
        <v>325507.5</v>
      </c>
      <c r="H33" s="38"/>
      <c r="I33" s="24"/>
      <c r="J33" s="26">
        <v>328440</v>
      </c>
      <c r="K33" s="84">
        <v>263925</v>
      </c>
      <c r="L33" s="84">
        <v>272136</v>
      </c>
      <c r="M33" s="26"/>
    </row>
    <row r="34" spans="1:13" ht="10.199999999999999" customHeight="1" x14ac:dyDescent="0.25">
      <c r="A34" s="6">
        <f t="shared" si="0"/>
        <v>31</v>
      </c>
      <c r="B34" s="2" t="s">
        <v>44</v>
      </c>
      <c r="C34" s="36"/>
      <c r="D34" s="37"/>
      <c r="E34" s="38">
        <v>70380</v>
      </c>
      <c r="F34" s="25">
        <v>55834.8</v>
      </c>
      <c r="G34" s="25">
        <v>62403.6</v>
      </c>
      <c r="H34" s="38"/>
      <c r="I34" s="24"/>
      <c r="J34" s="26">
        <v>62872.800000000003</v>
      </c>
      <c r="K34" s="35">
        <v>79764</v>
      </c>
      <c r="L34" s="35">
        <v>94426.5</v>
      </c>
      <c r="M34" s="51">
        <v>87095.25</v>
      </c>
    </row>
    <row r="35" spans="1:13" ht="10.199999999999999" customHeight="1" x14ac:dyDescent="0.25">
      <c r="A35" s="6">
        <f t="shared" si="0"/>
        <v>32</v>
      </c>
      <c r="B35" s="2" t="s">
        <v>45</v>
      </c>
      <c r="C35" s="36"/>
      <c r="D35" s="37"/>
      <c r="E35" s="38">
        <v>187680</v>
      </c>
      <c r="F35" s="25">
        <v>187680</v>
      </c>
      <c r="G35" s="25"/>
      <c r="H35" s="38"/>
      <c r="I35" s="24"/>
      <c r="J35" s="26">
        <v>187680</v>
      </c>
      <c r="K35" s="24"/>
      <c r="L35" s="24"/>
      <c r="M35" s="26">
        <v>187680</v>
      </c>
    </row>
    <row r="36" spans="1:13" ht="10.199999999999999" customHeight="1" x14ac:dyDescent="0.25">
      <c r="A36" s="6">
        <f t="shared" si="0"/>
        <v>33</v>
      </c>
      <c r="B36" s="2" t="s">
        <v>46</v>
      </c>
      <c r="C36" s="36"/>
      <c r="D36" s="37"/>
      <c r="E36" s="38">
        <v>304980</v>
      </c>
      <c r="F36" s="25"/>
      <c r="G36" s="25">
        <v>316710</v>
      </c>
      <c r="H36" s="38"/>
      <c r="I36" s="24"/>
      <c r="J36" s="26">
        <v>310845</v>
      </c>
      <c r="K36" s="85">
        <v>158355</v>
      </c>
      <c r="L36" s="37"/>
      <c r="M36" s="26">
        <v>310845</v>
      </c>
    </row>
    <row r="37" spans="1:13" ht="10.199999999999999" customHeight="1" x14ac:dyDescent="0.25">
      <c r="A37" s="6">
        <f t="shared" si="0"/>
        <v>34</v>
      </c>
      <c r="B37" s="2" t="s">
        <v>47</v>
      </c>
      <c r="C37" s="36"/>
      <c r="D37" s="37"/>
      <c r="E37" s="38">
        <v>469200</v>
      </c>
      <c r="F37" s="25"/>
      <c r="G37" s="25">
        <v>516120</v>
      </c>
      <c r="H37" s="38"/>
      <c r="I37" s="24"/>
      <c r="J37" s="26">
        <v>492660</v>
      </c>
      <c r="K37" s="24"/>
      <c r="L37" s="24"/>
      <c r="M37" s="26">
        <v>492660</v>
      </c>
    </row>
    <row r="38" spans="1:13" ht="10.199999999999999" customHeight="1" x14ac:dyDescent="0.25">
      <c r="A38" s="6">
        <f t="shared" si="0"/>
        <v>35</v>
      </c>
      <c r="B38" s="2" t="s">
        <v>48</v>
      </c>
      <c r="C38" s="36"/>
      <c r="D38" s="37"/>
      <c r="E38" s="38"/>
      <c r="F38" s="25"/>
      <c r="G38" s="25"/>
      <c r="H38" s="38"/>
      <c r="I38" s="24"/>
      <c r="J38" s="52">
        <v>46920</v>
      </c>
      <c r="K38" s="53">
        <v>46920</v>
      </c>
      <c r="L38" s="53">
        <v>48093</v>
      </c>
      <c r="M38" s="52">
        <v>46920</v>
      </c>
    </row>
    <row r="39" spans="1:13" ht="26.4" x14ac:dyDescent="0.25">
      <c r="A39" s="6">
        <f t="shared" si="0"/>
        <v>36</v>
      </c>
      <c r="B39" s="2" t="s">
        <v>49</v>
      </c>
      <c r="C39" s="36"/>
      <c r="D39" s="37"/>
      <c r="E39" s="38">
        <v>48914.1</v>
      </c>
      <c r="F39" s="38">
        <v>49852.5</v>
      </c>
      <c r="G39" s="38"/>
      <c r="H39" s="38"/>
      <c r="I39" s="24"/>
      <c r="J39" s="54">
        <v>49383.3</v>
      </c>
      <c r="K39" s="50">
        <v>72726</v>
      </c>
      <c r="L39" s="50">
        <v>73077.899999999994</v>
      </c>
      <c r="M39" s="54">
        <v>49383.3</v>
      </c>
    </row>
    <row r="40" spans="1:13" x14ac:dyDescent="0.25">
      <c r="A40" s="6">
        <f t="shared" si="0"/>
        <v>37</v>
      </c>
      <c r="B40" s="2" t="s">
        <v>50</v>
      </c>
      <c r="C40" s="36"/>
      <c r="D40" s="37"/>
      <c r="E40" s="38"/>
      <c r="F40" s="38"/>
      <c r="G40" s="38"/>
      <c r="H40" s="38"/>
      <c r="I40" s="24"/>
      <c r="J40" s="26"/>
      <c r="K40" s="37"/>
      <c r="L40" s="41">
        <v>49500.6</v>
      </c>
      <c r="M40" s="41">
        <v>49500.6</v>
      </c>
    </row>
    <row r="41" spans="1:13" x14ac:dyDescent="0.25">
      <c r="A41" s="6">
        <f t="shared" si="0"/>
        <v>38</v>
      </c>
      <c r="B41" s="2" t="s">
        <v>51</v>
      </c>
      <c r="C41" s="36"/>
      <c r="D41" s="37"/>
      <c r="E41" s="38">
        <v>53840.7</v>
      </c>
      <c r="F41" s="38"/>
      <c r="G41" s="38"/>
      <c r="H41" s="38"/>
      <c r="I41" s="37"/>
      <c r="J41" s="54">
        <v>53840.7</v>
      </c>
      <c r="K41" s="24"/>
      <c r="L41" s="24"/>
      <c r="M41" s="54">
        <v>53840.7</v>
      </c>
    </row>
    <row r="42" spans="1:13" ht="26.4" x14ac:dyDescent="0.25">
      <c r="A42" s="6">
        <f t="shared" si="0"/>
        <v>39</v>
      </c>
      <c r="B42" s="2" t="s">
        <v>52</v>
      </c>
      <c r="C42" s="36"/>
      <c r="D42" s="37" t="s">
        <v>99</v>
      </c>
      <c r="E42" s="38">
        <v>46920</v>
      </c>
      <c r="F42" s="38">
        <v>41055</v>
      </c>
      <c r="G42" s="38"/>
      <c r="H42" s="38">
        <v>39178.199999999997</v>
      </c>
      <c r="I42" s="37"/>
      <c r="J42" s="54">
        <v>42392.22</v>
      </c>
      <c r="K42" s="24"/>
      <c r="L42" s="24"/>
      <c r="M42" s="54">
        <v>43987.5</v>
      </c>
    </row>
    <row r="43" spans="1:13" ht="9.6" customHeight="1" x14ac:dyDescent="0.25">
      <c r="A43" s="6">
        <f t="shared" si="0"/>
        <v>40</v>
      </c>
      <c r="B43" s="3" t="s">
        <v>53</v>
      </c>
      <c r="C43" s="29"/>
      <c r="D43" s="37"/>
      <c r="E43" s="38"/>
      <c r="F43" s="38">
        <v>43401</v>
      </c>
      <c r="G43" s="38"/>
      <c r="H43" s="38"/>
      <c r="I43" s="37"/>
      <c r="J43" s="37"/>
      <c r="K43" s="78">
        <v>99705</v>
      </c>
      <c r="L43" s="78"/>
      <c r="M43" s="78">
        <v>99705</v>
      </c>
    </row>
    <row r="44" spans="1:13" ht="9.6" customHeight="1" x14ac:dyDescent="0.25">
      <c r="A44" s="6">
        <f t="shared" si="0"/>
        <v>41</v>
      </c>
      <c r="B44" s="3" t="s">
        <v>54</v>
      </c>
      <c r="C44" s="29"/>
      <c r="D44" s="37"/>
      <c r="E44" s="38"/>
      <c r="F44" s="38">
        <v>43401</v>
      </c>
      <c r="G44" s="38"/>
      <c r="H44" s="38"/>
      <c r="I44" s="37"/>
      <c r="J44" s="37"/>
      <c r="K44" s="78">
        <v>79764</v>
      </c>
      <c r="L44" s="78"/>
      <c r="M44" s="78">
        <v>79764</v>
      </c>
    </row>
    <row r="45" spans="1:13" ht="10.199999999999999" hidden="1" customHeight="1" x14ac:dyDescent="0.25">
      <c r="A45" s="6">
        <f t="shared" si="0"/>
        <v>42</v>
      </c>
      <c r="B45" s="3" t="s">
        <v>55</v>
      </c>
      <c r="C45" s="29"/>
      <c r="D45" s="37"/>
      <c r="E45" s="38"/>
      <c r="F45" s="38"/>
      <c r="G45" s="38"/>
      <c r="H45" s="38"/>
      <c r="I45" s="56">
        <v>32844</v>
      </c>
      <c r="J45" s="37"/>
      <c r="K45" s="37"/>
      <c r="L45" s="37"/>
      <c r="M45" s="57" t="s">
        <v>100</v>
      </c>
    </row>
    <row r="46" spans="1:13" ht="10.199999999999999" hidden="1" customHeight="1" x14ac:dyDescent="0.25">
      <c r="A46" s="6">
        <f t="shared" si="0"/>
        <v>43</v>
      </c>
      <c r="B46" s="3" t="s">
        <v>56</v>
      </c>
      <c r="C46" s="29"/>
      <c r="D46" s="37"/>
      <c r="E46" s="38"/>
      <c r="F46" s="38"/>
      <c r="G46" s="38"/>
      <c r="H46" s="38"/>
      <c r="I46" s="56">
        <v>11730</v>
      </c>
      <c r="J46" s="37"/>
      <c r="K46" s="37"/>
      <c r="L46" s="37"/>
      <c r="M46" s="57" t="s">
        <v>100</v>
      </c>
    </row>
    <row r="47" spans="1:13" ht="10.199999999999999" hidden="1" customHeight="1" x14ac:dyDescent="0.25">
      <c r="A47" s="6">
        <f t="shared" si="0"/>
        <v>44</v>
      </c>
      <c r="B47" s="3" t="s">
        <v>57</v>
      </c>
      <c r="C47" s="29"/>
      <c r="D47" s="37"/>
      <c r="E47" s="38"/>
      <c r="F47" s="38"/>
      <c r="G47" s="38">
        <v>46920</v>
      </c>
      <c r="H47" s="38"/>
      <c r="I47" s="56">
        <v>23460</v>
      </c>
      <c r="J47" s="37"/>
      <c r="K47" s="37"/>
      <c r="L47" s="37"/>
      <c r="M47" s="57" t="s">
        <v>100</v>
      </c>
    </row>
    <row r="48" spans="1:13" ht="10.199999999999999" hidden="1" customHeight="1" x14ac:dyDescent="0.25">
      <c r="A48" s="6">
        <f t="shared" si="0"/>
        <v>45</v>
      </c>
      <c r="B48" s="3" t="s">
        <v>58</v>
      </c>
      <c r="C48" s="29"/>
      <c r="D48" s="37"/>
      <c r="E48" s="38"/>
      <c r="F48" s="38"/>
      <c r="G48" s="38">
        <v>17595</v>
      </c>
      <c r="H48" s="38"/>
      <c r="I48" s="56">
        <v>11730</v>
      </c>
      <c r="J48" s="37"/>
      <c r="K48" s="37"/>
      <c r="L48" s="37"/>
      <c r="M48" s="57" t="s">
        <v>100</v>
      </c>
    </row>
    <row r="49" spans="1:18" ht="10.199999999999999" customHeight="1" x14ac:dyDescent="0.25">
      <c r="A49" s="6">
        <f t="shared" si="0"/>
        <v>46</v>
      </c>
      <c r="B49" s="3" t="s">
        <v>59</v>
      </c>
      <c r="C49" s="29"/>
      <c r="D49" s="37"/>
      <c r="E49" s="38"/>
      <c r="F49" s="58">
        <v>23460</v>
      </c>
      <c r="G49" s="38"/>
      <c r="H49" s="58"/>
      <c r="I49" s="37"/>
      <c r="J49" s="37"/>
      <c r="K49" s="59">
        <v>35893.800000000003</v>
      </c>
      <c r="L49" s="59">
        <v>84221.4</v>
      </c>
      <c r="M49" s="59">
        <v>60057.599999999999</v>
      </c>
    </row>
    <row r="50" spans="1:18" x14ac:dyDescent="0.25">
      <c r="A50" s="6">
        <f t="shared" si="0"/>
        <v>47</v>
      </c>
      <c r="B50" s="3" t="s">
        <v>60</v>
      </c>
      <c r="C50" s="29"/>
      <c r="D50" s="37"/>
      <c r="E50" s="38"/>
      <c r="F50" s="38"/>
      <c r="G50" s="38"/>
      <c r="H50" s="38"/>
      <c r="I50" s="56">
        <v>41055</v>
      </c>
      <c r="J50" s="26"/>
      <c r="K50" s="37"/>
      <c r="L50" s="37"/>
      <c r="M50" s="60">
        <v>41055</v>
      </c>
    </row>
    <row r="51" spans="1:18" ht="10.199999999999999" customHeight="1" x14ac:dyDescent="0.25">
      <c r="A51" s="6">
        <f t="shared" si="0"/>
        <v>48</v>
      </c>
      <c r="B51" s="7" t="s">
        <v>61</v>
      </c>
      <c r="C51" s="38">
        <v>17829.599999999999</v>
      </c>
      <c r="D51" s="61"/>
      <c r="E51" s="62"/>
      <c r="F51" s="38"/>
      <c r="G51" s="62"/>
      <c r="H51" s="38"/>
      <c r="I51" s="61"/>
      <c r="J51" s="26"/>
      <c r="K51" s="61"/>
      <c r="L51" s="61"/>
      <c r="M51" s="26">
        <v>17829.599999999999</v>
      </c>
    </row>
    <row r="52" spans="1:18" ht="10.199999999999999" customHeight="1" x14ac:dyDescent="0.25">
      <c r="A52" s="6">
        <f t="shared" si="0"/>
        <v>49</v>
      </c>
      <c r="B52" s="10" t="s">
        <v>62</v>
      </c>
      <c r="C52" s="38">
        <v>17829.599999999999</v>
      </c>
      <c r="D52" s="37"/>
      <c r="E52" s="38"/>
      <c r="F52" s="38"/>
      <c r="G52" s="38"/>
      <c r="H52" s="38"/>
      <c r="I52" s="37"/>
      <c r="J52" s="37"/>
      <c r="K52" s="78">
        <v>22287</v>
      </c>
      <c r="L52" s="78">
        <v>22345.65</v>
      </c>
      <c r="M52" s="78">
        <v>22322.19</v>
      </c>
    </row>
    <row r="53" spans="1:18" ht="10.199999999999999" customHeight="1" x14ac:dyDescent="0.25">
      <c r="A53" s="6">
        <f t="shared" si="0"/>
        <v>50</v>
      </c>
      <c r="B53" s="10" t="s">
        <v>63</v>
      </c>
      <c r="C53" s="38">
        <v>17829.599999999999</v>
      </c>
      <c r="D53" s="37"/>
      <c r="E53" s="38"/>
      <c r="F53" s="38"/>
      <c r="G53" s="38"/>
      <c r="H53" s="38"/>
      <c r="I53" s="37"/>
      <c r="J53" s="37"/>
      <c r="K53" s="78">
        <v>41055</v>
      </c>
      <c r="L53" s="78"/>
      <c r="M53" s="78">
        <v>41055</v>
      </c>
    </row>
    <row r="54" spans="1:18" ht="10.199999999999999" customHeight="1" x14ac:dyDescent="0.25">
      <c r="A54" s="6">
        <f t="shared" si="0"/>
        <v>51</v>
      </c>
      <c r="B54" s="10" t="s">
        <v>64</v>
      </c>
      <c r="C54" s="38"/>
      <c r="D54" s="37">
        <v>37536</v>
      </c>
      <c r="E54" s="38"/>
      <c r="F54" s="38"/>
      <c r="G54" s="38"/>
      <c r="H54" s="38"/>
      <c r="I54" s="37"/>
      <c r="J54" s="52">
        <v>37536</v>
      </c>
      <c r="K54" s="37"/>
      <c r="L54" s="37"/>
      <c r="M54" s="52">
        <v>37536</v>
      </c>
    </row>
    <row r="55" spans="1:18" ht="10.199999999999999" customHeight="1" x14ac:dyDescent="0.25">
      <c r="A55" s="6">
        <f t="shared" si="0"/>
        <v>52</v>
      </c>
      <c r="B55" s="10" t="s">
        <v>65</v>
      </c>
      <c r="C55" s="38"/>
      <c r="D55" s="37"/>
      <c r="E55" s="38"/>
      <c r="F55" s="38"/>
      <c r="G55" s="38"/>
      <c r="H55" s="38"/>
      <c r="I55" s="37"/>
      <c r="J55" s="54"/>
      <c r="K55" s="37"/>
      <c r="L55" s="37"/>
      <c r="M55" s="54">
        <v>22949.75</v>
      </c>
    </row>
    <row r="56" spans="1:18" s="8" customFormat="1" ht="10.199999999999999" customHeight="1" x14ac:dyDescent="0.25">
      <c r="A56" s="6">
        <f t="shared" si="0"/>
        <v>53</v>
      </c>
      <c r="B56" s="7" t="s">
        <v>66</v>
      </c>
      <c r="C56" s="38">
        <v>18768</v>
      </c>
      <c r="D56" s="37">
        <v>31671</v>
      </c>
      <c r="E56" s="38"/>
      <c r="F56" s="38"/>
      <c r="G56" s="38"/>
      <c r="H56" s="38"/>
      <c r="I56" s="37"/>
      <c r="J56" s="26">
        <v>25219.5</v>
      </c>
      <c r="K56" s="37"/>
      <c r="L56" s="37"/>
      <c r="M56" s="26">
        <v>25219.5</v>
      </c>
      <c r="N56" s="4"/>
      <c r="O56" s="4"/>
      <c r="P56" s="4"/>
      <c r="Q56" s="4"/>
      <c r="R56" s="4"/>
    </row>
    <row r="57" spans="1:18" s="8" customFormat="1" ht="10.199999999999999" customHeight="1" x14ac:dyDescent="0.25">
      <c r="A57" s="6">
        <f t="shared" si="0"/>
        <v>54</v>
      </c>
      <c r="B57" s="7" t="s">
        <v>67</v>
      </c>
      <c r="C57" s="38"/>
      <c r="D57" s="37">
        <v>66861</v>
      </c>
      <c r="E57" s="38"/>
      <c r="F57" s="38"/>
      <c r="G57" s="38"/>
      <c r="H57" s="38"/>
      <c r="I57" s="37"/>
      <c r="J57" s="26">
        <v>66861</v>
      </c>
      <c r="K57" s="34">
        <v>36949.5</v>
      </c>
      <c r="L57" s="34">
        <v>37066.800000000003</v>
      </c>
      <c r="M57" s="34">
        <v>37066.800000000003</v>
      </c>
      <c r="N57" s="4"/>
      <c r="O57" s="4"/>
      <c r="P57" s="4"/>
      <c r="Q57" s="4"/>
      <c r="R57" s="4"/>
    </row>
    <row r="58" spans="1:18" ht="10.199999999999999" customHeight="1" x14ac:dyDescent="0.25">
      <c r="A58" s="6">
        <f t="shared" si="0"/>
        <v>55</v>
      </c>
      <c r="B58" s="7" t="s">
        <v>68</v>
      </c>
      <c r="C58" s="38">
        <v>18416.099999999999</v>
      </c>
      <c r="D58" s="61"/>
      <c r="E58" s="62"/>
      <c r="F58" s="38"/>
      <c r="G58" s="62"/>
      <c r="H58" s="38"/>
      <c r="I58" s="61"/>
      <c r="J58" s="26">
        <v>18416.099999999999</v>
      </c>
      <c r="K58" s="61"/>
      <c r="L58" s="61"/>
      <c r="M58" s="26">
        <v>18416.099999999999</v>
      </c>
    </row>
    <row r="59" spans="1:18" x14ac:dyDescent="0.25">
      <c r="A59" s="6">
        <f t="shared" si="0"/>
        <v>56</v>
      </c>
      <c r="B59" s="7" t="s">
        <v>69</v>
      </c>
      <c r="C59" s="38"/>
      <c r="D59" s="61">
        <v>82110</v>
      </c>
      <c r="E59" s="62"/>
      <c r="F59" s="38"/>
      <c r="G59" s="62"/>
      <c r="H59" s="38"/>
      <c r="I59" s="61"/>
      <c r="J59" s="26">
        <v>82110</v>
      </c>
      <c r="K59" s="34">
        <v>46920</v>
      </c>
      <c r="L59" s="34">
        <v>47154.6</v>
      </c>
      <c r="M59" s="52">
        <v>82110</v>
      </c>
    </row>
    <row r="60" spans="1:18" ht="10.199999999999999" customHeight="1" x14ac:dyDescent="0.25">
      <c r="A60" s="6">
        <f t="shared" si="0"/>
        <v>57</v>
      </c>
      <c r="B60" s="7" t="s">
        <v>70</v>
      </c>
      <c r="C60" s="38">
        <v>19002.599999999999</v>
      </c>
      <c r="D60" s="61">
        <v>29676.9</v>
      </c>
      <c r="E60" s="62"/>
      <c r="F60" s="38"/>
      <c r="G60" s="62"/>
      <c r="H60" s="38"/>
      <c r="I60" s="61"/>
      <c r="J60" s="26">
        <v>24339.75</v>
      </c>
      <c r="K60" s="61"/>
      <c r="L60" s="61"/>
      <c r="M60" s="26">
        <v>24339.75</v>
      </c>
    </row>
    <row r="61" spans="1:18" s="4" customFormat="1" x14ac:dyDescent="0.25">
      <c r="A61" s="6">
        <f t="shared" si="0"/>
        <v>58</v>
      </c>
      <c r="B61" s="7" t="s">
        <v>71</v>
      </c>
      <c r="C61" s="38"/>
      <c r="D61" s="61">
        <v>55717.5</v>
      </c>
      <c r="E61" s="62"/>
      <c r="F61" s="38"/>
      <c r="G61" s="62"/>
      <c r="H61" s="38"/>
      <c r="I61" s="61"/>
      <c r="J61" s="26">
        <v>55717.5</v>
      </c>
      <c r="K61" s="63">
        <v>26979</v>
      </c>
      <c r="L61" s="63">
        <v>44691.3</v>
      </c>
      <c r="M61" s="38">
        <v>55717.5</v>
      </c>
    </row>
    <row r="62" spans="1:18" s="4" customFormat="1" ht="10.199999999999999" customHeight="1" x14ac:dyDescent="0.25">
      <c r="A62" s="6">
        <f t="shared" si="0"/>
        <v>59</v>
      </c>
      <c r="B62" s="7" t="s">
        <v>72</v>
      </c>
      <c r="C62" s="38"/>
      <c r="D62" s="61"/>
      <c r="E62" s="62">
        <v>79764</v>
      </c>
      <c r="F62" s="38">
        <v>85629</v>
      </c>
      <c r="G62" s="62">
        <v>76245</v>
      </c>
      <c r="H62" s="62">
        <v>70380</v>
      </c>
      <c r="I62" s="61"/>
      <c r="J62" s="26">
        <v>78004.5</v>
      </c>
      <c r="K62" s="64">
        <v>104103.75</v>
      </c>
      <c r="L62" s="64">
        <v>117300</v>
      </c>
      <c r="M62" s="26">
        <v>80549.91</v>
      </c>
    </row>
    <row r="63" spans="1:18" s="4" customFormat="1" ht="10.199999999999999" customHeight="1" x14ac:dyDescent="0.25">
      <c r="A63" s="6">
        <f t="shared" si="0"/>
        <v>60</v>
      </c>
      <c r="B63" s="7" t="s">
        <v>73</v>
      </c>
      <c r="C63" s="38"/>
      <c r="D63" s="61"/>
      <c r="E63" s="62">
        <v>55834.8</v>
      </c>
      <c r="F63" s="62">
        <v>59940.3</v>
      </c>
      <c r="G63" s="62">
        <v>53371.5</v>
      </c>
      <c r="H63" s="62">
        <v>49266</v>
      </c>
      <c r="I63" s="61"/>
      <c r="J63" s="26">
        <v>54603.15</v>
      </c>
      <c r="K63" s="61"/>
      <c r="L63" s="61"/>
      <c r="M63" s="26">
        <v>56384.94</v>
      </c>
    </row>
    <row r="64" spans="1:18" s="4" customFormat="1" ht="13.2" customHeight="1" x14ac:dyDescent="0.25">
      <c r="A64" s="6">
        <f t="shared" si="0"/>
        <v>61</v>
      </c>
      <c r="B64" s="7" t="s">
        <v>74</v>
      </c>
      <c r="C64" s="38"/>
      <c r="D64" s="65">
        <v>34017</v>
      </c>
      <c r="E64" s="62"/>
      <c r="F64" s="38"/>
      <c r="G64" s="62"/>
      <c r="H64" s="38"/>
      <c r="I64" s="61"/>
      <c r="J64" s="26">
        <v>34017</v>
      </c>
      <c r="K64" s="86">
        <v>37536</v>
      </c>
      <c r="L64" s="87">
        <v>38943.599999999999</v>
      </c>
      <c r="M64" s="80">
        <v>38943.599999999999</v>
      </c>
    </row>
    <row r="65" spans="1:13" s="4" customFormat="1" ht="10.199999999999999" customHeight="1" x14ac:dyDescent="0.25">
      <c r="A65" s="6">
        <f t="shared" si="0"/>
        <v>62</v>
      </c>
      <c r="B65" s="7" t="s">
        <v>75</v>
      </c>
      <c r="C65" s="38"/>
      <c r="D65" s="66">
        <v>41055</v>
      </c>
      <c r="E65" s="62"/>
      <c r="F65" s="38"/>
      <c r="G65" s="62"/>
      <c r="H65" s="38"/>
      <c r="I65" s="61"/>
      <c r="J65" s="26">
        <v>41055</v>
      </c>
      <c r="K65" s="88">
        <v>41055</v>
      </c>
      <c r="L65" s="88">
        <v>41289.599999999999</v>
      </c>
      <c r="M65" s="89">
        <v>41055</v>
      </c>
    </row>
    <row r="66" spans="1:13" s="4" customFormat="1" x14ac:dyDescent="0.25">
      <c r="A66" s="6">
        <f t="shared" si="0"/>
        <v>63</v>
      </c>
      <c r="B66" s="7" t="s">
        <v>76</v>
      </c>
      <c r="C66" s="38"/>
      <c r="D66" s="61">
        <v>105570</v>
      </c>
      <c r="E66" s="62">
        <v>68034</v>
      </c>
      <c r="F66" s="62">
        <v>64515</v>
      </c>
      <c r="G66" s="38">
        <v>61582.5</v>
      </c>
      <c r="H66" s="38">
        <v>57477</v>
      </c>
      <c r="I66" s="61"/>
      <c r="J66" s="26">
        <v>62907.99</v>
      </c>
      <c r="K66" s="78">
        <v>80937</v>
      </c>
      <c r="L66" s="78">
        <v>205861.5</v>
      </c>
      <c r="M66" s="90">
        <v>205861.5</v>
      </c>
    </row>
    <row r="67" spans="1:13" s="4" customFormat="1" ht="10.199999999999999" customHeight="1" x14ac:dyDescent="0.25">
      <c r="A67" s="6">
        <f t="shared" si="0"/>
        <v>64</v>
      </c>
      <c r="B67" s="7" t="s">
        <v>77</v>
      </c>
      <c r="C67" s="38"/>
      <c r="D67" s="61">
        <v>103224</v>
      </c>
      <c r="E67" s="62">
        <v>65453.4</v>
      </c>
      <c r="F67" s="62">
        <v>62169</v>
      </c>
      <c r="G67" s="38">
        <v>59236.5</v>
      </c>
      <c r="H67" s="62">
        <v>55131</v>
      </c>
      <c r="I67" s="61"/>
      <c r="J67" s="26">
        <v>60503.34</v>
      </c>
      <c r="K67" s="91">
        <v>70380</v>
      </c>
      <c r="L67" s="91">
        <v>70966.5</v>
      </c>
      <c r="M67" s="90">
        <v>70673.25</v>
      </c>
    </row>
    <row r="68" spans="1:13" s="4" customFormat="1" ht="10.199999999999999" customHeight="1" x14ac:dyDescent="0.25">
      <c r="A68" s="6">
        <f t="shared" si="0"/>
        <v>65</v>
      </c>
      <c r="B68" s="7" t="s">
        <v>78</v>
      </c>
      <c r="C68" s="38"/>
      <c r="D68" s="61">
        <v>73899</v>
      </c>
      <c r="E68" s="62">
        <v>29325</v>
      </c>
      <c r="F68" s="62">
        <v>41055</v>
      </c>
      <c r="G68" s="62"/>
      <c r="H68" s="62">
        <v>29325</v>
      </c>
      <c r="I68" s="61"/>
      <c r="J68" s="26">
        <v>33242.82</v>
      </c>
      <c r="K68" s="61"/>
      <c r="L68" s="61"/>
      <c r="M68" s="26">
        <v>33242.82</v>
      </c>
    </row>
    <row r="69" spans="1:13" s="4" customFormat="1" x14ac:dyDescent="0.25">
      <c r="A69" s="6">
        <f t="shared" si="0"/>
        <v>66</v>
      </c>
      <c r="B69" s="7" t="s">
        <v>79</v>
      </c>
      <c r="C69" s="38"/>
      <c r="D69" s="61"/>
      <c r="E69" s="62">
        <v>21114</v>
      </c>
      <c r="F69" s="38"/>
      <c r="G69" s="62"/>
      <c r="H69" s="38"/>
      <c r="I69" s="61"/>
      <c r="J69" s="26">
        <v>21114</v>
      </c>
      <c r="K69" s="71">
        <v>57477</v>
      </c>
      <c r="L69" s="71">
        <v>63576.6</v>
      </c>
      <c r="M69" s="72">
        <v>60526.8</v>
      </c>
    </row>
    <row r="70" spans="1:13" s="4" customFormat="1" ht="11.4" customHeight="1" x14ac:dyDescent="0.25">
      <c r="A70" s="6">
        <f t="shared" ref="A70:A81" si="1">A69+1</f>
        <v>67</v>
      </c>
      <c r="B70" s="7" t="s">
        <v>80</v>
      </c>
      <c r="C70" s="38"/>
      <c r="D70" s="61"/>
      <c r="E70" s="62"/>
      <c r="F70" s="38"/>
      <c r="G70" s="62"/>
      <c r="H70" s="38"/>
      <c r="I70" s="61"/>
      <c r="J70" s="26"/>
      <c r="K70" s="61"/>
      <c r="L70" s="61"/>
      <c r="M70" s="52">
        <v>42368.76</v>
      </c>
    </row>
    <row r="71" spans="1:13" s="4" customFormat="1" ht="10.199999999999999" customHeight="1" x14ac:dyDescent="0.25">
      <c r="A71" s="6">
        <f t="shared" si="1"/>
        <v>68</v>
      </c>
      <c r="B71" s="7" t="s">
        <v>81</v>
      </c>
      <c r="C71" s="38"/>
      <c r="D71" s="61">
        <v>161874</v>
      </c>
      <c r="E71" s="62">
        <v>84456</v>
      </c>
      <c r="F71" s="62">
        <v>152490</v>
      </c>
      <c r="G71" s="62"/>
      <c r="H71" s="62"/>
      <c r="I71" s="61"/>
      <c r="J71" s="26">
        <v>118473</v>
      </c>
      <c r="K71" s="92">
        <v>117300</v>
      </c>
      <c r="L71" s="92">
        <v>261579</v>
      </c>
      <c r="M71" s="93">
        <v>149369.82</v>
      </c>
    </row>
    <row r="72" spans="1:13" s="4" customFormat="1" ht="26.4" x14ac:dyDescent="0.25">
      <c r="A72" s="6">
        <f t="shared" si="1"/>
        <v>69</v>
      </c>
      <c r="B72" s="7" t="s">
        <v>82</v>
      </c>
      <c r="C72" s="38"/>
      <c r="D72" s="61"/>
      <c r="E72" s="62"/>
      <c r="F72" s="62"/>
      <c r="G72" s="62"/>
      <c r="H72" s="62"/>
      <c r="I72" s="61"/>
      <c r="J72" s="26"/>
      <c r="K72" s="61"/>
      <c r="L72" s="61"/>
      <c r="M72" s="52">
        <v>30849.9</v>
      </c>
    </row>
    <row r="73" spans="1:13" s="4" customFormat="1" ht="10.199999999999999" customHeight="1" x14ac:dyDescent="0.25">
      <c r="A73" s="6">
        <f t="shared" si="1"/>
        <v>70</v>
      </c>
      <c r="B73" s="7" t="s">
        <v>83</v>
      </c>
      <c r="C73" s="38"/>
      <c r="D73" s="61"/>
      <c r="E73" s="62"/>
      <c r="F73" s="62"/>
      <c r="G73" s="62"/>
      <c r="H73" s="62"/>
      <c r="I73" s="61"/>
      <c r="J73" s="26"/>
      <c r="K73" s="61"/>
      <c r="L73" s="61"/>
      <c r="M73" s="52">
        <v>21594.93</v>
      </c>
    </row>
    <row r="74" spans="1:13" s="4" customFormat="1" ht="10.199999999999999" customHeight="1" x14ac:dyDescent="0.25">
      <c r="A74" s="6">
        <f t="shared" si="1"/>
        <v>71</v>
      </c>
      <c r="B74" s="7" t="s">
        <v>84</v>
      </c>
      <c r="C74" s="38"/>
      <c r="D74" s="61"/>
      <c r="E74" s="62">
        <v>187680</v>
      </c>
      <c r="F74" s="62">
        <v>152490</v>
      </c>
      <c r="G74" s="62">
        <v>164220</v>
      </c>
      <c r="H74" s="62"/>
      <c r="I74" s="61"/>
      <c r="J74" s="26">
        <v>168137.82</v>
      </c>
      <c r="K74" s="61"/>
      <c r="L74" s="61"/>
      <c r="M74" s="26">
        <v>168137.82</v>
      </c>
    </row>
    <row r="75" spans="1:13" s="4" customFormat="1" ht="10.199999999999999" customHeight="1" x14ac:dyDescent="0.25">
      <c r="A75" s="6">
        <f t="shared" si="1"/>
        <v>72</v>
      </c>
      <c r="B75" s="7" t="s">
        <v>85</v>
      </c>
      <c r="C75" s="38"/>
      <c r="D75" s="61"/>
      <c r="E75" s="62">
        <v>131376</v>
      </c>
      <c r="F75" s="62">
        <v>106743</v>
      </c>
      <c r="G75" s="62">
        <v>114954</v>
      </c>
      <c r="H75" s="62"/>
      <c r="I75" s="61"/>
      <c r="J75" s="26">
        <v>117698.82</v>
      </c>
      <c r="K75" s="73">
        <v>109089</v>
      </c>
      <c r="L75" s="61"/>
      <c r="M75" s="26">
        <v>117698.82</v>
      </c>
    </row>
    <row r="76" spans="1:13" s="4" customFormat="1" ht="21.6" customHeight="1" x14ac:dyDescent="0.25">
      <c r="A76" s="6">
        <f t="shared" si="1"/>
        <v>73</v>
      </c>
      <c r="B76" s="17" t="s">
        <v>86</v>
      </c>
      <c r="C76" s="38"/>
      <c r="D76" s="61">
        <v>40233.9</v>
      </c>
      <c r="E76" s="62"/>
      <c r="F76" s="62"/>
      <c r="G76" s="62"/>
      <c r="H76" s="62"/>
      <c r="I76" s="61"/>
      <c r="J76" s="26">
        <v>40233.9</v>
      </c>
      <c r="K76" s="61"/>
      <c r="L76" s="61"/>
      <c r="M76" s="26"/>
    </row>
    <row r="77" spans="1:13" s="4" customFormat="1" ht="10.199999999999999" customHeight="1" x14ac:dyDescent="0.25">
      <c r="A77" s="6">
        <f t="shared" si="1"/>
        <v>74</v>
      </c>
      <c r="B77" s="7" t="s">
        <v>87</v>
      </c>
      <c r="C77" s="38">
        <v>30849.9</v>
      </c>
      <c r="D77" s="65"/>
      <c r="E77" s="62"/>
      <c r="F77" s="62"/>
      <c r="G77" s="62"/>
      <c r="H77" s="62"/>
      <c r="I77" s="61"/>
      <c r="J77" s="26">
        <v>30849.9</v>
      </c>
      <c r="K77" s="61"/>
      <c r="L77" s="61"/>
      <c r="M77" s="52">
        <v>30849.9</v>
      </c>
    </row>
    <row r="78" spans="1:13" s="4" customFormat="1" x14ac:dyDescent="0.25">
      <c r="A78" s="6">
        <f t="shared" si="1"/>
        <v>75</v>
      </c>
      <c r="B78" s="7" t="s">
        <v>88</v>
      </c>
      <c r="C78" s="38"/>
      <c r="D78" s="61"/>
      <c r="E78" s="62">
        <v>84456</v>
      </c>
      <c r="F78" s="62">
        <v>105570</v>
      </c>
      <c r="G78" s="62"/>
      <c r="H78" s="62"/>
      <c r="I78" s="61"/>
      <c r="J78" s="26">
        <v>95013</v>
      </c>
      <c r="K78" s="61"/>
      <c r="L78" s="61"/>
      <c r="M78" s="74">
        <v>95013</v>
      </c>
    </row>
    <row r="79" spans="1:13" s="4" customFormat="1" ht="26.4" x14ac:dyDescent="0.25">
      <c r="A79" s="6">
        <f t="shared" si="1"/>
        <v>76</v>
      </c>
      <c r="B79" s="17" t="s">
        <v>89</v>
      </c>
      <c r="C79" s="38"/>
      <c r="D79" s="61"/>
      <c r="E79" s="62"/>
      <c r="F79" s="62"/>
      <c r="G79" s="62"/>
      <c r="H79" s="62"/>
      <c r="I79" s="61"/>
      <c r="J79" s="26"/>
      <c r="K79" s="75">
        <v>34603.5</v>
      </c>
      <c r="L79" s="75">
        <v>36644.519999999997</v>
      </c>
      <c r="M79" s="60">
        <v>34603.5</v>
      </c>
    </row>
    <row r="80" spans="1:13" s="4" customFormat="1" ht="26.4" x14ac:dyDescent="0.25">
      <c r="A80" s="6">
        <f t="shared" si="1"/>
        <v>77</v>
      </c>
      <c r="B80" s="17" t="s">
        <v>90</v>
      </c>
      <c r="C80" s="38"/>
      <c r="D80" s="61"/>
      <c r="E80" s="62"/>
      <c r="F80" s="62"/>
      <c r="G80" s="62"/>
      <c r="H80" s="62"/>
      <c r="I80" s="61"/>
      <c r="J80" s="26"/>
      <c r="K80" s="75"/>
      <c r="L80" s="87">
        <v>38720.730000000003</v>
      </c>
      <c r="M80" s="60">
        <v>46920</v>
      </c>
    </row>
    <row r="81" spans="1:13" s="4" customFormat="1" x14ac:dyDescent="0.25">
      <c r="A81" s="6">
        <f t="shared" si="1"/>
        <v>78</v>
      </c>
      <c r="B81" s="7" t="s">
        <v>91</v>
      </c>
      <c r="C81" s="38">
        <v>17360.400000000001</v>
      </c>
      <c r="D81" s="65"/>
      <c r="E81" s="62"/>
      <c r="F81" s="62"/>
      <c r="G81" s="62"/>
      <c r="H81" s="62"/>
      <c r="I81" s="61"/>
      <c r="J81" s="61"/>
      <c r="K81" s="94">
        <v>71553</v>
      </c>
      <c r="L81" s="87">
        <v>105570</v>
      </c>
      <c r="M81" s="94">
        <v>88561.5</v>
      </c>
    </row>
  </sheetData>
  <mergeCells count="12">
    <mergeCell ref="M1:M3"/>
    <mergeCell ref="C2:C3"/>
    <mergeCell ref="D2:D3"/>
    <mergeCell ref="E2:E3"/>
    <mergeCell ref="F2:F3"/>
    <mergeCell ref="G2:G3"/>
    <mergeCell ref="H2:H3"/>
    <mergeCell ref="I2:I3"/>
    <mergeCell ref="K2:L2"/>
    <mergeCell ref="A1:A3"/>
    <mergeCell ref="B1:B3"/>
    <mergeCell ref="J1:J3"/>
  </mergeCell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81"/>
  <sheetViews>
    <sheetView workbookViewId="0">
      <selection sqref="A1:A3"/>
    </sheetView>
  </sheetViews>
  <sheetFormatPr defaultRowHeight="13.2" x14ac:dyDescent="0.25"/>
  <cols>
    <col min="1" max="1" width="5.33203125" style="4" customWidth="1"/>
    <col min="2" max="2" width="46.88671875" style="4" customWidth="1"/>
    <col min="3" max="3" width="10.6640625" style="4" customWidth="1"/>
    <col min="4" max="4" width="15.33203125" style="4" customWidth="1"/>
    <col min="5" max="5" width="11.5546875" style="4" customWidth="1"/>
    <col min="6" max="6" width="10.109375" style="4" customWidth="1"/>
    <col min="7" max="8" width="10.5546875" style="4" customWidth="1"/>
    <col min="9" max="9" width="9.88671875" style="4" customWidth="1"/>
    <col min="10" max="10" width="12.109375" style="4" customWidth="1"/>
    <col min="11" max="11" width="10.6640625" style="4" customWidth="1"/>
    <col min="12" max="12" width="12.5546875" style="4" customWidth="1"/>
    <col min="13" max="13" width="14.109375" style="4" customWidth="1"/>
  </cols>
  <sheetData>
    <row r="1" spans="1:13" ht="10.199999999999999" customHeight="1" x14ac:dyDescent="0.25">
      <c r="A1" s="104" t="s">
        <v>0</v>
      </c>
      <c r="B1" s="109" t="s">
        <v>1</v>
      </c>
      <c r="C1" s="12"/>
      <c r="D1" s="13"/>
      <c r="E1" s="13"/>
      <c r="F1" s="11"/>
      <c r="G1" s="5"/>
      <c r="H1" s="5"/>
      <c r="I1" s="5"/>
      <c r="J1" s="112" t="s">
        <v>2</v>
      </c>
      <c r="K1" s="16"/>
      <c r="L1" s="5"/>
      <c r="M1" s="112" t="s">
        <v>3</v>
      </c>
    </row>
    <row r="2" spans="1:13" ht="22.2" customHeight="1" x14ac:dyDescent="0.25">
      <c r="A2" s="108"/>
      <c r="B2" s="110"/>
      <c r="C2" s="102" t="s">
        <v>4</v>
      </c>
      <c r="D2" s="104" t="s">
        <v>5</v>
      </c>
      <c r="E2" s="102" t="s">
        <v>6</v>
      </c>
      <c r="F2" s="102" t="s">
        <v>7</v>
      </c>
      <c r="G2" s="102" t="s">
        <v>8</v>
      </c>
      <c r="H2" s="102" t="s">
        <v>9</v>
      </c>
      <c r="I2" s="104" t="s">
        <v>10</v>
      </c>
      <c r="J2" s="113"/>
      <c r="K2" s="117" t="s">
        <v>93</v>
      </c>
      <c r="L2" s="118"/>
      <c r="M2" s="113"/>
    </row>
    <row r="3" spans="1:13" ht="34.799999999999997" customHeight="1" x14ac:dyDescent="0.25">
      <c r="A3" s="105"/>
      <c r="B3" s="111"/>
      <c r="C3" s="103"/>
      <c r="D3" s="105"/>
      <c r="E3" s="103"/>
      <c r="F3" s="103" t="s">
        <v>7</v>
      </c>
      <c r="G3" s="103"/>
      <c r="H3" s="103" t="s">
        <v>7</v>
      </c>
      <c r="I3" s="105"/>
      <c r="J3" s="114"/>
      <c r="K3" s="20" t="s">
        <v>94</v>
      </c>
      <c r="L3" s="20" t="s">
        <v>13</v>
      </c>
      <c r="M3" s="114"/>
    </row>
    <row r="4" spans="1:13" ht="10.199999999999999" customHeight="1" x14ac:dyDescent="0.25">
      <c r="A4" s="6">
        <v>1</v>
      </c>
      <c r="B4" s="9" t="s">
        <v>14</v>
      </c>
      <c r="C4" s="23"/>
      <c r="D4" s="24"/>
      <c r="E4" s="25">
        <v>738990</v>
      </c>
      <c r="F4" s="25">
        <v>762450</v>
      </c>
      <c r="G4" s="25">
        <v>738990</v>
      </c>
      <c r="H4" s="25">
        <v>774180</v>
      </c>
      <c r="I4" s="24"/>
      <c r="J4" s="26">
        <v>753652.5</v>
      </c>
      <c r="K4" s="39">
        <v>821100</v>
      </c>
      <c r="L4" s="39">
        <v>835176</v>
      </c>
      <c r="M4" s="40">
        <v>828138</v>
      </c>
    </row>
    <row r="5" spans="1:13" ht="10.199999999999999" customHeight="1" x14ac:dyDescent="0.25">
      <c r="A5" s="6">
        <f>A4+1</f>
        <v>2</v>
      </c>
      <c r="B5" s="9" t="s">
        <v>15</v>
      </c>
      <c r="C5" s="23"/>
      <c r="D5" s="24"/>
      <c r="E5" s="25">
        <v>715530</v>
      </c>
      <c r="F5" s="25">
        <v>756585</v>
      </c>
      <c r="G5" s="25">
        <v>733125</v>
      </c>
      <c r="H5" s="25">
        <v>762450</v>
      </c>
      <c r="I5" s="24"/>
      <c r="J5" s="26">
        <v>741922.5</v>
      </c>
      <c r="K5" s="24"/>
      <c r="L5" s="24"/>
      <c r="M5" s="26"/>
    </row>
    <row r="6" spans="1:13" ht="10.199999999999999" customHeight="1" x14ac:dyDescent="0.25">
      <c r="A6" s="6">
        <f t="shared" ref="A6:A69" si="0">A5+1</f>
        <v>3</v>
      </c>
      <c r="B6" s="2" t="s">
        <v>16</v>
      </c>
      <c r="C6" s="29"/>
      <c r="D6" s="24"/>
      <c r="E6" s="25">
        <v>598230</v>
      </c>
      <c r="F6" s="25"/>
      <c r="G6" s="30">
        <v>656880</v>
      </c>
      <c r="H6" s="25"/>
      <c r="I6" s="24"/>
      <c r="J6" s="26">
        <v>627555</v>
      </c>
      <c r="K6" s="78">
        <v>774180</v>
      </c>
      <c r="L6" s="78">
        <v>859222.5</v>
      </c>
      <c r="M6" s="40">
        <v>816701.25</v>
      </c>
    </row>
    <row r="7" spans="1:13" ht="10.199999999999999" customHeight="1" x14ac:dyDescent="0.25">
      <c r="A7" s="6">
        <f t="shared" si="0"/>
        <v>4</v>
      </c>
      <c r="B7" s="2" t="s">
        <v>17</v>
      </c>
      <c r="C7" s="29"/>
      <c r="D7" s="24"/>
      <c r="E7" s="25">
        <v>633420</v>
      </c>
      <c r="F7" s="25">
        <v>609960</v>
      </c>
      <c r="G7" s="25">
        <v>633420</v>
      </c>
      <c r="H7" s="32"/>
      <c r="I7" s="24"/>
      <c r="J7" s="26">
        <v>625607.81999999995</v>
      </c>
      <c r="K7" s="39">
        <v>750720</v>
      </c>
      <c r="L7" s="39">
        <v>757758</v>
      </c>
      <c r="M7" s="40">
        <v>754239</v>
      </c>
    </row>
    <row r="8" spans="1:13" ht="10.199999999999999" customHeight="1" x14ac:dyDescent="0.25">
      <c r="A8" s="6"/>
      <c r="B8" s="2" t="s">
        <v>18</v>
      </c>
      <c r="C8" s="29"/>
      <c r="D8" s="24"/>
      <c r="E8" s="25">
        <v>517293</v>
      </c>
      <c r="F8" s="25">
        <v>533715</v>
      </c>
      <c r="G8" s="25">
        <v>517293</v>
      </c>
      <c r="H8" s="25">
        <v>541926</v>
      </c>
      <c r="I8" s="24"/>
      <c r="J8" s="26">
        <v>527556.75</v>
      </c>
      <c r="K8" s="24"/>
      <c r="L8" s="24"/>
      <c r="M8" s="42"/>
    </row>
    <row r="9" spans="1:13" ht="10.199999999999999" customHeight="1" x14ac:dyDescent="0.25">
      <c r="A9" s="6">
        <f>A7+1</f>
        <v>5</v>
      </c>
      <c r="B9" s="2" t="s">
        <v>19</v>
      </c>
      <c r="C9" s="29"/>
      <c r="D9" s="24"/>
      <c r="E9" s="25">
        <v>435757.77</v>
      </c>
      <c r="F9" s="25">
        <v>460760.27</v>
      </c>
      <c r="G9" s="25">
        <v>446473.12</v>
      </c>
      <c r="H9" s="25">
        <v>464332.05</v>
      </c>
      <c r="I9" s="24"/>
      <c r="J9" s="26">
        <v>451839.6</v>
      </c>
      <c r="K9" s="79">
        <v>480930</v>
      </c>
      <c r="L9" s="79">
        <v>507909</v>
      </c>
      <c r="M9" s="80">
        <v>494419.5</v>
      </c>
    </row>
    <row r="10" spans="1:13" ht="10.199999999999999" customHeight="1" x14ac:dyDescent="0.25">
      <c r="A10" s="6">
        <f t="shared" si="0"/>
        <v>6</v>
      </c>
      <c r="B10" s="14" t="s">
        <v>20</v>
      </c>
      <c r="C10" s="29"/>
      <c r="D10" s="24"/>
      <c r="E10" s="30">
        <v>633420</v>
      </c>
      <c r="F10" s="25">
        <v>375360</v>
      </c>
      <c r="G10" s="25"/>
      <c r="H10" s="25"/>
      <c r="I10" s="24"/>
      <c r="J10" s="26">
        <v>504390</v>
      </c>
      <c r="K10" s="24"/>
      <c r="L10" s="24"/>
      <c r="M10" s="26"/>
    </row>
    <row r="11" spans="1:13" ht="10.199999999999999" customHeight="1" x14ac:dyDescent="0.25">
      <c r="A11" s="6">
        <f t="shared" si="0"/>
        <v>7</v>
      </c>
      <c r="B11" s="2" t="s">
        <v>21</v>
      </c>
      <c r="C11" s="29"/>
      <c r="D11" s="24"/>
      <c r="E11" s="25">
        <v>286212</v>
      </c>
      <c r="F11" s="25">
        <v>302634</v>
      </c>
      <c r="G11" s="25">
        <v>293250</v>
      </c>
      <c r="H11" s="25">
        <v>304980</v>
      </c>
      <c r="I11" s="24"/>
      <c r="J11" s="26">
        <v>296769</v>
      </c>
      <c r="K11" s="41">
        <v>315537</v>
      </c>
      <c r="L11" s="41">
        <v>316710</v>
      </c>
      <c r="M11" s="26"/>
    </row>
    <row r="12" spans="1:13" ht="10.199999999999999" customHeight="1" x14ac:dyDescent="0.25">
      <c r="A12" s="6">
        <f t="shared" si="0"/>
        <v>8</v>
      </c>
      <c r="B12" s="2" t="s">
        <v>22</v>
      </c>
      <c r="C12" s="29"/>
      <c r="D12" s="24"/>
      <c r="E12" s="25">
        <v>429318</v>
      </c>
      <c r="F12" s="25">
        <v>590312.25</v>
      </c>
      <c r="G12" s="25">
        <v>590312.25</v>
      </c>
      <c r="H12" s="25">
        <v>643977</v>
      </c>
      <c r="I12" s="24"/>
      <c r="J12" s="26">
        <v>563485.74</v>
      </c>
      <c r="K12" s="34">
        <v>656880</v>
      </c>
      <c r="L12" s="34">
        <v>659226</v>
      </c>
      <c r="M12" s="26"/>
    </row>
    <row r="13" spans="1:13" ht="10.199999999999999" customHeight="1" x14ac:dyDescent="0.25">
      <c r="A13" s="6">
        <f t="shared" si="0"/>
        <v>9</v>
      </c>
      <c r="B13" s="2" t="s">
        <v>23</v>
      </c>
      <c r="C13" s="29"/>
      <c r="D13" s="24"/>
      <c r="E13" s="25">
        <v>235773</v>
      </c>
      <c r="F13" s="25">
        <v>432250.5</v>
      </c>
      <c r="G13" s="25">
        <v>432250.5</v>
      </c>
      <c r="H13" s="25">
        <v>314364</v>
      </c>
      <c r="I13" s="24"/>
      <c r="J13" s="26">
        <v>353659.5</v>
      </c>
      <c r="K13" s="35">
        <v>422280</v>
      </c>
      <c r="L13" s="35">
        <v>423453</v>
      </c>
      <c r="M13" s="26"/>
    </row>
    <row r="14" spans="1:13" ht="10.199999999999999" customHeight="1" x14ac:dyDescent="0.25">
      <c r="A14" s="6">
        <f t="shared" si="0"/>
        <v>10</v>
      </c>
      <c r="B14" s="2" t="s">
        <v>24</v>
      </c>
      <c r="C14" s="29"/>
      <c r="D14" s="24"/>
      <c r="E14" s="25">
        <v>117300</v>
      </c>
      <c r="F14" s="25">
        <v>143106</v>
      </c>
      <c r="G14" s="25">
        <v>117300</v>
      </c>
      <c r="H14" s="25">
        <v>140760</v>
      </c>
      <c r="I14" s="24"/>
      <c r="J14" s="26">
        <v>129616.5</v>
      </c>
      <c r="K14" s="39">
        <v>153663</v>
      </c>
      <c r="L14" s="39"/>
      <c r="M14" s="40">
        <v>153663</v>
      </c>
    </row>
    <row r="15" spans="1:13" ht="10.199999999999999" customHeight="1" x14ac:dyDescent="0.25">
      <c r="A15" s="6">
        <f t="shared" si="0"/>
        <v>11</v>
      </c>
      <c r="B15" s="2" t="s">
        <v>25</v>
      </c>
      <c r="C15" s="36"/>
      <c r="D15" s="37"/>
      <c r="E15" s="38">
        <v>105570</v>
      </c>
      <c r="F15" s="25"/>
      <c r="G15" s="25">
        <v>152490</v>
      </c>
      <c r="H15" s="38"/>
      <c r="I15" s="24"/>
      <c r="J15" s="26">
        <v>129030</v>
      </c>
      <c r="K15" s="39">
        <v>129030</v>
      </c>
      <c r="L15" s="39">
        <v>199410</v>
      </c>
      <c r="M15" s="40">
        <v>164220</v>
      </c>
    </row>
    <row r="16" spans="1:13" s="15" customFormat="1" ht="10.199999999999999" customHeight="1" x14ac:dyDescent="0.25">
      <c r="A16" s="6">
        <f t="shared" si="0"/>
        <v>12</v>
      </c>
      <c r="B16" s="2" t="s">
        <v>26</v>
      </c>
      <c r="C16" s="36"/>
      <c r="D16" s="37"/>
      <c r="E16" s="38">
        <v>70380</v>
      </c>
      <c r="F16" s="25">
        <v>76245</v>
      </c>
      <c r="G16" s="25">
        <v>58650</v>
      </c>
      <c r="H16" s="38">
        <v>76245</v>
      </c>
      <c r="I16" s="24"/>
      <c r="J16" s="26">
        <v>70380</v>
      </c>
      <c r="K16" s="39">
        <v>85629</v>
      </c>
      <c r="L16" s="39">
        <v>86215.5</v>
      </c>
      <c r="M16" s="40">
        <v>85922.25</v>
      </c>
    </row>
    <row r="17" spans="1:13" ht="10.199999999999999" customHeight="1" x14ac:dyDescent="0.25">
      <c r="A17" s="6">
        <f t="shared" si="0"/>
        <v>13</v>
      </c>
      <c r="B17" s="2" t="s">
        <v>27</v>
      </c>
      <c r="C17" s="36"/>
      <c r="D17" s="37"/>
      <c r="E17" s="38"/>
      <c r="F17" s="25"/>
      <c r="G17" s="25"/>
      <c r="H17" s="38"/>
      <c r="I17" s="24"/>
      <c r="J17" s="26"/>
      <c r="K17" s="41">
        <v>51612</v>
      </c>
      <c r="L17" s="41">
        <v>51846.6</v>
      </c>
      <c r="M17" s="42">
        <v>51729.3</v>
      </c>
    </row>
    <row r="18" spans="1:13" ht="21.6" customHeight="1" x14ac:dyDescent="0.25">
      <c r="A18" s="6">
        <f t="shared" si="0"/>
        <v>14</v>
      </c>
      <c r="B18" s="2" t="s">
        <v>28</v>
      </c>
      <c r="C18" s="36"/>
      <c r="D18" s="37"/>
      <c r="E18" s="38">
        <v>117300</v>
      </c>
      <c r="F18" s="38">
        <v>143106</v>
      </c>
      <c r="G18" s="38">
        <v>117300</v>
      </c>
      <c r="H18" s="38">
        <v>140760</v>
      </c>
      <c r="I18" s="24"/>
      <c r="J18" s="26">
        <v>129616.5</v>
      </c>
      <c r="K18" s="39">
        <v>129030</v>
      </c>
      <c r="L18" s="39">
        <v>130203</v>
      </c>
      <c r="M18" s="40">
        <v>129616.5</v>
      </c>
    </row>
    <row r="19" spans="1:13" ht="12" customHeight="1" x14ac:dyDescent="0.25">
      <c r="A19" s="6"/>
      <c r="B19" s="2" t="s">
        <v>29</v>
      </c>
      <c r="C19" s="36"/>
      <c r="D19" s="37"/>
      <c r="E19" s="38">
        <v>197064</v>
      </c>
      <c r="F19" s="38">
        <v>201990.6</v>
      </c>
      <c r="G19" s="38">
        <v>192137.4</v>
      </c>
      <c r="H19" s="38">
        <v>201990.6</v>
      </c>
      <c r="I19" s="24"/>
      <c r="J19" s="26">
        <v>198295.65</v>
      </c>
      <c r="K19" s="43">
        <v>134895</v>
      </c>
      <c r="L19" s="43">
        <v>175950</v>
      </c>
      <c r="M19" s="26"/>
    </row>
    <row r="20" spans="1:13" ht="10.199999999999999" customHeight="1" x14ac:dyDescent="0.25">
      <c r="A20" s="6">
        <f>A18+1</f>
        <v>15</v>
      </c>
      <c r="B20" s="2" t="s">
        <v>30</v>
      </c>
      <c r="C20" s="36"/>
      <c r="D20" s="37"/>
      <c r="E20" s="38">
        <v>469200</v>
      </c>
      <c r="F20" s="25">
        <v>480930</v>
      </c>
      <c r="G20" s="25">
        <v>457470</v>
      </c>
      <c r="H20" s="38">
        <v>480930</v>
      </c>
      <c r="I20" s="24"/>
      <c r="J20" s="26">
        <v>472132.5</v>
      </c>
      <c r="K20" s="39">
        <v>551310</v>
      </c>
      <c r="L20" s="39">
        <v>554829</v>
      </c>
      <c r="M20" s="40">
        <v>553069.5</v>
      </c>
    </row>
    <row r="21" spans="1:13" ht="10.199999999999999" customHeight="1" x14ac:dyDescent="0.25">
      <c r="A21" s="6">
        <f t="shared" si="0"/>
        <v>16</v>
      </c>
      <c r="B21" s="2" t="s">
        <v>31</v>
      </c>
      <c r="C21" s="36"/>
      <c r="D21" s="37"/>
      <c r="E21" s="38">
        <v>410550</v>
      </c>
      <c r="F21" s="25">
        <v>428145</v>
      </c>
      <c r="G21" s="25">
        <v>398820</v>
      </c>
      <c r="H21" s="38">
        <v>434010</v>
      </c>
      <c r="I21" s="24"/>
      <c r="J21" s="26">
        <v>417881.25</v>
      </c>
      <c r="K21" s="39">
        <v>486795</v>
      </c>
      <c r="L21" s="39">
        <v>504390</v>
      </c>
      <c r="M21" s="40">
        <v>495592.5</v>
      </c>
    </row>
    <row r="22" spans="1:13" ht="10.199999999999999" customHeight="1" x14ac:dyDescent="0.25">
      <c r="A22" s="6">
        <f t="shared" si="0"/>
        <v>17</v>
      </c>
      <c r="B22" s="2" t="s">
        <v>32</v>
      </c>
      <c r="C22" s="36"/>
      <c r="D22" s="37"/>
      <c r="E22" s="38">
        <v>480930</v>
      </c>
      <c r="F22" s="38">
        <v>486795</v>
      </c>
      <c r="G22" s="38">
        <v>480930</v>
      </c>
      <c r="H22" s="38">
        <v>494615</v>
      </c>
      <c r="I22" s="24"/>
      <c r="J22" s="26">
        <v>485821.41</v>
      </c>
      <c r="K22" s="81">
        <v>491487</v>
      </c>
      <c r="L22" s="81">
        <v>498525</v>
      </c>
      <c r="M22" s="40">
        <v>507322.5</v>
      </c>
    </row>
    <row r="23" spans="1:13" ht="10.199999999999999" customHeight="1" x14ac:dyDescent="0.25">
      <c r="A23" s="6">
        <f t="shared" si="0"/>
        <v>18</v>
      </c>
      <c r="B23" s="2" t="s">
        <v>33</v>
      </c>
      <c r="C23" s="36"/>
      <c r="D23" s="37"/>
      <c r="E23" s="38">
        <v>422280</v>
      </c>
      <c r="F23" s="38">
        <v>428145</v>
      </c>
      <c r="G23" s="38">
        <v>410550</v>
      </c>
      <c r="H23" s="38">
        <v>447695</v>
      </c>
      <c r="I23" s="24"/>
      <c r="J23" s="26">
        <v>427171.41</v>
      </c>
      <c r="K23" s="46">
        <v>383571</v>
      </c>
      <c r="L23" s="46">
        <v>521398.5</v>
      </c>
      <c r="M23" s="26"/>
    </row>
    <row r="24" spans="1:13" ht="10.199999999999999" customHeight="1" x14ac:dyDescent="0.25">
      <c r="A24" s="6">
        <f t="shared" si="0"/>
        <v>19</v>
      </c>
      <c r="B24" s="1" t="s">
        <v>34</v>
      </c>
      <c r="C24" s="47"/>
      <c r="D24" s="37"/>
      <c r="E24" s="38">
        <v>469200</v>
      </c>
      <c r="F24" s="25">
        <v>492660</v>
      </c>
      <c r="G24" s="25">
        <v>457470</v>
      </c>
      <c r="H24" s="38">
        <v>480930</v>
      </c>
      <c r="I24" s="24"/>
      <c r="J24" s="26">
        <v>475065</v>
      </c>
      <c r="K24" s="35">
        <v>551310</v>
      </c>
      <c r="L24" s="35">
        <v>554829</v>
      </c>
      <c r="M24" s="76">
        <v>553069.5</v>
      </c>
    </row>
    <row r="25" spans="1:13" ht="10.199999999999999" customHeight="1" x14ac:dyDescent="0.25">
      <c r="A25" s="6">
        <f t="shared" si="0"/>
        <v>20</v>
      </c>
      <c r="B25" s="2" t="s">
        <v>35</v>
      </c>
      <c r="C25" s="36"/>
      <c r="D25" s="37"/>
      <c r="E25" s="38">
        <v>586500</v>
      </c>
      <c r="F25" s="25">
        <v>574770</v>
      </c>
      <c r="G25" s="25">
        <v>551310</v>
      </c>
      <c r="H25" s="38">
        <v>586500</v>
      </c>
      <c r="I25" s="24"/>
      <c r="J25" s="26">
        <v>574770</v>
      </c>
      <c r="K25" s="81">
        <v>570078</v>
      </c>
      <c r="L25" s="81">
        <v>627555</v>
      </c>
      <c r="M25" s="82">
        <v>598816.5</v>
      </c>
    </row>
    <row r="26" spans="1:13" ht="10.8" customHeight="1" x14ac:dyDescent="0.25">
      <c r="A26" s="6">
        <f t="shared" si="0"/>
        <v>21</v>
      </c>
      <c r="B26" s="2" t="s">
        <v>36</v>
      </c>
      <c r="C26" s="36"/>
      <c r="D26" s="37"/>
      <c r="E26" s="38">
        <v>586500</v>
      </c>
      <c r="F26" s="25">
        <v>586500</v>
      </c>
      <c r="G26" s="25">
        <v>609960</v>
      </c>
      <c r="H26" s="38"/>
      <c r="I26" s="24"/>
      <c r="J26" s="26">
        <v>594323.91</v>
      </c>
      <c r="K26" s="35">
        <v>699108</v>
      </c>
      <c r="L26" s="35">
        <v>781218</v>
      </c>
      <c r="M26" s="76">
        <v>740163</v>
      </c>
    </row>
    <row r="27" spans="1:13" ht="10.199999999999999" customHeight="1" x14ac:dyDescent="0.25">
      <c r="A27" s="6">
        <f t="shared" si="0"/>
        <v>22</v>
      </c>
      <c r="B27" s="2" t="s">
        <v>37</v>
      </c>
      <c r="C27" s="36"/>
      <c r="D27" s="37"/>
      <c r="E27" s="38">
        <v>527850</v>
      </c>
      <c r="F27" s="25">
        <v>504390</v>
      </c>
      <c r="G27" s="25">
        <v>516120</v>
      </c>
      <c r="H27" s="38"/>
      <c r="I27" s="24"/>
      <c r="J27" s="26">
        <v>516120</v>
      </c>
      <c r="K27" s="39">
        <v>668610</v>
      </c>
      <c r="L27" s="39">
        <v>703800</v>
      </c>
      <c r="M27" s="40">
        <v>686205</v>
      </c>
    </row>
    <row r="28" spans="1:13" ht="10.199999999999999" customHeight="1" x14ac:dyDescent="0.25">
      <c r="A28" s="6">
        <f t="shared" si="0"/>
        <v>23</v>
      </c>
      <c r="B28" s="2" t="s">
        <v>38</v>
      </c>
      <c r="C28" s="36"/>
      <c r="D28" s="37"/>
      <c r="E28" s="38">
        <v>2287350</v>
      </c>
      <c r="F28" s="25">
        <v>2029290</v>
      </c>
      <c r="G28" s="25">
        <v>2111400</v>
      </c>
      <c r="H28" s="38">
        <v>1994100</v>
      </c>
      <c r="I28" s="24"/>
      <c r="J28" s="26">
        <v>2105535</v>
      </c>
      <c r="K28" s="39">
        <v>2087940</v>
      </c>
      <c r="L28" s="39">
        <v>2557140</v>
      </c>
      <c r="M28" s="40">
        <v>2322540</v>
      </c>
    </row>
    <row r="29" spans="1:13" ht="10.199999999999999" customHeight="1" x14ac:dyDescent="0.25">
      <c r="A29" s="6">
        <f t="shared" si="0"/>
        <v>24</v>
      </c>
      <c r="B29" s="2" t="s">
        <v>39</v>
      </c>
      <c r="C29" s="36"/>
      <c r="D29" s="37"/>
      <c r="E29" s="38">
        <v>2228700</v>
      </c>
      <c r="F29" s="25">
        <v>2029290</v>
      </c>
      <c r="G29" s="25">
        <v>2052750</v>
      </c>
      <c r="H29" s="38">
        <v>1935450</v>
      </c>
      <c r="I29" s="24"/>
      <c r="J29" s="26">
        <v>2061547.5</v>
      </c>
      <c r="K29" s="35">
        <v>1958910</v>
      </c>
      <c r="L29" s="35">
        <v>2370633</v>
      </c>
      <c r="M29" s="76">
        <v>2164771.5</v>
      </c>
    </row>
    <row r="30" spans="1:13" ht="10.199999999999999" customHeight="1" x14ac:dyDescent="0.25">
      <c r="A30" s="6">
        <f t="shared" si="0"/>
        <v>25</v>
      </c>
      <c r="B30" s="2" t="s">
        <v>40</v>
      </c>
      <c r="C30" s="36"/>
      <c r="D30" s="37"/>
      <c r="E30" s="38">
        <v>2463300</v>
      </c>
      <c r="F30" s="25">
        <v>2052750</v>
      </c>
      <c r="G30" s="25">
        <v>2170050</v>
      </c>
      <c r="H30" s="38"/>
      <c r="I30" s="24"/>
      <c r="J30" s="26">
        <v>2228700</v>
      </c>
      <c r="K30" s="83">
        <v>913767</v>
      </c>
      <c r="L30" s="41">
        <v>2244340</v>
      </c>
      <c r="M30" s="26">
        <v>2241994</v>
      </c>
    </row>
    <row r="31" spans="1:13" ht="10.199999999999999" customHeight="1" x14ac:dyDescent="0.25">
      <c r="A31" s="6">
        <f t="shared" si="0"/>
        <v>26</v>
      </c>
      <c r="B31" s="2" t="s">
        <v>41</v>
      </c>
      <c r="C31" s="36"/>
      <c r="D31" s="37"/>
      <c r="E31" s="38">
        <v>1847475</v>
      </c>
      <c r="F31" s="38">
        <v>1539562.5</v>
      </c>
      <c r="G31" s="38">
        <v>1627537.5</v>
      </c>
      <c r="H31" s="38"/>
      <c r="I31" s="24"/>
      <c r="J31" s="26">
        <v>1671525</v>
      </c>
      <c r="K31" s="39">
        <v>1679736</v>
      </c>
      <c r="L31" s="39">
        <v>1683255</v>
      </c>
      <c r="M31" s="40">
        <v>1681495.5</v>
      </c>
    </row>
    <row r="32" spans="1:13" ht="10.199999999999999" customHeight="1" x14ac:dyDescent="0.25">
      <c r="A32" s="6">
        <f t="shared" si="0"/>
        <v>27</v>
      </c>
      <c r="B32" s="2" t="s">
        <v>42</v>
      </c>
      <c r="C32" s="36"/>
      <c r="D32" s="37"/>
      <c r="E32" s="38">
        <v>469200</v>
      </c>
      <c r="F32" s="25">
        <v>410550</v>
      </c>
      <c r="G32" s="25">
        <v>410550</v>
      </c>
      <c r="H32" s="38"/>
      <c r="I32" s="24"/>
      <c r="J32" s="26">
        <v>430103.91</v>
      </c>
      <c r="K32" s="50">
        <v>297942</v>
      </c>
      <c r="L32" s="50">
        <v>916113</v>
      </c>
      <c r="M32" s="26"/>
    </row>
    <row r="33" spans="1:13" ht="10.199999999999999" customHeight="1" x14ac:dyDescent="0.25">
      <c r="A33" s="6">
        <f t="shared" si="0"/>
        <v>28</v>
      </c>
      <c r="B33" s="2" t="s">
        <v>43</v>
      </c>
      <c r="C33" s="36"/>
      <c r="D33" s="37"/>
      <c r="E33" s="25">
        <v>351900</v>
      </c>
      <c r="F33" s="25">
        <v>307912.5</v>
      </c>
      <c r="G33" s="25">
        <v>307912.5</v>
      </c>
      <c r="H33" s="38"/>
      <c r="I33" s="24"/>
      <c r="J33" s="26">
        <v>322575</v>
      </c>
      <c r="K33" s="84">
        <v>263925</v>
      </c>
      <c r="L33" s="84">
        <v>272136</v>
      </c>
      <c r="M33" s="26"/>
    </row>
    <row r="34" spans="1:13" ht="10.199999999999999" customHeight="1" x14ac:dyDescent="0.25">
      <c r="A34" s="6">
        <f t="shared" si="0"/>
        <v>29</v>
      </c>
      <c r="B34" s="2" t="s">
        <v>44</v>
      </c>
      <c r="C34" s="36"/>
      <c r="D34" s="37"/>
      <c r="E34" s="38">
        <v>70380</v>
      </c>
      <c r="F34" s="25">
        <v>59119.199999999997</v>
      </c>
      <c r="G34" s="25">
        <v>59119.199999999997</v>
      </c>
      <c r="H34" s="38"/>
      <c r="I34" s="24"/>
      <c r="J34" s="26">
        <v>62872.800000000003</v>
      </c>
      <c r="K34" s="35">
        <v>79764</v>
      </c>
      <c r="L34" s="35">
        <v>94426.5</v>
      </c>
      <c r="M34" s="51">
        <v>87095.25</v>
      </c>
    </row>
    <row r="35" spans="1:13" ht="10.199999999999999" customHeight="1" x14ac:dyDescent="0.25">
      <c r="A35" s="6">
        <f t="shared" si="0"/>
        <v>30</v>
      </c>
      <c r="B35" s="2" t="s">
        <v>45</v>
      </c>
      <c r="C35" s="36"/>
      <c r="D35" s="37"/>
      <c r="E35" s="38">
        <v>187680</v>
      </c>
      <c r="F35" s="25">
        <v>175950</v>
      </c>
      <c r="G35" s="25"/>
      <c r="H35" s="38"/>
      <c r="I35" s="24"/>
      <c r="J35" s="26">
        <v>181815</v>
      </c>
      <c r="K35" s="24"/>
      <c r="L35" s="24"/>
      <c r="M35" s="26">
        <v>181815</v>
      </c>
    </row>
    <row r="36" spans="1:13" ht="10.199999999999999" customHeight="1" x14ac:dyDescent="0.25">
      <c r="A36" s="6">
        <f t="shared" si="0"/>
        <v>31</v>
      </c>
      <c r="B36" s="2" t="s">
        <v>46</v>
      </c>
      <c r="C36" s="36"/>
      <c r="D36" s="37"/>
      <c r="E36" s="38">
        <v>304980</v>
      </c>
      <c r="F36" s="25"/>
      <c r="G36" s="25">
        <v>316710</v>
      </c>
      <c r="H36" s="38"/>
      <c r="I36" s="24"/>
      <c r="J36" s="26">
        <v>310845</v>
      </c>
      <c r="K36" s="85">
        <v>158355</v>
      </c>
      <c r="L36" s="37"/>
      <c r="M36" s="26">
        <v>310845</v>
      </c>
    </row>
    <row r="37" spans="1:13" ht="10.199999999999999" customHeight="1" x14ac:dyDescent="0.25">
      <c r="A37" s="6">
        <f t="shared" si="0"/>
        <v>32</v>
      </c>
      <c r="B37" s="2" t="s">
        <v>47</v>
      </c>
      <c r="C37" s="36"/>
      <c r="D37" s="37"/>
      <c r="E37" s="38">
        <v>469200</v>
      </c>
      <c r="F37" s="25"/>
      <c r="G37" s="25">
        <v>516120</v>
      </c>
      <c r="H37" s="38"/>
      <c r="I37" s="24"/>
      <c r="J37" s="26">
        <v>492660</v>
      </c>
      <c r="K37" s="24"/>
      <c r="L37" s="24"/>
      <c r="M37" s="26">
        <v>492660</v>
      </c>
    </row>
    <row r="38" spans="1:13" ht="10.199999999999999" customHeight="1" x14ac:dyDescent="0.25">
      <c r="A38" s="6">
        <f t="shared" si="0"/>
        <v>33</v>
      </c>
      <c r="B38" s="2" t="s">
        <v>48</v>
      </c>
      <c r="C38" s="36"/>
      <c r="D38" s="37"/>
      <c r="E38" s="38"/>
      <c r="F38" s="25"/>
      <c r="G38" s="25"/>
      <c r="H38" s="38"/>
      <c r="I38" s="24"/>
      <c r="J38" s="52">
        <v>46920</v>
      </c>
      <c r="K38" s="53">
        <v>46920</v>
      </c>
      <c r="L38" s="53">
        <v>48093</v>
      </c>
      <c r="M38" s="52">
        <v>46920</v>
      </c>
    </row>
    <row r="39" spans="1:13" ht="26.4" x14ac:dyDescent="0.25">
      <c r="A39" s="6">
        <f t="shared" si="0"/>
        <v>34</v>
      </c>
      <c r="B39" s="2" t="s">
        <v>49</v>
      </c>
      <c r="C39" s="36"/>
      <c r="D39" s="37"/>
      <c r="E39" s="38">
        <v>48914.1</v>
      </c>
      <c r="F39" s="38">
        <v>49852.5</v>
      </c>
      <c r="G39" s="38"/>
      <c r="H39" s="38"/>
      <c r="I39" s="24"/>
      <c r="J39" s="54">
        <v>49383.3</v>
      </c>
      <c r="K39" s="50">
        <v>72726</v>
      </c>
      <c r="L39" s="50">
        <v>73077.899999999994</v>
      </c>
      <c r="M39" s="54">
        <v>49383.3</v>
      </c>
    </row>
    <row r="40" spans="1:13" ht="20.399999999999999" customHeight="1" x14ac:dyDescent="0.25">
      <c r="A40" s="6"/>
      <c r="B40" s="2" t="s">
        <v>50</v>
      </c>
      <c r="C40" s="36"/>
      <c r="D40" s="37"/>
      <c r="E40" s="38"/>
      <c r="F40" s="38"/>
      <c r="G40" s="38"/>
      <c r="H40" s="38"/>
      <c r="I40" s="24"/>
      <c r="J40" s="26"/>
      <c r="K40" s="37"/>
      <c r="L40" s="41">
        <v>49500.6</v>
      </c>
      <c r="M40" s="41">
        <v>49500.6</v>
      </c>
    </row>
    <row r="41" spans="1:13" ht="30.6" customHeight="1" x14ac:dyDescent="0.25">
      <c r="A41" s="6">
        <f>A39+1</f>
        <v>35</v>
      </c>
      <c r="B41" s="2" t="s">
        <v>51</v>
      </c>
      <c r="C41" s="36"/>
      <c r="D41" s="37"/>
      <c r="E41" s="38">
        <v>53840.7</v>
      </c>
      <c r="F41" s="38"/>
      <c r="G41" s="38"/>
      <c r="H41" s="38"/>
      <c r="I41" s="37"/>
      <c r="J41" s="54">
        <v>53840.7</v>
      </c>
      <c r="K41" s="24"/>
      <c r="L41" s="24"/>
      <c r="M41" s="54">
        <v>53840.7</v>
      </c>
    </row>
    <row r="42" spans="1:13" ht="30.6" customHeight="1" x14ac:dyDescent="0.25">
      <c r="A42" s="6">
        <f t="shared" si="0"/>
        <v>36</v>
      </c>
      <c r="B42" s="2" t="s">
        <v>52</v>
      </c>
      <c r="C42" s="36"/>
      <c r="D42" s="37" t="s">
        <v>99</v>
      </c>
      <c r="E42" s="38">
        <v>46920</v>
      </c>
      <c r="F42" s="38">
        <v>41055</v>
      </c>
      <c r="G42" s="38"/>
      <c r="H42" s="38">
        <v>39178.199999999997</v>
      </c>
      <c r="I42" s="37"/>
      <c r="J42" s="54">
        <v>42392.22</v>
      </c>
      <c r="K42" s="24"/>
      <c r="L42" s="24"/>
      <c r="M42" s="54">
        <v>43987.5</v>
      </c>
    </row>
    <row r="43" spans="1:13" ht="9.6" customHeight="1" x14ac:dyDescent="0.25">
      <c r="A43" s="6">
        <f t="shared" si="0"/>
        <v>37</v>
      </c>
      <c r="B43" s="3" t="s">
        <v>53</v>
      </c>
      <c r="C43" s="29"/>
      <c r="D43" s="37"/>
      <c r="E43" s="38"/>
      <c r="F43" s="38">
        <v>43401</v>
      </c>
      <c r="G43" s="38"/>
      <c r="H43" s="38"/>
      <c r="I43" s="37"/>
      <c r="J43" s="37"/>
      <c r="K43" s="78">
        <v>99705</v>
      </c>
      <c r="L43" s="78"/>
      <c r="M43" s="78">
        <v>99705</v>
      </c>
    </row>
    <row r="44" spans="1:13" ht="9.6" customHeight="1" x14ac:dyDescent="0.25">
      <c r="A44" s="6">
        <f t="shared" si="0"/>
        <v>38</v>
      </c>
      <c r="B44" s="3" t="s">
        <v>54</v>
      </c>
      <c r="C44" s="29"/>
      <c r="D44" s="37"/>
      <c r="E44" s="38"/>
      <c r="F44" s="38">
        <v>43401</v>
      </c>
      <c r="G44" s="38"/>
      <c r="H44" s="38"/>
      <c r="I44" s="37"/>
      <c r="J44" s="37"/>
      <c r="K44" s="78">
        <v>79764</v>
      </c>
      <c r="L44" s="78"/>
      <c r="M44" s="78">
        <v>79764</v>
      </c>
    </row>
    <row r="45" spans="1:13" ht="10.199999999999999" hidden="1" customHeight="1" x14ac:dyDescent="0.25">
      <c r="A45" s="6"/>
      <c r="B45" s="3" t="s">
        <v>55</v>
      </c>
      <c r="C45" s="29"/>
      <c r="D45" s="37"/>
      <c r="E45" s="38"/>
      <c r="F45" s="38"/>
      <c r="G45" s="38"/>
      <c r="H45" s="38"/>
      <c r="I45" s="56">
        <v>32844</v>
      </c>
      <c r="J45" s="37"/>
      <c r="K45" s="37"/>
      <c r="L45" s="37"/>
      <c r="M45" s="57" t="s">
        <v>100</v>
      </c>
    </row>
    <row r="46" spans="1:13" ht="10.199999999999999" hidden="1" customHeight="1" x14ac:dyDescent="0.25">
      <c r="A46" s="6"/>
      <c r="B46" s="3" t="s">
        <v>56</v>
      </c>
      <c r="C46" s="29"/>
      <c r="D46" s="37"/>
      <c r="E46" s="38"/>
      <c r="F46" s="38"/>
      <c r="G46" s="38"/>
      <c r="H46" s="38"/>
      <c r="I46" s="56">
        <v>11730</v>
      </c>
      <c r="J46" s="37"/>
      <c r="K46" s="37"/>
      <c r="L46" s="37"/>
      <c r="M46" s="57" t="s">
        <v>100</v>
      </c>
    </row>
    <row r="47" spans="1:13" ht="10.199999999999999" hidden="1" customHeight="1" x14ac:dyDescent="0.25">
      <c r="A47" s="6"/>
      <c r="B47" s="3" t="s">
        <v>57</v>
      </c>
      <c r="C47" s="29"/>
      <c r="D47" s="37"/>
      <c r="E47" s="38"/>
      <c r="F47" s="38"/>
      <c r="G47" s="38">
        <v>46920</v>
      </c>
      <c r="H47" s="38"/>
      <c r="I47" s="56">
        <v>23460</v>
      </c>
      <c r="J47" s="37"/>
      <c r="K47" s="37"/>
      <c r="L47" s="37"/>
      <c r="M47" s="57" t="s">
        <v>100</v>
      </c>
    </row>
    <row r="48" spans="1:13" ht="10.199999999999999" hidden="1" customHeight="1" x14ac:dyDescent="0.25">
      <c r="A48" s="6"/>
      <c r="B48" s="3" t="s">
        <v>58</v>
      </c>
      <c r="C48" s="29"/>
      <c r="D48" s="37"/>
      <c r="E48" s="38"/>
      <c r="F48" s="38"/>
      <c r="G48" s="38">
        <v>17595</v>
      </c>
      <c r="H48" s="38"/>
      <c r="I48" s="56">
        <v>11730</v>
      </c>
      <c r="J48" s="37"/>
      <c r="K48" s="37"/>
      <c r="L48" s="37"/>
      <c r="M48" s="57" t="s">
        <v>100</v>
      </c>
    </row>
    <row r="49" spans="1:18" ht="10.199999999999999" customHeight="1" x14ac:dyDescent="0.25">
      <c r="A49" s="6">
        <v>39</v>
      </c>
      <c r="B49" s="3" t="s">
        <v>59</v>
      </c>
      <c r="C49" s="29"/>
      <c r="D49" s="37"/>
      <c r="E49" s="38"/>
      <c r="F49" s="58">
        <v>23460</v>
      </c>
      <c r="G49" s="38"/>
      <c r="H49" s="58"/>
      <c r="I49" s="37"/>
      <c r="J49" s="37"/>
      <c r="K49" s="59">
        <v>35893.800000000003</v>
      </c>
      <c r="L49" s="59">
        <v>84221.4</v>
      </c>
      <c r="M49" s="59">
        <v>60057.599999999999</v>
      </c>
    </row>
    <row r="50" spans="1:18" ht="19.2" customHeight="1" x14ac:dyDescent="0.25">
      <c r="A50" s="6">
        <f t="shared" si="0"/>
        <v>40</v>
      </c>
      <c r="B50" s="3" t="s">
        <v>60</v>
      </c>
      <c r="C50" s="29"/>
      <c r="D50" s="37"/>
      <c r="E50" s="38"/>
      <c r="F50" s="38"/>
      <c r="G50" s="38"/>
      <c r="H50" s="38"/>
      <c r="I50" s="56">
        <v>41055</v>
      </c>
      <c r="J50" s="26"/>
      <c r="K50" s="37"/>
      <c r="L50" s="37"/>
      <c r="M50" s="60">
        <v>41055</v>
      </c>
    </row>
    <row r="51" spans="1:18" ht="10.199999999999999" customHeight="1" x14ac:dyDescent="0.25">
      <c r="A51" s="6">
        <f t="shared" si="0"/>
        <v>41</v>
      </c>
      <c r="B51" s="7" t="s">
        <v>61</v>
      </c>
      <c r="C51" s="38">
        <v>19119.900000000001</v>
      </c>
      <c r="D51" s="61"/>
      <c r="E51" s="62"/>
      <c r="F51" s="38"/>
      <c r="G51" s="62"/>
      <c r="H51" s="38"/>
      <c r="I51" s="61"/>
      <c r="J51" s="26"/>
      <c r="K51" s="61"/>
      <c r="L51" s="61"/>
      <c r="M51" s="26">
        <v>19119.900000000001</v>
      </c>
    </row>
    <row r="52" spans="1:18" ht="10.199999999999999" customHeight="1" x14ac:dyDescent="0.25">
      <c r="A52" s="6">
        <f t="shared" si="0"/>
        <v>42</v>
      </c>
      <c r="B52" s="10" t="s">
        <v>62</v>
      </c>
      <c r="C52" s="38">
        <v>19119.900000000001</v>
      </c>
      <c r="D52" s="37"/>
      <c r="E52" s="38"/>
      <c r="F52" s="38"/>
      <c r="G52" s="38"/>
      <c r="H52" s="38"/>
      <c r="I52" s="37"/>
      <c r="J52" s="37"/>
      <c r="K52" s="78">
        <v>22287</v>
      </c>
      <c r="L52" s="78">
        <v>22345.65</v>
      </c>
      <c r="M52" s="78">
        <v>22322.19</v>
      </c>
    </row>
    <row r="53" spans="1:18" ht="10.199999999999999" customHeight="1" x14ac:dyDescent="0.25">
      <c r="A53" s="6">
        <f t="shared" si="0"/>
        <v>43</v>
      </c>
      <c r="B53" s="10" t="s">
        <v>63</v>
      </c>
      <c r="C53" s="38">
        <v>19119.900000000001</v>
      </c>
      <c r="D53" s="37"/>
      <c r="E53" s="38"/>
      <c r="F53" s="38"/>
      <c r="G53" s="38"/>
      <c r="H53" s="38"/>
      <c r="I53" s="37"/>
      <c r="J53" s="37"/>
      <c r="K53" s="78">
        <v>41055</v>
      </c>
      <c r="L53" s="78"/>
      <c r="M53" s="78">
        <v>41055</v>
      </c>
    </row>
    <row r="54" spans="1:18" ht="10.199999999999999" customHeight="1" x14ac:dyDescent="0.25">
      <c r="A54" s="6">
        <f t="shared" si="0"/>
        <v>44</v>
      </c>
      <c r="B54" s="10" t="s">
        <v>64</v>
      </c>
      <c r="C54" s="38"/>
      <c r="D54" s="37">
        <v>37536</v>
      </c>
      <c r="E54" s="38"/>
      <c r="F54" s="38"/>
      <c r="G54" s="38"/>
      <c r="H54" s="38"/>
      <c r="I54" s="37"/>
      <c r="J54" s="52">
        <v>37536</v>
      </c>
      <c r="K54" s="37"/>
      <c r="L54" s="37"/>
      <c r="M54" s="52">
        <v>37536</v>
      </c>
    </row>
    <row r="55" spans="1:18" ht="10.199999999999999" customHeight="1" x14ac:dyDescent="0.25">
      <c r="A55" s="6">
        <f t="shared" si="0"/>
        <v>45</v>
      </c>
      <c r="B55" s="10" t="s">
        <v>65</v>
      </c>
      <c r="C55" s="38"/>
      <c r="D55" s="37"/>
      <c r="E55" s="38"/>
      <c r="F55" s="38"/>
      <c r="G55" s="38"/>
      <c r="H55" s="38"/>
      <c r="I55" s="37"/>
      <c r="J55" s="54"/>
      <c r="K55" s="37"/>
      <c r="L55" s="37"/>
      <c r="M55" s="54">
        <v>22949.75</v>
      </c>
    </row>
    <row r="56" spans="1:18" s="8" customFormat="1" ht="10.199999999999999" customHeight="1" x14ac:dyDescent="0.25">
      <c r="A56" s="6">
        <f t="shared" si="0"/>
        <v>46</v>
      </c>
      <c r="B56" s="7" t="s">
        <v>66</v>
      </c>
      <c r="C56" s="38">
        <v>20175.599999999999</v>
      </c>
      <c r="D56" s="37">
        <v>31671</v>
      </c>
      <c r="E56" s="38"/>
      <c r="F56" s="38"/>
      <c r="G56" s="38"/>
      <c r="H56" s="38"/>
      <c r="I56" s="37"/>
      <c r="J56" s="26">
        <v>25923.3</v>
      </c>
      <c r="K56" s="37"/>
      <c r="L56" s="37"/>
      <c r="M56" s="26">
        <v>25923.3</v>
      </c>
      <c r="N56" s="4"/>
      <c r="O56" s="4"/>
      <c r="P56" s="4"/>
      <c r="Q56" s="4"/>
      <c r="R56" s="4"/>
    </row>
    <row r="57" spans="1:18" s="8" customFormat="1" ht="10.199999999999999" customHeight="1" x14ac:dyDescent="0.25">
      <c r="A57" s="6">
        <f t="shared" si="0"/>
        <v>47</v>
      </c>
      <c r="B57" s="7" t="s">
        <v>67</v>
      </c>
      <c r="C57" s="38"/>
      <c r="D57" s="37">
        <v>66861</v>
      </c>
      <c r="E57" s="38"/>
      <c r="F57" s="38"/>
      <c r="G57" s="38"/>
      <c r="H57" s="38"/>
      <c r="I57" s="37"/>
      <c r="J57" s="26">
        <v>66861</v>
      </c>
      <c r="K57" s="34">
        <v>36949.5</v>
      </c>
      <c r="L57" s="34">
        <v>37066.800000000003</v>
      </c>
      <c r="M57" s="34">
        <v>37066.800000000003</v>
      </c>
      <c r="N57" s="4"/>
      <c r="O57" s="4"/>
      <c r="P57" s="4"/>
      <c r="Q57" s="4"/>
      <c r="R57" s="4"/>
    </row>
    <row r="58" spans="1:18" ht="10.199999999999999" customHeight="1" x14ac:dyDescent="0.25">
      <c r="A58" s="6">
        <f t="shared" si="0"/>
        <v>48</v>
      </c>
      <c r="B58" s="7" t="s">
        <v>68</v>
      </c>
      <c r="C58" s="38">
        <v>19706.400000000001</v>
      </c>
      <c r="D58" s="61"/>
      <c r="E58" s="62"/>
      <c r="F58" s="38"/>
      <c r="G58" s="62"/>
      <c r="H58" s="38"/>
      <c r="I58" s="61"/>
      <c r="J58" s="26">
        <v>19706.400000000001</v>
      </c>
      <c r="K58" s="61"/>
      <c r="L58" s="61"/>
      <c r="M58" s="26">
        <v>19706.400000000001</v>
      </c>
    </row>
    <row r="59" spans="1:18" x14ac:dyDescent="0.25">
      <c r="A59" s="6">
        <f t="shared" si="0"/>
        <v>49</v>
      </c>
      <c r="B59" s="7" t="s">
        <v>69</v>
      </c>
      <c r="C59" s="38"/>
      <c r="D59" s="61">
        <v>82110</v>
      </c>
      <c r="E59" s="62"/>
      <c r="F59" s="38"/>
      <c r="G59" s="62"/>
      <c r="H59" s="38"/>
      <c r="I59" s="61"/>
      <c r="J59" s="26">
        <v>82110</v>
      </c>
      <c r="K59" s="34">
        <v>46920</v>
      </c>
      <c r="L59" s="34">
        <v>47154.6</v>
      </c>
      <c r="M59" s="52">
        <v>82110</v>
      </c>
    </row>
    <row r="60" spans="1:18" ht="10.199999999999999" customHeight="1" x14ac:dyDescent="0.25">
      <c r="A60" s="6">
        <f t="shared" si="0"/>
        <v>50</v>
      </c>
      <c r="B60" s="7" t="s">
        <v>70</v>
      </c>
      <c r="C60" s="38">
        <v>20410.2</v>
      </c>
      <c r="D60" s="61">
        <v>29676.9</v>
      </c>
      <c r="E60" s="62"/>
      <c r="F60" s="38"/>
      <c r="G60" s="62"/>
      <c r="H60" s="38"/>
      <c r="I60" s="61"/>
      <c r="J60" s="26">
        <v>25043.55</v>
      </c>
      <c r="K60" s="61"/>
      <c r="L60" s="61"/>
      <c r="M60" s="26">
        <v>25043.55</v>
      </c>
    </row>
    <row r="61" spans="1:18" s="4" customFormat="1" ht="26.4" x14ac:dyDescent="0.25">
      <c r="A61" s="6">
        <f t="shared" si="0"/>
        <v>51</v>
      </c>
      <c r="B61" s="7" t="s">
        <v>71</v>
      </c>
      <c r="C61" s="38"/>
      <c r="D61" s="61">
        <v>55717.5</v>
      </c>
      <c r="E61" s="62"/>
      <c r="F61" s="38"/>
      <c r="G61" s="62"/>
      <c r="H61" s="38"/>
      <c r="I61" s="61"/>
      <c r="J61" s="26">
        <v>55717.5</v>
      </c>
      <c r="K61" s="63">
        <v>26979</v>
      </c>
      <c r="L61" s="63">
        <v>44691.3</v>
      </c>
      <c r="M61" s="38">
        <v>55717.5</v>
      </c>
    </row>
    <row r="62" spans="1:18" s="4" customFormat="1" ht="10.199999999999999" customHeight="1" x14ac:dyDescent="0.25">
      <c r="A62" s="6">
        <f t="shared" si="0"/>
        <v>52</v>
      </c>
      <c r="B62" s="7" t="s">
        <v>72</v>
      </c>
      <c r="C62" s="38"/>
      <c r="D62" s="61"/>
      <c r="E62" s="62">
        <v>79764</v>
      </c>
      <c r="F62" s="38">
        <v>85629</v>
      </c>
      <c r="G62" s="62">
        <v>82110</v>
      </c>
      <c r="H62" s="62">
        <v>70380</v>
      </c>
      <c r="I62" s="61"/>
      <c r="J62" s="26">
        <v>79470.75</v>
      </c>
      <c r="K62" s="64">
        <v>104103.75</v>
      </c>
      <c r="L62" s="64">
        <v>117300</v>
      </c>
      <c r="M62" s="26">
        <v>82508.820000000007</v>
      </c>
    </row>
    <row r="63" spans="1:18" s="4" customFormat="1" ht="10.199999999999999" customHeight="1" x14ac:dyDescent="0.25">
      <c r="A63" s="6">
        <f t="shared" si="0"/>
        <v>53</v>
      </c>
      <c r="B63" s="7" t="s">
        <v>73</v>
      </c>
      <c r="C63" s="38"/>
      <c r="D63" s="61"/>
      <c r="E63" s="62">
        <v>55834.8</v>
      </c>
      <c r="F63" s="62">
        <v>59940.3</v>
      </c>
      <c r="G63" s="62">
        <v>57477</v>
      </c>
      <c r="H63" s="62">
        <v>49266</v>
      </c>
      <c r="I63" s="61"/>
      <c r="J63" s="26">
        <v>55635.39</v>
      </c>
      <c r="K63" s="61"/>
      <c r="L63" s="61"/>
      <c r="M63" s="26">
        <v>57756.17</v>
      </c>
    </row>
    <row r="64" spans="1:18" s="4" customFormat="1" ht="13.2" customHeight="1" x14ac:dyDescent="0.25">
      <c r="A64" s="6">
        <f t="shared" si="0"/>
        <v>54</v>
      </c>
      <c r="B64" s="7" t="s">
        <v>74</v>
      </c>
      <c r="C64" s="38"/>
      <c r="D64" s="65">
        <v>34017</v>
      </c>
      <c r="E64" s="62"/>
      <c r="F64" s="38"/>
      <c r="G64" s="62"/>
      <c r="H64" s="38"/>
      <c r="I64" s="61"/>
      <c r="J64" s="26">
        <v>34017</v>
      </c>
      <c r="K64" s="86">
        <v>37536</v>
      </c>
      <c r="L64" s="87">
        <v>38943.599999999999</v>
      </c>
      <c r="M64" s="80">
        <v>38943.599999999999</v>
      </c>
    </row>
    <row r="65" spans="1:13" s="4" customFormat="1" ht="10.199999999999999" customHeight="1" x14ac:dyDescent="0.25">
      <c r="A65" s="6">
        <f t="shared" si="0"/>
        <v>55</v>
      </c>
      <c r="B65" s="7" t="s">
        <v>75</v>
      </c>
      <c r="C65" s="38"/>
      <c r="D65" s="66">
        <v>41055</v>
      </c>
      <c r="E65" s="62"/>
      <c r="F65" s="38"/>
      <c r="G65" s="62"/>
      <c r="H65" s="38"/>
      <c r="I65" s="61"/>
      <c r="J65" s="26">
        <v>41055</v>
      </c>
      <c r="K65" s="88">
        <v>41055</v>
      </c>
      <c r="L65" s="88">
        <v>41289.599999999999</v>
      </c>
      <c r="M65" s="89">
        <v>41055</v>
      </c>
    </row>
    <row r="66" spans="1:13" s="4" customFormat="1" ht="26.4" x14ac:dyDescent="0.25">
      <c r="A66" s="6">
        <f t="shared" si="0"/>
        <v>56</v>
      </c>
      <c r="B66" s="7" t="s">
        <v>76</v>
      </c>
      <c r="C66" s="38"/>
      <c r="D66" s="61">
        <v>105570</v>
      </c>
      <c r="E66" s="62">
        <v>68034</v>
      </c>
      <c r="F66" s="62">
        <v>64515</v>
      </c>
      <c r="G66" s="38">
        <v>67447.5</v>
      </c>
      <c r="H66" s="38">
        <v>57477</v>
      </c>
      <c r="I66" s="61"/>
      <c r="J66" s="26">
        <v>64374.239999999998</v>
      </c>
      <c r="K66" s="78">
        <v>80937</v>
      </c>
      <c r="L66" s="78">
        <v>205861.5</v>
      </c>
      <c r="M66" s="90">
        <v>205861.5</v>
      </c>
    </row>
    <row r="67" spans="1:13" s="4" customFormat="1" ht="10.199999999999999" customHeight="1" x14ac:dyDescent="0.25">
      <c r="A67" s="6">
        <f t="shared" si="0"/>
        <v>57</v>
      </c>
      <c r="B67" s="7" t="s">
        <v>77</v>
      </c>
      <c r="C67" s="38"/>
      <c r="D67" s="61">
        <v>103224</v>
      </c>
      <c r="E67" s="62">
        <v>65453.4</v>
      </c>
      <c r="F67" s="62">
        <v>62169</v>
      </c>
      <c r="G67" s="38">
        <v>65101.5</v>
      </c>
      <c r="H67" s="62">
        <v>55131</v>
      </c>
      <c r="I67" s="61"/>
      <c r="J67" s="26">
        <v>61969.59</v>
      </c>
      <c r="K67" s="91">
        <v>70380</v>
      </c>
      <c r="L67" s="91">
        <v>70966.5</v>
      </c>
      <c r="M67" s="90">
        <v>70673.25</v>
      </c>
    </row>
    <row r="68" spans="1:13" s="4" customFormat="1" ht="10.199999999999999" customHeight="1" x14ac:dyDescent="0.25">
      <c r="A68" s="6">
        <f t="shared" si="0"/>
        <v>58</v>
      </c>
      <c r="B68" s="7" t="s">
        <v>78</v>
      </c>
      <c r="C68" s="38"/>
      <c r="D68" s="61">
        <v>73899</v>
      </c>
      <c r="E68" s="62">
        <v>29325</v>
      </c>
      <c r="F68" s="62">
        <v>41055</v>
      </c>
      <c r="G68" s="62"/>
      <c r="H68" s="62">
        <v>29325</v>
      </c>
      <c r="I68" s="61"/>
      <c r="J68" s="26">
        <v>33242.82</v>
      </c>
      <c r="K68" s="61"/>
      <c r="L68" s="61"/>
      <c r="M68" s="26">
        <v>33242.82</v>
      </c>
    </row>
    <row r="69" spans="1:13" s="4" customFormat="1" ht="16.2" customHeight="1" x14ac:dyDescent="0.25">
      <c r="A69" s="6">
        <f t="shared" si="0"/>
        <v>59</v>
      </c>
      <c r="B69" s="7" t="s">
        <v>79</v>
      </c>
      <c r="C69" s="38"/>
      <c r="D69" s="61"/>
      <c r="E69" s="62">
        <v>21114</v>
      </c>
      <c r="F69" s="38"/>
      <c r="G69" s="62"/>
      <c r="H69" s="38"/>
      <c r="I69" s="61"/>
      <c r="J69" s="26">
        <v>21114</v>
      </c>
      <c r="K69" s="71">
        <v>57477</v>
      </c>
      <c r="L69" s="71">
        <v>63576.6</v>
      </c>
      <c r="M69" s="72">
        <v>60526.8</v>
      </c>
    </row>
    <row r="70" spans="1:13" s="4" customFormat="1" ht="11.4" customHeight="1" x14ac:dyDescent="0.25">
      <c r="A70" s="6">
        <f t="shared" ref="A70:A81" si="1">A69+1</f>
        <v>60</v>
      </c>
      <c r="B70" s="7" t="s">
        <v>80</v>
      </c>
      <c r="C70" s="38"/>
      <c r="D70" s="61"/>
      <c r="E70" s="62"/>
      <c r="F70" s="38"/>
      <c r="G70" s="62"/>
      <c r="H70" s="38"/>
      <c r="I70" s="61"/>
      <c r="J70" s="26"/>
      <c r="K70" s="61"/>
      <c r="L70" s="61"/>
      <c r="M70" s="52">
        <v>42368.76</v>
      </c>
    </row>
    <row r="71" spans="1:13" s="4" customFormat="1" ht="10.199999999999999" customHeight="1" x14ac:dyDescent="0.25">
      <c r="A71" s="6">
        <f t="shared" si="1"/>
        <v>61</v>
      </c>
      <c r="B71" s="7" t="s">
        <v>81</v>
      </c>
      <c r="C71" s="38"/>
      <c r="D71" s="61">
        <v>161874</v>
      </c>
      <c r="E71" s="62">
        <v>84456</v>
      </c>
      <c r="F71" s="62">
        <v>152490</v>
      </c>
      <c r="G71" s="62"/>
      <c r="H71" s="62"/>
      <c r="I71" s="61"/>
      <c r="J71" s="26">
        <v>118473</v>
      </c>
      <c r="K71" s="92">
        <v>117300</v>
      </c>
      <c r="L71" s="92">
        <v>261579</v>
      </c>
      <c r="M71" s="93">
        <v>149369.82</v>
      </c>
    </row>
    <row r="72" spans="1:13" s="4" customFormat="1" ht="25.8" customHeight="1" x14ac:dyDescent="0.25">
      <c r="A72" s="6">
        <f t="shared" si="1"/>
        <v>62</v>
      </c>
      <c r="B72" s="7" t="s">
        <v>82</v>
      </c>
      <c r="C72" s="38"/>
      <c r="D72" s="61"/>
      <c r="E72" s="62"/>
      <c r="F72" s="62"/>
      <c r="G72" s="62"/>
      <c r="H72" s="62"/>
      <c r="I72" s="61"/>
      <c r="J72" s="26"/>
      <c r="K72" s="61"/>
      <c r="L72" s="61"/>
      <c r="M72" s="52">
        <v>33078.6</v>
      </c>
    </row>
    <row r="73" spans="1:13" s="4" customFormat="1" ht="10.199999999999999" customHeight="1" x14ac:dyDescent="0.25">
      <c r="A73" s="6">
        <f t="shared" si="1"/>
        <v>63</v>
      </c>
      <c r="B73" s="7" t="s">
        <v>83</v>
      </c>
      <c r="C73" s="38"/>
      <c r="D73" s="61"/>
      <c r="E73" s="62"/>
      <c r="F73" s="62"/>
      <c r="G73" s="62"/>
      <c r="H73" s="62"/>
      <c r="I73" s="61"/>
      <c r="J73" s="26"/>
      <c r="K73" s="61"/>
      <c r="L73" s="61"/>
      <c r="M73" s="52">
        <v>23155.02</v>
      </c>
    </row>
    <row r="74" spans="1:13" s="4" customFormat="1" ht="10.199999999999999" customHeight="1" x14ac:dyDescent="0.25">
      <c r="A74" s="6">
        <f t="shared" si="1"/>
        <v>64</v>
      </c>
      <c r="B74" s="7" t="s">
        <v>84</v>
      </c>
      <c r="C74" s="38"/>
      <c r="D74" s="61"/>
      <c r="E74" s="62">
        <v>187680</v>
      </c>
      <c r="F74" s="62">
        <v>152490</v>
      </c>
      <c r="G74" s="62">
        <v>164220</v>
      </c>
      <c r="H74" s="62"/>
      <c r="I74" s="61"/>
      <c r="J74" s="26">
        <v>168137.82</v>
      </c>
      <c r="K74" s="61"/>
      <c r="L74" s="61"/>
      <c r="M74" s="26">
        <v>168137.82</v>
      </c>
    </row>
    <row r="75" spans="1:13" s="4" customFormat="1" ht="10.199999999999999" customHeight="1" x14ac:dyDescent="0.25">
      <c r="A75" s="6">
        <f t="shared" si="1"/>
        <v>65</v>
      </c>
      <c r="B75" s="7" t="s">
        <v>85</v>
      </c>
      <c r="C75" s="38"/>
      <c r="D75" s="61"/>
      <c r="E75" s="62">
        <v>131376</v>
      </c>
      <c r="F75" s="62">
        <v>106743</v>
      </c>
      <c r="G75" s="62">
        <v>114954</v>
      </c>
      <c r="H75" s="62"/>
      <c r="I75" s="61"/>
      <c r="J75" s="26">
        <v>117698.82</v>
      </c>
      <c r="K75" s="73">
        <v>109089</v>
      </c>
      <c r="L75" s="61"/>
      <c r="M75" s="26">
        <v>117698.82</v>
      </c>
    </row>
    <row r="76" spans="1:13" s="4" customFormat="1" ht="10.199999999999999" customHeight="1" x14ac:dyDescent="0.25">
      <c r="A76" s="6">
        <f t="shared" si="1"/>
        <v>66</v>
      </c>
      <c r="B76" s="17" t="s">
        <v>86</v>
      </c>
      <c r="C76" s="38"/>
      <c r="D76" s="61">
        <v>40233.9</v>
      </c>
      <c r="E76" s="62"/>
      <c r="F76" s="62"/>
      <c r="G76" s="62"/>
      <c r="H76" s="62"/>
      <c r="I76" s="61"/>
      <c r="J76" s="26">
        <v>40233.9</v>
      </c>
      <c r="K76" s="61"/>
      <c r="L76" s="61"/>
      <c r="M76" s="26"/>
    </row>
    <row r="77" spans="1:13" s="4" customFormat="1" ht="10.199999999999999" customHeight="1" x14ac:dyDescent="0.25">
      <c r="A77" s="6">
        <f t="shared" si="1"/>
        <v>67</v>
      </c>
      <c r="B77" s="7" t="s">
        <v>87</v>
      </c>
      <c r="C77" s="38">
        <v>33078.6</v>
      </c>
      <c r="D77" s="65"/>
      <c r="E77" s="62"/>
      <c r="F77" s="62"/>
      <c r="G77" s="62"/>
      <c r="H77" s="62"/>
      <c r="I77" s="61"/>
      <c r="J77" s="26">
        <v>33078.6</v>
      </c>
      <c r="K77" s="61"/>
      <c r="L77" s="61"/>
      <c r="M77" s="52">
        <v>33078.6</v>
      </c>
    </row>
    <row r="78" spans="1:13" s="4" customFormat="1" ht="12.6" customHeight="1" x14ac:dyDescent="0.25">
      <c r="A78" s="6">
        <f t="shared" si="1"/>
        <v>68</v>
      </c>
      <c r="B78" s="7" t="s">
        <v>88</v>
      </c>
      <c r="C78" s="38"/>
      <c r="D78" s="61"/>
      <c r="E78" s="62">
        <v>84456</v>
      </c>
      <c r="F78" s="62">
        <v>105570</v>
      </c>
      <c r="G78" s="62"/>
      <c r="H78" s="62"/>
      <c r="I78" s="61"/>
      <c r="J78" s="26">
        <v>95013</v>
      </c>
      <c r="K78" s="61"/>
      <c r="L78" s="61"/>
      <c r="M78" s="74">
        <v>95013</v>
      </c>
    </row>
    <row r="79" spans="1:13" s="4" customFormat="1" ht="23.4" customHeight="1" x14ac:dyDescent="0.25">
      <c r="A79" s="6">
        <f t="shared" si="1"/>
        <v>69</v>
      </c>
      <c r="B79" s="17" t="s">
        <v>89</v>
      </c>
      <c r="C79" s="38"/>
      <c r="D79" s="61"/>
      <c r="E79" s="62"/>
      <c r="F79" s="62"/>
      <c r="G79" s="62"/>
      <c r="H79" s="62"/>
      <c r="I79" s="61"/>
      <c r="J79" s="26"/>
      <c r="K79" s="75">
        <v>34603.5</v>
      </c>
      <c r="L79" s="75">
        <v>36644.519999999997</v>
      </c>
      <c r="M79" s="60">
        <v>34603.5</v>
      </c>
    </row>
    <row r="80" spans="1:13" s="4" customFormat="1" ht="23.4" customHeight="1" x14ac:dyDescent="0.25">
      <c r="A80" s="6">
        <f t="shared" si="1"/>
        <v>70</v>
      </c>
      <c r="B80" s="17" t="s">
        <v>90</v>
      </c>
      <c r="C80" s="38"/>
      <c r="D80" s="61"/>
      <c r="E80" s="62"/>
      <c r="F80" s="62"/>
      <c r="G80" s="62"/>
      <c r="H80" s="62"/>
      <c r="I80" s="61"/>
      <c r="J80" s="26"/>
      <c r="K80" s="75"/>
      <c r="L80" s="87">
        <v>38720.730000000003</v>
      </c>
      <c r="M80" s="60">
        <v>46920</v>
      </c>
    </row>
    <row r="81" spans="1:13" s="4" customFormat="1" ht="15.9" customHeight="1" x14ac:dyDescent="0.25">
      <c r="A81" s="6">
        <f t="shared" si="1"/>
        <v>71</v>
      </c>
      <c r="B81" s="7" t="s">
        <v>91</v>
      </c>
      <c r="C81" s="38">
        <v>18768</v>
      </c>
      <c r="D81" s="65"/>
      <c r="E81" s="62"/>
      <c r="F81" s="62"/>
      <c r="G81" s="62"/>
      <c r="H81" s="62"/>
      <c r="I81" s="61"/>
      <c r="J81" s="61"/>
      <c r="K81" s="94">
        <v>71553</v>
      </c>
      <c r="L81" s="87">
        <v>105570</v>
      </c>
      <c r="M81" s="94">
        <v>88561.5</v>
      </c>
    </row>
  </sheetData>
  <mergeCells count="12">
    <mergeCell ref="M1:M3"/>
    <mergeCell ref="C2:C3"/>
    <mergeCell ref="D2:D3"/>
    <mergeCell ref="E2:E3"/>
    <mergeCell ref="F2:F3"/>
    <mergeCell ref="G2:G3"/>
    <mergeCell ref="H2:H3"/>
    <mergeCell ref="I2:I3"/>
    <mergeCell ref="K2:L2"/>
    <mergeCell ref="A1:A3"/>
    <mergeCell ref="B1:B3"/>
    <mergeCell ref="J1:J3"/>
  </mergeCells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81"/>
  <sheetViews>
    <sheetView workbookViewId="0">
      <selection sqref="A1:A3"/>
    </sheetView>
  </sheetViews>
  <sheetFormatPr defaultRowHeight="13.2" x14ac:dyDescent="0.25"/>
  <cols>
    <col min="1" max="1" width="5.33203125" style="4" customWidth="1"/>
    <col min="2" max="2" width="60.109375" style="4" customWidth="1"/>
    <col min="3" max="3" width="10.6640625" style="4" customWidth="1"/>
    <col min="4" max="4" width="15.33203125" style="4" customWidth="1"/>
    <col min="5" max="5" width="11.5546875" style="4" customWidth="1"/>
    <col min="6" max="6" width="10.109375" style="4" customWidth="1"/>
    <col min="7" max="8" width="10.5546875" style="4" customWidth="1"/>
    <col min="9" max="9" width="9.88671875" style="4" customWidth="1"/>
    <col min="10" max="10" width="12.109375" style="4" customWidth="1"/>
    <col min="11" max="11" width="10.6640625" style="4" customWidth="1"/>
    <col min="12" max="12" width="12.5546875" style="4" customWidth="1"/>
    <col min="13" max="13" width="14.109375" style="4" customWidth="1"/>
  </cols>
  <sheetData>
    <row r="1" spans="1:13" ht="10.199999999999999" customHeight="1" x14ac:dyDescent="0.25">
      <c r="A1" s="104" t="s">
        <v>0</v>
      </c>
      <c r="B1" s="109" t="s">
        <v>1</v>
      </c>
      <c r="C1" s="12"/>
      <c r="D1" s="13"/>
      <c r="E1" s="13"/>
      <c r="F1" s="11"/>
      <c r="G1" s="5"/>
      <c r="H1" s="5"/>
      <c r="I1" s="5"/>
      <c r="J1" s="112" t="s">
        <v>2</v>
      </c>
      <c r="K1" s="16"/>
      <c r="L1" s="5"/>
      <c r="M1" s="112" t="s">
        <v>3</v>
      </c>
    </row>
    <row r="2" spans="1:13" ht="22.2" customHeight="1" x14ac:dyDescent="0.25">
      <c r="A2" s="108"/>
      <c r="B2" s="110"/>
      <c r="C2" s="102" t="s">
        <v>4</v>
      </c>
      <c r="D2" s="104" t="s">
        <v>5</v>
      </c>
      <c r="E2" s="102" t="s">
        <v>6</v>
      </c>
      <c r="F2" s="102" t="s">
        <v>7</v>
      </c>
      <c r="G2" s="102" t="s">
        <v>8</v>
      </c>
      <c r="H2" s="102" t="s">
        <v>9</v>
      </c>
      <c r="I2" s="104" t="s">
        <v>10</v>
      </c>
      <c r="J2" s="113"/>
      <c r="K2" s="119" t="s">
        <v>95</v>
      </c>
      <c r="L2" s="120"/>
      <c r="M2" s="113"/>
    </row>
    <row r="3" spans="1:13" ht="34.799999999999997" customHeight="1" x14ac:dyDescent="0.25">
      <c r="A3" s="105"/>
      <c r="B3" s="111"/>
      <c r="C3" s="103"/>
      <c r="D3" s="105"/>
      <c r="E3" s="103"/>
      <c r="F3" s="103" t="s">
        <v>7</v>
      </c>
      <c r="G3" s="103"/>
      <c r="H3" s="103" t="s">
        <v>7</v>
      </c>
      <c r="I3" s="105"/>
      <c r="J3" s="114"/>
      <c r="K3" s="19" t="s">
        <v>94</v>
      </c>
      <c r="L3" s="19" t="s">
        <v>13</v>
      </c>
      <c r="M3" s="114"/>
    </row>
    <row r="4" spans="1:13" ht="10.199999999999999" customHeight="1" x14ac:dyDescent="0.25">
      <c r="A4" s="6">
        <v>1</v>
      </c>
      <c r="B4" s="9" t="s">
        <v>14</v>
      </c>
      <c r="C4" s="23"/>
      <c r="D4" s="24"/>
      <c r="E4" s="25">
        <v>750720</v>
      </c>
      <c r="F4" s="25">
        <v>791775</v>
      </c>
      <c r="G4" s="25">
        <v>768315</v>
      </c>
      <c r="H4" s="25">
        <v>797640</v>
      </c>
      <c r="I4" s="24"/>
      <c r="J4" s="26">
        <v>777112.5</v>
      </c>
      <c r="K4" s="35">
        <v>906729</v>
      </c>
      <c r="L4" s="35">
        <v>1081506</v>
      </c>
      <c r="M4" s="35">
        <v>994117.5</v>
      </c>
    </row>
    <row r="5" spans="1:13" ht="10.199999999999999" customHeight="1" x14ac:dyDescent="0.25">
      <c r="A5" s="6">
        <f>A4+1</f>
        <v>2</v>
      </c>
      <c r="B5" s="9" t="s">
        <v>15</v>
      </c>
      <c r="C5" s="23"/>
      <c r="D5" s="24"/>
      <c r="E5" s="25">
        <v>738990</v>
      </c>
      <c r="F5" s="25">
        <v>788256</v>
      </c>
      <c r="G5" s="25">
        <v>756585</v>
      </c>
      <c r="H5" s="25">
        <v>785910</v>
      </c>
      <c r="I5" s="24"/>
      <c r="J5" s="26">
        <v>767435.25</v>
      </c>
      <c r="K5" s="24"/>
      <c r="L5" s="24"/>
      <c r="M5" s="26"/>
    </row>
    <row r="6" spans="1:13" ht="10.199999999999999" customHeight="1" x14ac:dyDescent="0.25">
      <c r="A6" s="6">
        <f t="shared" ref="A6:A69" si="0">A5+1</f>
        <v>3</v>
      </c>
      <c r="B6" s="2" t="s">
        <v>16</v>
      </c>
      <c r="C6" s="29"/>
      <c r="D6" s="24"/>
      <c r="E6" s="25">
        <v>621690</v>
      </c>
      <c r="F6" s="25"/>
      <c r="G6" s="30">
        <v>717876</v>
      </c>
      <c r="H6" s="25"/>
      <c r="I6" s="24"/>
      <c r="J6" s="26">
        <v>669783</v>
      </c>
      <c r="K6" s="34">
        <v>821100</v>
      </c>
      <c r="L6" s="34">
        <v>882096</v>
      </c>
      <c r="M6" s="76">
        <v>851598</v>
      </c>
    </row>
    <row r="7" spans="1:13" ht="10.199999999999999" customHeight="1" x14ac:dyDescent="0.25">
      <c r="A7" s="6">
        <f t="shared" si="0"/>
        <v>4</v>
      </c>
      <c r="B7" s="2" t="s">
        <v>17</v>
      </c>
      <c r="C7" s="29"/>
      <c r="D7" s="24"/>
      <c r="E7" s="25">
        <v>633420</v>
      </c>
      <c r="F7" s="25">
        <v>668610</v>
      </c>
      <c r="G7" s="25">
        <v>656880</v>
      </c>
      <c r="H7" s="32"/>
      <c r="I7" s="24"/>
      <c r="J7" s="26">
        <v>652973.91</v>
      </c>
      <c r="K7" s="35">
        <v>762450</v>
      </c>
      <c r="L7" s="35">
        <v>848079</v>
      </c>
      <c r="M7" s="76">
        <v>805264.5</v>
      </c>
    </row>
    <row r="8" spans="1:13" ht="10.199999999999999" customHeight="1" x14ac:dyDescent="0.25">
      <c r="A8" s="6"/>
      <c r="B8" s="2" t="s">
        <v>18</v>
      </c>
      <c r="C8" s="29"/>
      <c r="D8" s="24"/>
      <c r="E8" s="25">
        <v>525504</v>
      </c>
      <c r="F8" s="25">
        <v>554242.5</v>
      </c>
      <c r="G8" s="25">
        <v>537820.5</v>
      </c>
      <c r="H8" s="25">
        <v>558348</v>
      </c>
      <c r="I8" s="24"/>
      <c r="J8" s="26">
        <v>543978.75</v>
      </c>
      <c r="K8" s="24"/>
      <c r="L8" s="24"/>
      <c r="M8" s="42"/>
    </row>
    <row r="9" spans="1:13" ht="10.199999999999999" customHeight="1" x14ac:dyDescent="0.25">
      <c r="A9" s="6">
        <f>A7+1</f>
        <v>5</v>
      </c>
      <c r="B9" s="2" t="s">
        <v>19</v>
      </c>
      <c r="C9" s="29"/>
      <c r="D9" s="24"/>
      <c r="E9" s="25">
        <v>450044.91</v>
      </c>
      <c r="F9" s="25">
        <v>480047.9</v>
      </c>
      <c r="G9" s="25">
        <v>460760.27</v>
      </c>
      <c r="H9" s="25">
        <v>478619.19</v>
      </c>
      <c r="I9" s="24"/>
      <c r="J9" s="26">
        <v>467370.12</v>
      </c>
      <c r="K9" s="79">
        <v>480930</v>
      </c>
      <c r="L9" s="79">
        <v>507909</v>
      </c>
      <c r="M9" s="80">
        <v>494419.5</v>
      </c>
    </row>
    <row r="10" spans="1:13" ht="10.199999999999999" customHeight="1" x14ac:dyDescent="0.25">
      <c r="A10" s="6">
        <f t="shared" si="0"/>
        <v>6</v>
      </c>
      <c r="B10" s="14" t="s">
        <v>20</v>
      </c>
      <c r="C10" s="29"/>
      <c r="D10" s="24"/>
      <c r="E10" s="30">
        <v>609960</v>
      </c>
      <c r="F10" s="25">
        <v>375360</v>
      </c>
      <c r="G10" s="25"/>
      <c r="H10" s="25"/>
      <c r="I10" s="24"/>
      <c r="J10" s="26">
        <v>492660</v>
      </c>
      <c r="K10" s="24"/>
      <c r="L10" s="24"/>
      <c r="M10" s="26"/>
    </row>
    <row r="11" spans="1:13" ht="10.199999999999999" customHeight="1" x14ac:dyDescent="0.25">
      <c r="A11" s="6">
        <f t="shared" si="0"/>
        <v>7</v>
      </c>
      <c r="B11" s="2" t="s">
        <v>21</v>
      </c>
      <c r="C11" s="29"/>
      <c r="D11" s="24"/>
      <c r="E11" s="25">
        <v>295596</v>
      </c>
      <c r="F11" s="25">
        <v>315302.40000000002</v>
      </c>
      <c r="G11" s="25">
        <v>302634</v>
      </c>
      <c r="H11" s="25">
        <v>314364</v>
      </c>
      <c r="I11" s="24"/>
      <c r="J11" s="26">
        <v>306974.09999999998</v>
      </c>
      <c r="K11" s="41">
        <v>315537</v>
      </c>
      <c r="L11" s="41">
        <v>316710</v>
      </c>
      <c r="M11" s="26"/>
    </row>
    <row r="12" spans="1:13" ht="10.199999999999999" customHeight="1" x14ac:dyDescent="0.25">
      <c r="A12" s="6">
        <f t="shared" si="0"/>
        <v>8</v>
      </c>
      <c r="B12" s="2" t="s">
        <v>22</v>
      </c>
      <c r="C12" s="29"/>
      <c r="D12" s="24"/>
      <c r="E12" s="25">
        <v>429318</v>
      </c>
      <c r="F12" s="25">
        <v>590312.25</v>
      </c>
      <c r="G12" s="25">
        <v>643977</v>
      </c>
      <c r="H12" s="25">
        <v>643977</v>
      </c>
      <c r="I12" s="24"/>
      <c r="J12" s="26">
        <v>576904.86</v>
      </c>
      <c r="K12" s="34">
        <v>656880</v>
      </c>
      <c r="L12" s="34">
        <v>659226</v>
      </c>
      <c r="M12" s="26"/>
    </row>
    <row r="13" spans="1:13" ht="10.199999999999999" customHeight="1" x14ac:dyDescent="0.25">
      <c r="A13" s="6">
        <f t="shared" si="0"/>
        <v>9</v>
      </c>
      <c r="B13" s="2" t="s">
        <v>23</v>
      </c>
      <c r="C13" s="29"/>
      <c r="D13" s="24"/>
      <c r="E13" s="25">
        <v>235773</v>
      </c>
      <c r="F13" s="25">
        <v>432250.5</v>
      </c>
      <c r="G13" s="25">
        <v>471546</v>
      </c>
      <c r="H13" s="25">
        <v>314364</v>
      </c>
      <c r="I13" s="24"/>
      <c r="J13" s="26">
        <v>363489.24</v>
      </c>
      <c r="K13" s="35">
        <v>422280</v>
      </c>
      <c r="L13" s="35">
        <v>423453</v>
      </c>
      <c r="M13" s="26"/>
    </row>
    <row r="14" spans="1:13" ht="10.199999999999999" customHeight="1" x14ac:dyDescent="0.25">
      <c r="A14" s="6">
        <f t="shared" si="0"/>
        <v>10</v>
      </c>
      <c r="B14" s="2" t="s">
        <v>24</v>
      </c>
      <c r="C14" s="29"/>
      <c r="D14" s="24"/>
      <c r="E14" s="25">
        <v>105570</v>
      </c>
      <c r="F14" s="25">
        <v>140760</v>
      </c>
      <c r="G14" s="25">
        <v>117300</v>
      </c>
      <c r="H14" s="25">
        <v>140760</v>
      </c>
      <c r="I14" s="24"/>
      <c r="J14" s="26">
        <v>126097.5</v>
      </c>
      <c r="K14" s="35">
        <v>164220</v>
      </c>
      <c r="L14" s="35">
        <v>182988</v>
      </c>
      <c r="M14" s="76">
        <v>173604</v>
      </c>
    </row>
    <row r="15" spans="1:13" ht="10.199999999999999" customHeight="1" x14ac:dyDescent="0.25">
      <c r="A15" s="6">
        <f t="shared" si="0"/>
        <v>11</v>
      </c>
      <c r="B15" s="2" t="s">
        <v>25</v>
      </c>
      <c r="C15" s="36"/>
      <c r="D15" s="37"/>
      <c r="E15" s="38">
        <v>105570</v>
      </c>
      <c r="F15" s="25"/>
      <c r="G15" s="25">
        <v>152490</v>
      </c>
      <c r="H15" s="38"/>
      <c r="I15" s="24"/>
      <c r="J15" s="26">
        <v>129030</v>
      </c>
      <c r="K15" s="35">
        <v>158355</v>
      </c>
      <c r="L15" s="35">
        <v>266857.5</v>
      </c>
      <c r="M15" s="76">
        <v>212606.25</v>
      </c>
    </row>
    <row r="16" spans="1:13" s="15" customFormat="1" ht="10.199999999999999" customHeight="1" x14ac:dyDescent="0.25">
      <c r="A16" s="6">
        <f t="shared" si="0"/>
        <v>12</v>
      </c>
      <c r="B16" s="2" t="s">
        <v>26</v>
      </c>
      <c r="C16" s="36"/>
      <c r="D16" s="37"/>
      <c r="E16" s="38">
        <v>70380</v>
      </c>
      <c r="F16" s="25">
        <v>82110</v>
      </c>
      <c r="G16" s="25">
        <v>58650</v>
      </c>
      <c r="H16" s="38">
        <v>76245</v>
      </c>
      <c r="I16" s="24"/>
      <c r="J16" s="26">
        <v>71846.25</v>
      </c>
      <c r="K16" s="35">
        <v>87975</v>
      </c>
      <c r="L16" s="35">
        <v>99705</v>
      </c>
      <c r="M16" s="76">
        <v>93840</v>
      </c>
    </row>
    <row r="17" spans="1:13" ht="10.199999999999999" customHeight="1" x14ac:dyDescent="0.25">
      <c r="A17" s="6">
        <f t="shared" si="0"/>
        <v>13</v>
      </c>
      <c r="B17" s="2" t="s">
        <v>27</v>
      </c>
      <c r="C17" s="36"/>
      <c r="D17" s="37"/>
      <c r="E17" s="38"/>
      <c r="F17" s="25"/>
      <c r="G17" s="25"/>
      <c r="H17" s="38"/>
      <c r="I17" s="24"/>
      <c r="J17" s="26"/>
      <c r="K17" s="41">
        <v>51612</v>
      </c>
      <c r="L17" s="41">
        <v>51846.6</v>
      </c>
      <c r="M17" s="42">
        <v>51729.3</v>
      </c>
    </row>
    <row r="18" spans="1:13" ht="21.6" customHeight="1" x14ac:dyDescent="0.25">
      <c r="A18" s="6">
        <f t="shared" si="0"/>
        <v>14</v>
      </c>
      <c r="B18" s="2" t="s">
        <v>28</v>
      </c>
      <c r="C18" s="36"/>
      <c r="D18" s="37"/>
      <c r="E18" s="38">
        <v>105570</v>
      </c>
      <c r="F18" s="38">
        <v>140760</v>
      </c>
      <c r="G18" s="38">
        <v>117300</v>
      </c>
      <c r="H18" s="38">
        <v>140760</v>
      </c>
      <c r="I18" s="24"/>
      <c r="J18" s="26">
        <v>126097.5</v>
      </c>
      <c r="K18" s="35">
        <v>164220</v>
      </c>
      <c r="L18" s="95">
        <v>253368</v>
      </c>
      <c r="M18" s="80">
        <v>208794</v>
      </c>
    </row>
    <row r="19" spans="1:13" ht="12" customHeight="1" x14ac:dyDescent="0.25">
      <c r="A19" s="6"/>
      <c r="B19" s="2" t="s">
        <v>29</v>
      </c>
      <c r="C19" s="36"/>
      <c r="D19" s="37"/>
      <c r="E19" s="38">
        <v>192137.4</v>
      </c>
      <c r="F19" s="38">
        <v>204453.9</v>
      </c>
      <c r="G19" s="38">
        <v>206917.2</v>
      </c>
      <c r="H19" s="38">
        <v>204453.9</v>
      </c>
      <c r="I19" s="24"/>
      <c r="J19" s="26">
        <v>201990.6</v>
      </c>
      <c r="K19" s="43">
        <v>134895</v>
      </c>
      <c r="L19" s="43">
        <v>175950</v>
      </c>
      <c r="M19" s="26"/>
    </row>
    <row r="20" spans="1:13" ht="10.199999999999999" customHeight="1" x14ac:dyDescent="0.25">
      <c r="A20" s="6">
        <f>A18+1</f>
        <v>15</v>
      </c>
      <c r="B20" s="2" t="s">
        <v>30</v>
      </c>
      <c r="C20" s="36"/>
      <c r="D20" s="37"/>
      <c r="E20" s="38">
        <v>457470</v>
      </c>
      <c r="F20" s="25">
        <v>486795</v>
      </c>
      <c r="G20" s="25">
        <v>492660</v>
      </c>
      <c r="H20" s="38">
        <v>486795</v>
      </c>
      <c r="I20" s="24"/>
      <c r="J20" s="26">
        <v>480930</v>
      </c>
      <c r="K20" s="35">
        <v>551310</v>
      </c>
      <c r="L20" s="35">
        <v>636939</v>
      </c>
      <c r="M20" s="76">
        <v>594124.5</v>
      </c>
    </row>
    <row r="21" spans="1:13" ht="10.199999999999999" customHeight="1" x14ac:dyDescent="0.25">
      <c r="A21" s="6">
        <f t="shared" si="0"/>
        <v>16</v>
      </c>
      <c r="B21" s="2" t="s">
        <v>31</v>
      </c>
      <c r="C21" s="36"/>
      <c r="D21" s="37"/>
      <c r="E21" s="38">
        <v>398820</v>
      </c>
      <c r="F21" s="25">
        <v>422280</v>
      </c>
      <c r="G21" s="25">
        <v>434010</v>
      </c>
      <c r="H21" s="38">
        <v>434010</v>
      </c>
      <c r="I21" s="24"/>
      <c r="J21" s="26">
        <v>422280</v>
      </c>
      <c r="K21" s="35">
        <v>473892</v>
      </c>
      <c r="L21" s="35">
        <v>551310</v>
      </c>
      <c r="M21" s="76">
        <v>512601</v>
      </c>
    </row>
    <row r="22" spans="1:13" ht="10.199999999999999" customHeight="1" x14ac:dyDescent="0.25">
      <c r="A22" s="6">
        <f t="shared" si="0"/>
        <v>17</v>
      </c>
      <c r="B22" s="2" t="s">
        <v>32</v>
      </c>
      <c r="C22" s="36"/>
      <c r="D22" s="37"/>
      <c r="E22" s="38">
        <v>469200</v>
      </c>
      <c r="F22" s="38">
        <v>486795</v>
      </c>
      <c r="G22" s="38">
        <v>516120</v>
      </c>
      <c r="H22" s="38">
        <v>498525</v>
      </c>
      <c r="I22" s="24"/>
      <c r="J22" s="26">
        <v>492660</v>
      </c>
      <c r="K22" s="81">
        <v>491487</v>
      </c>
      <c r="L22" s="81">
        <v>498525</v>
      </c>
      <c r="M22" s="82">
        <v>495006</v>
      </c>
    </row>
    <row r="23" spans="1:13" ht="10.199999999999999" customHeight="1" x14ac:dyDescent="0.25">
      <c r="A23" s="6">
        <f t="shared" si="0"/>
        <v>18</v>
      </c>
      <c r="B23" s="2" t="s">
        <v>33</v>
      </c>
      <c r="C23" s="36"/>
      <c r="D23" s="37"/>
      <c r="E23" s="38">
        <v>410550</v>
      </c>
      <c r="F23" s="38">
        <v>422280</v>
      </c>
      <c r="G23" s="38">
        <v>445740</v>
      </c>
      <c r="H23" s="38">
        <v>445740</v>
      </c>
      <c r="I23" s="24"/>
      <c r="J23" s="26">
        <v>431077.5</v>
      </c>
      <c r="K23" s="46">
        <v>383571</v>
      </c>
      <c r="L23" s="46">
        <v>521398.5</v>
      </c>
      <c r="M23" s="26"/>
    </row>
    <row r="24" spans="1:13" ht="10.199999999999999" customHeight="1" x14ac:dyDescent="0.25">
      <c r="A24" s="6">
        <f t="shared" si="0"/>
        <v>19</v>
      </c>
      <c r="B24" s="1" t="s">
        <v>34</v>
      </c>
      <c r="C24" s="47"/>
      <c r="D24" s="37"/>
      <c r="E24" s="38">
        <v>445740</v>
      </c>
      <c r="F24" s="25">
        <v>491487</v>
      </c>
      <c r="G24" s="25">
        <v>492660</v>
      </c>
      <c r="H24" s="38">
        <v>486795</v>
      </c>
      <c r="I24" s="24"/>
      <c r="J24" s="26">
        <v>479170.5</v>
      </c>
      <c r="K24" s="35">
        <v>551310</v>
      </c>
      <c r="L24" s="35">
        <v>554829</v>
      </c>
      <c r="M24" s="76">
        <v>553069.5</v>
      </c>
    </row>
    <row r="25" spans="1:13" ht="10.199999999999999" customHeight="1" x14ac:dyDescent="0.25">
      <c r="A25" s="6">
        <f t="shared" si="0"/>
        <v>20</v>
      </c>
      <c r="B25" s="2" t="s">
        <v>35</v>
      </c>
      <c r="C25" s="36"/>
      <c r="D25" s="37"/>
      <c r="E25" s="38">
        <v>563040</v>
      </c>
      <c r="F25" s="25">
        <v>609960</v>
      </c>
      <c r="G25" s="25">
        <v>586500</v>
      </c>
      <c r="H25" s="38">
        <v>586500</v>
      </c>
      <c r="I25" s="24"/>
      <c r="J25" s="26">
        <v>586500</v>
      </c>
      <c r="K25" s="81">
        <v>570078</v>
      </c>
      <c r="L25" s="81">
        <v>627555</v>
      </c>
      <c r="M25" s="82">
        <v>598816.5</v>
      </c>
    </row>
    <row r="26" spans="1:13" ht="10.8" customHeight="1" x14ac:dyDescent="0.25">
      <c r="A26" s="6">
        <f t="shared" si="0"/>
        <v>21</v>
      </c>
      <c r="B26" s="2" t="s">
        <v>36</v>
      </c>
      <c r="C26" s="36"/>
      <c r="D26" s="37"/>
      <c r="E26" s="38">
        <v>563040</v>
      </c>
      <c r="F26" s="25">
        <v>621690</v>
      </c>
      <c r="G26" s="25">
        <v>609960</v>
      </c>
      <c r="H26" s="38"/>
      <c r="I26" s="24"/>
      <c r="J26" s="26">
        <v>598230</v>
      </c>
      <c r="K26" s="35">
        <v>699108</v>
      </c>
      <c r="L26" s="35">
        <v>781218</v>
      </c>
      <c r="M26" s="76">
        <v>740163</v>
      </c>
    </row>
    <row r="27" spans="1:13" ht="10.199999999999999" customHeight="1" x14ac:dyDescent="0.25">
      <c r="A27" s="6">
        <f t="shared" si="0"/>
        <v>22</v>
      </c>
      <c r="B27" s="2" t="s">
        <v>37</v>
      </c>
      <c r="C27" s="36"/>
      <c r="D27" s="37"/>
      <c r="E27" s="38">
        <v>516120</v>
      </c>
      <c r="F27" s="25">
        <v>527850</v>
      </c>
      <c r="G27" s="25">
        <v>527850</v>
      </c>
      <c r="H27" s="38"/>
      <c r="I27" s="24"/>
      <c r="J27" s="26">
        <v>523943.91</v>
      </c>
      <c r="K27" s="35">
        <v>633420</v>
      </c>
      <c r="L27" s="35">
        <v>789429</v>
      </c>
      <c r="M27" s="76">
        <v>711424.5</v>
      </c>
    </row>
    <row r="28" spans="1:13" ht="10.199999999999999" customHeight="1" x14ac:dyDescent="0.25">
      <c r="A28" s="6">
        <f t="shared" si="0"/>
        <v>23</v>
      </c>
      <c r="B28" s="2" t="s">
        <v>38</v>
      </c>
      <c r="C28" s="36"/>
      <c r="D28" s="37"/>
      <c r="E28" s="38">
        <v>2263890</v>
      </c>
      <c r="F28" s="25">
        <v>2052750</v>
      </c>
      <c r="G28" s="25">
        <v>2052750</v>
      </c>
      <c r="H28" s="38">
        <v>1994100</v>
      </c>
      <c r="I28" s="24"/>
      <c r="J28" s="26">
        <v>2090872.5</v>
      </c>
      <c r="K28" s="35">
        <v>1999965</v>
      </c>
      <c r="L28" s="35">
        <v>2527815</v>
      </c>
      <c r="M28" s="76">
        <v>2263890</v>
      </c>
    </row>
    <row r="29" spans="1:13" ht="10.199999999999999" customHeight="1" x14ac:dyDescent="0.25">
      <c r="A29" s="6">
        <f t="shared" si="0"/>
        <v>24</v>
      </c>
      <c r="B29" s="2" t="s">
        <v>39</v>
      </c>
      <c r="C29" s="36"/>
      <c r="D29" s="37"/>
      <c r="E29" s="38">
        <v>2205240</v>
      </c>
      <c r="F29" s="25">
        <v>2052750</v>
      </c>
      <c r="G29" s="25">
        <v>1994100</v>
      </c>
      <c r="H29" s="38">
        <v>1935450</v>
      </c>
      <c r="I29" s="24"/>
      <c r="J29" s="26">
        <v>2046885</v>
      </c>
      <c r="K29" s="35">
        <v>1958910</v>
      </c>
      <c r="L29" s="35">
        <v>2370633</v>
      </c>
      <c r="M29" s="76">
        <v>2164771.5</v>
      </c>
    </row>
    <row r="30" spans="1:13" ht="10.199999999999999" customHeight="1" x14ac:dyDescent="0.25">
      <c r="A30" s="6">
        <f t="shared" si="0"/>
        <v>25</v>
      </c>
      <c r="B30" s="2" t="s">
        <v>40</v>
      </c>
      <c r="C30" s="36"/>
      <c r="D30" s="37"/>
      <c r="E30" s="38">
        <v>2463300</v>
      </c>
      <c r="F30" s="25">
        <v>2052750</v>
      </c>
      <c r="G30" s="25">
        <v>2111400</v>
      </c>
      <c r="H30" s="38"/>
      <c r="I30" s="24"/>
      <c r="J30" s="26">
        <v>2209157.8199999998</v>
      </c>
      <c r="K30" s="83">
        <v>913767</v>
      </c>
      <c r="L30" s="41">
        <v>2272492</v>
      </c>
      <c r="M30" s="26">
        <v>2270146</v>
      </c>
    </row>
    <row r="31" spans="1:13" ht="10.199999999999999" customHeight="1" x14ac:dyDescent="0.25">
      <c r="A31" s="6">
        <f t="shared" si="0"/>
        <v>26</v>
      </c>
      <c r="B31" s="2" t="s">
        <v>41</v>
      </c>
      <c r="C31" s="36"/>
      <c r="D31" s="37"/>
      <c r="E31" s="38">
        <v>1847475</v>
      </c>
      <c r="F31" s="38">
        <v>1539562.5</v>
      </c>
      <c r="G31" s="38">
        <v>1583550</v>
      </c>
      <c r="H31" s="38"/>
      <c r="I31" s="24"/>
      <c r="J31" s="26">
        <v>1656862.5</v>
      </c>
      <c r="K31" s="35">
        <v>1700850</v>
      </c>
      <c r="L31" s="35">
        <v>1704369</v>
      </c>
      <c r="M31" s="76">
        <v>1702609.5</v>
      </c>
    </row>
    <row r="32" spans="1:13" ht="10.199999999999999" customHeight="1" x14ac:dyDescent="0.25">
      <c r="A32" s="6">
        <f t="shared" si="0"/>
        <v>27</v>
      </c>
      <c r="B32" s="2" t="s">
        <v>42</v>
      </c>
      <c r="C32" s="36"/>
      <c r="D32" s="37"/>
      <c r="E32" s="38">
        <v>469200</v>
      </c>
      <c r="F32" s="25">
        <v>410550</v>
      </c>
      <c r="G32" s="25">
        <v>387090</v>
      </c>
      <c r="H32" s="38"/>
      <c r="I32" s="24"/>
      <c r="J32" s="26">
        <v>422280</v>
      </c>
      <c r="K32" s="50">
        <v>297942</v>
      </c>
      <c r="L32" s="50">
        <v>916113</v>
      </c>
      <c r="M32" s="26"/>
    </row>
    <row r="33" spans="1:13" ht="10.199999999999999" customHeight="1" x14ac:dyDescent="0.25">
      <c r="A33" s="6">
        <f t="shared" si="0"/>
        <v>28</v>
      </c>
      <c r="B33" s="2" t="s">
        <v>43</v>
      </c>
      <c r="C33" s="36"/>
      <c r="D33" s="37"/>
      <c r="E33" s="25">
        <v>351900</v>
      </c>
      <c r="F33" s="25">
        <v>307912.5</v>
      </c>
      <c r="G33" s="25">
        <v>290317.5</v>
      </c>
      <c r="H33" s="38"/>
      <c r="I33" s="24"/>
      <c r="J33" s="26">
        <v>316710</v>
      </c>
      <c r="K33" s="84">
        <v>263925</v>
      </c>
      <c r="L33" s="84">
        <v>272136</v>
      </c>
      <c r="M33" s="26"/>
    </row>
    <row r="34" spans="1:13" ht="10.199999999999999" customHeight="1" x14ac:dyDescent="0.25">
      <c r="A34" s="6">
        <f t="shared" si="0"/>
        <v>29</v>
      </c>
      <c r="B34" s="2" t="s">
        <v>44</v>
      </c>
      <c r="C34" s="36"/>
      <c r="D34" s="37"/>
      <c r="E34" s="38">
        <v>70380</v>
      </c>
      <c r="F34" s="25">
        <v>65688</v>
      </c>
      <c r="G34" s="25">
        <v>75541.2</v>
      </c>
      <c r="H34" s="38"/>
      <c r="I34" s="24"/>
      <c r="J34" s="26">
        <v>70544.22</v>
      </c>
      <c r="K34" s="35">
        <v>79764</v>
      </c>
      <c r="L34" s="35">
        <v>94426.5</v>
      </c>
      <c r="M34" s="51">
        <v>87095.25</v>
      </c>
    </row>
    <row r="35" spans="1:13" ht="10.199999999999999" customHeight="1" x14ac:dyDescent="0.25">
      <c r="A35" s="6">
        <f t="shared" si="0"/>
        <v>30</v>
      </c>
      <c r="B35" s="2" t="s">
        <v>45</v>
      </c>
      <c r="C35" s="36"/>
      <c r="D35" s="37"/>
      <c r="E35" s="38">
        <v>187680</v>
      </c>
      <c r="F35" s="25">
        <v>175950</v>
      </c>
      <c r="G35" s="25"/>
      <c r="H35" s="38"/>
      <c r="I35" s="24"/>
      <c r="J35" s="26">
        <v>181815</v>
      </c>
      <c r="K35" s="24"/>
      <c r="L35" s="24"/>
      <c r="M35" s="26">
        <v>181815</v>
      </c>
    </row>
    <row r="36" spans="1:13" ht="10.199999999999999" customHeight="1" x14ac:dyDescent="0.25">
      <c r="A36" s="6">
        <f t="shared" si="0"/>
        <v>31</v>
      </c>
      <c r="B36" s="2" t="s">
        <v>46</v>
      </c>
      <c r="C36" s="36"/>
      <c r="D36" s="37"/>
      <c r="E36" s="38">
        <v>304980</v>
      </c>
      <c r="F36" s="25"/>
      <c r="G36" s="25">
        <v>304980</v>
      </c>
      <c r="H36" s="38"/>
      <c r="I36" s="24"/>
      <c r="J36" s="26">
        <v>304980</v>
      </c>
      <c r="K36" s="85">
        <v>158355</v>
      </c>
      <c r="L36" s="37"/>
      <c r="M36" s="26">
        <v>304980</v>
      </c>
    </row>
    <row r="37" spans="1:13" ht="10.199999999999999" customHeight="1" x14ac:dyDescent="0.25">
      <c r="A37" s="6">
        <f t="shared" si="0"/>
        <v>32</v>
      </c>
      <c r="B37" s="2" t="s">
        <v>47</v>
      </c>
      <c r="C37" s="36"/>
      <c r="D37" s="37"/>
      <c r="E37" s="38">
        <v>469200</v>
      </c>
      <c r="F37" s="25"/>
      <c r="G37" s="25">
        <v>516120</v>
      </c>
      <c r="H37" s="38"/>
      <c r="I37" s="24"/>
      <c r="J37" s="26">
        <v>492660</v>
      </c>
      <c r="K37" s="24"/>
      <c r="L37" s="24"/>
      <c r="M37" s="26">
        <v>492660</v>
      </c>
    </row>
    <row r="38" spans="1:13" ht="10.199999999999999" customHeight="1" x14ac:dyDescent="0.25">
      <c r="A38" s="6">
        <f t="shared" si="0"/>
        <v>33</v>
      </c>
      <c r="B38" s="2" t="s">
        <v>48</v>
      </c>
      <c r="C38" s="36"/>
      <c r="D38" s="37"/>
      <c r="E38" s="38"/>
      <c r="F38" s="25"/>
      <c r="G38" s="25"/>
      <c r="H38" s="38"/>
      <c r="I38" s="24"/>
      <c r="J38" s="52">
        <v>46920</v>
      </c>
      <c r="K38" s="53">
        <v>46920</v>
      </c>
      <c r="L38" s="53">
        <v>48093</v>
      </c>
      <c r="M38" s="52">
        <v>46920</v>
      </c>
    </row>
    <row r="39" spans="1:13" ht="26.4" x14ac:dyDescent="0.25">
      <c r="A39" s="6">
        <f t="shared" si="0"/>
        <v>34</v>
      </c>
      <c r="B39" s="2" t="s">
        <v>49</v>
      </c>
      <c r="C39" s="36"/>
      <c r="D39" s="37"/>
      <c r="E39" s="38">
        <v>48914.1</v>
      </c>
      <c r="F39" s="38">
        <v>49852.5</v>
      </c>
      <c r="G39" s="38"/>
      <c r="H39" s="38"/>
      <c r="I39" s="24"/>
      <c r="J39" s="54">
        <v>49383.3</v>
      </c>
      <c r="K39" s="50">
        <v>72726</v>
      </c>
      <c r="L39" s="50">
        <v>73077.899999999994</v>
      </c>
      <c r="M39" s="54">
        <v>49383.3</v>
      </c>
    </row>
    <row r="40" spans="1:13" ht="20.399999999999999" customHeight="1" x14ac:dyDescent="0.25">
      <c r="A40" s="6"/>
      <c r="B40" s="2" t="s">
        <v>50</v>
      </c>
      <c r="C40" s="36"/>
      <c r="D40" s="37"/>
      <c r="E40" s="38"/>
      <c r="F40" s="38"/>
      <c r="G40" s="38"/>
      <c r="H40" s="38"/>
      <c r="I40" s="24"/>
      <c r="J40" s="26"/>
      <c r="K40" s="37"/>
      <c r="L40" s="41">
        <v>49500.6</v>
      </c>
      <c r="M40" s="41">
        <v>49500.6</v>
      </c>
    </row>
    <row r="41" spans="1:13" ht="30.6" customHeight="1" x14ac:dyDescent="0.25">
      <c r="A41" s="6">
        <f>A39+1</f>
        <v>35</v>
      </c>
      <c r="B41" s="2" t="s">
        <v>51</v>
      </c>
      <c r="C41" s="36"/>
      <c r="D41" s="37"/>
      <c r="E41" s="38">
        <v>53840.7</v>
      </c>
      <c r="F41" s="38"/>
      <c r="G41" s="38"/>
      <c r="H41" s="38"/>
      <c r="I41" s="37"/>
      <c r="J41" s="54">
        <v>53840.7</v>
      </c>
      <c r="K41" s="24"/>
      <c r="L41" s="24"/>
      <c r="M41" s="54">
        <v>53840.7</v>
      </c>
    </row>
    <row r="42" spans="1:13" ht="30.6" customHeight="1" x14ac:dyDescent="0.25">
      <c r="A42" s="6">
        <f t="shared" si="0"/>
        <v>36</v>
      </c>
      <c r="B42" s="2" t="s">
        <v>52</v>
      </c>
      <c r="C42" s="36"/>
      <c r="D42" s="37" t="s">
        <v>99</v>
      </c>
      <c r="E42" s="38">
        <v>46920</v>
      </c>
      <c r="F42" s="38">
        <v>41055</v>
      </c>
      <c r="G42" s="38"/>
      <c r="H42" s="38">
        <v>39178.199999999997</v>
      </c>
      <c r="I42" s="37"/>
      <c r="J42" s="54">
        <v>42392.22</v>
      </c>
      <c r="K42" s="24"/>
      <c r="L42" s="24"/>
      <c r="M42" s="54">
        <v>43987.5</v>
      </c>
    </row>
    <row r="43" spans="1:13" ht="9.6" customHeight="1" x14ac:dyDescent="0.25">
      <c r="A43" s="6">
        <f t="shared" si="0"/>
        <v>37</v>
      </c>
      <c r="B43" s="3" t="s">
        <v>53</v>
      </c>
      <c r="C43" s="29"/>
      <c r="D43" s="37"/>
      <c r="E43" s="38"/>
      <c r="F43" s="38">
        <v>43401</v>
      </c>
      <c r="G43" s="38"/>
      <c r="H43" s="38"/>
      <c r="I43" s="37"/>
      <c r="J43" s="37"/>
      <c r="K43" s="34">
        <v>109323.6</v>
      </c>
      <c r="L43" s="87">
        <v>117886.5</v>
      </c>
      <c r="M43" s="87">
        <v>113605.05</v>
      </c>
    </row>
    <row r="44" spans="1:13" ht="9.6" customHeight="1" x14ac:dyDescent="0.25">
      <c r="A44" s="6">
        <f t="shared" si="0"/>
        <v>38</v>
      </c>
      <c r="B44" s="3" t="s">
        <v>54</v>
      </c>
      <c r="C44" s="29"/>
      <c r="D44" s="37"/>
      <c r="E44" s="38"/>
      <c r="F44" s="38">
        <v>43401</v>
      </c>
      <c r="G44" s="38"/>
      <c r="H44" s="38"/>
      <c r="I44" s="37"/>
      <c r="J44" s="37"/>
      <c r="K44" s="34">
        <v>82110</v>
      </c>
      <c r="L44" s="34">
        <v>82696.5</v>
      </c>
      <c r="M44" s="34">
        <v>82403.25</v>
      </c>
    </row>
    <row r="45" spans="1:13" ht="10.199999999999999" hidden="1" customHeight="1" x14ac:dyDescent="0.25">
      <c r="A45" s="6"/>
      <c r="B45" s="3" t="s">
        <v>55</v>
      </c>
      <c r="C45" s="29"/>
      <c r="D45" s="37"/>
      <c r="E45" s="38"/>
      <c r="F45" s="38"/>
      <c r="G45" s="38"/>
      <c r="H45" s="38"/>
      <c r="I45" s="56">
        <v>32844</v>
      </c>
      <c r="J45" s="37"/>
      <c r="K45" s="37"/>
      <c r="L45" s="37"/>
      <c r="M45" s="57" t="s">
        <v>100</v>
      </c>
    </row>
    <row r="46" spans="1:13" ht="10.199999999999999" hidden="1" customHeight="1" x14ac:dyDescent="0.25">
      <c r="A46" s="6"/>
      <c r="B46" s="3" t="s">
        <v>56</v>
      </c>
      <c r="C46" s="29"/>
      <c r="D46" s="37"/>
      <c r="E46" s="38"/>
      <c r="F46" s="38"/>
      <c r="G46" s="38"/>
      <c r="H46" s="38"/>
      <c r="I46" s="56">
        <v>11730</v>
      </c>
      <c r="J46" s="37"/>
      <c r="K46" s="37"/>
      <c r="L46" s="37"/>
      <c r="M46" s="57" t="s">
        <v>100</v>
      </c>
    </row>
    <row r="47" spans="1:13" ht="10.199999999999999" hidden="1" customHeight="1" x14ac:dyDescent="0.25">
      <c r="A47" s="6"/>
      <c r="B47" s="3" t="s">
        <v>57</v>
      </c>
      <c r="C47" s="29"/>
      <c r="D47" s="37"/>
      <c r="E47" s="38"/>
      <c r="F47" s="38"/>
      <c r="G47" s="38">
        <v>46920</v>
      </c>
      <c r="H47" s="38"/>
      <c r="I47" s="56">
        <v>23460</v>
      </c>
      <c r="J47" s="37"/>
      <c r="K47" s="37"/>
      <c r="L47" s="37"/>
      <c r="M47" s="57" t="s">
        <v>100</v>
      </c>
    </row>
    <row r="48" spans="1:13" ht="10.199999999999999" hidden="1" customHeight="1" x14ac:dyDescent="0.25">
      <c r="A48" s="6"/>
      <c r="B48" s="3" t="s">
        <v>58</v>
      </c>
      <c r="C48" s="29"/>
      <c r="D48" s="37"/>
      <c r="E48" s="38"/>
      <c r="F48" s="38"/>
      <c r="G48" s="38">
        <v>17595</v>
      </c>
      <c r="H48" s="38"/>
      <c r="I48" s="56">
        <v>11730</v>
      </c>
      <c r="J48" s="37"/>
      <c r="K48" s="37"/>
      <c r="L48" s="37"/>
      <c r="M48" s="57" t="s">
        <v>100</v>
      </c>
    </row>
    <row r="49" spans="1:18" ht="10.199999999999999" customHeight="1" x14ac:dyDescent="0.25">
      <c r="A49" s="6">
        <v>39</v>
      </c>
      <c r="B49" s="3" t="s">
        <v>59</v>
      </c>
      <c r="C49" s="29"/>
      <c r="D49" s="37"/>
      <c r="E49" s="38"/>
      <c r="F49" s="58">
        <v>23460</v>
      </c>
      <c r="G49" s="38"/>
      <c r="H49" s="58"/>
      <c r="I49" s="37"/>
      <c r="J49" s="37"/>
      <c r="K49" s="59">
        <v>35893.800000000003</v>
      </c>
      <c r="L49" s="59">
        <v>84221.4</v>
      </c>
      <c r="M49" s="59">
        <v>60057.599999999999</v>
      </c>
    </row>
    <row r="50" spans="1:18" ht="19.2" customHeight="1" x14ac:dyDescent="0.25">
      <c r="A50" s="6">
        <f t="shared" si="0"/>
        <v>40</v>
      </c>
      <c r="B50" s="3" t="s">
        <v>60</v>
      </c>
      <c r="C50" s="29"/>
      <c r="D50" s="37"/>
      <c r="E50" s="38"/>
      <c r="F50" s="38"/>
      <c r="G50" s="38"/>
      <c r="H50" s="38"/>
      <c r="I50" s="56">
        <v>41055</v>
      </c>
      <c r="J50" s="26"/>
      <c r="K50" s="37"/>
      <c r="L50" s="37"/>
      <c r="M50" s="60">
        <v>41055</v>
      </c>
    </row>
    <row r="51" spans="1:18" ht="10.199999999999999" customHeight="1" x14ac:dyDescent="0.25">
      <c r="A51" s="6">
        <f t="shared" si="0"/>
        <v>41</v>
      </c>
      <c r="B51" s="7" t="s">
        <v>61</v>
      </c>
      <c r="C51" s="38">
        <v>22404.3</v>
      </c>
      <c r="D51" s="61"/>
      <c r="E51" s="62"/>
      <c r="F51" s="38"/>
      <c r="G51" s="62"/>
      <c r="H51" s="38"/>
      <c r="I51" s="61"/>
      <c r="J51" s="26"/>
      <c r="K51" s="61"/>
      <c r="L51" s="61"/>
      <c r="M51" s="26">
        <v>22404.3</v>
      </c>
    </row>
    <row r="52" spans="1:18" ht="10.199999999999999" customHeight="1" x14ac:dyDescent="0.25">
      <c r="A52" s="6">
        <f t="shared" si="0"/>
        <v>42</v>
      </c>
      <c r="B52" s="10" t="s">
        <v>62</v>
      </c>
      <c r="C52" s="38">
        <v>22404.3</v>
      </c>
      <c r="D52" s="37"/>
      <c r="E52" s="38"/>
      <c r="F52" s="38"/>
      <c r="G52" s="38"/>
      <c r="H52" s="38"/>
      <c r="I52" s="37"/>
      <c r="J52" s="37"/>
      <c r="K52" s="34">
        <v>23811.9</v>
      </c>
      <c r="L52" s="34">
        <v>23870.55</v>
      </c>
      <c r="M52" s="34">
        <v>23847.09</v>
      </c>
    </row>
    <row r="53" spans="1:18" ht="10.199999999999999" customHeight="1" x14ac:dyDescent="0.25">
      <c r="A53" s="6">
        <f t="shared" si="0"/>
        <v>43</v>
      </c>
      <c r="B53" s="10" t="s">
        <v>63</v>
      </c>
      <c r="C53" s="38">
        <v>22404.3</v>
      </c>
      <c r="D53" s="37"/>
      <c r="E53" s="38"/>
      <c r="F53" s="38"/>
      <c r="G53" s="38"/>
      <c r="H53" s="38"/>
      <c r="I53" s="37"/>
      <c r="J53" s="37"/>
      <c r="K53" s="34">
        <v>45395.1</v>
      </c>
      <c r="L53" s="34">
        <v>46920</v>
      </c>
      <c r="M53" s="34">
        <v>46157.55</v>
      </c>
    </row>
    <row r="54" spans="1:18" ht="10.199999999999999" customHeight="1" x14ac:dyDescent="0.25">
      <c r="A54" s="6">
        <f t="shared" si="0"/>
        <v>44</v>
      </c>
      <c r="B54" s="10" t="s">
        <v>64</v>
      </c>
      <c r="C54" s="38"/>
      <c r="D54" s="37">
        <v>37536</v>
      </c>
      <c r="E54" s="38"/>
      <c r="F54" s="38"/>
      <c r="G54" s="38"/>
      <c r="H54" s="38"/>
      <c r="I54" s="37"/>
      <c r="J54" s="52">
        <v>37536</v>
      </c>
      <c r="K54" s="37"/>
      <c r="L54" s="37"/>
      <c r="M54" s="52">
        <v>37536</v>
      </c>
    </row>
    <row r="55" spans="1:18" ht="10.199999999999999" customHeight="1" x14ac:dyDescent="0.25">
      <c r="A55" s="6">
        <f t="shared" si="0"/>
        <v>45</v>
      </c>
      <c r="B55" s="10" t="s">
        <v>65</v>
      </c>
      <c r="C55" s="38"/>
      <c r="D55" s="37"/>
      <c r="E55" s="38"/>
      <c r="F55" s="38"/>
      <c r="G55" s="38"/>
      <c r="H55" s="38"/>
      <c r="I55" s="37"/>
      <c r="J55" s="54"/>
      <c r="K55" s="37"/>
      <c r="L55" s="37"/>
      <c r="M55" s="54">
        <v>22949.75</v>
      </c>
    </row>
    <row r="56" spans="1:18" s="8" customFormat="1" ht="10.199999999999999" customHeight="1" x14ac:dyDescent="0.25">
      <c r="A56" s="6">
        <f t="shared" si="0"/>
        <v>46</v>
      </c>
      <c r="B56" s="7" t="s">
        <v>66</v>
      </c>
      <c r="C56" s="38">
        <v>23694.6</v>
      </c>
      <c r="D56" s="37">
        <v>31671</v>
      </c>
      <c r="E56" s="38"/>
      <c r="F56" s="38"/>
      <c r="G56" s="38"/>
      <c r="H56" s="38"/>
      <c r="I56" s="37"/>
      <c r="J56" s="26">
        <v>27682.799999999999</v>
      </c>
      <c r="K56" s="37"/>
      <c r="L56" s="37"/>
      <c r="M56" s="26">
        <v>27682.799999999999</v>
      </c>
      <c r="N56" s="4"/>
      <c r="O56" s="4"/>
      <c r="P56" s="4"/>
      <c r="Q56" s="4"/>
      <c r="R56" s="4"/>
    </row>
    <row r="57" spans="1:18" s="8" customFormat="1" ht="10.199999999999999" customHeight="1" x14ac:dyDescent="0.25">
      <c r="A57" s="6">
        <f t="shared" si="0"/>
        <v>47</v>
      </c>
      <c r="B57" s="7" t="s">
        <v>67</v>
      </c>
      <c r="C57" s="38"/>
      <c r="D57" s="37">
        <v>66861</v>
      </c>
      <c r="E57" s="38"/>
      <c r="F57" s="38"/>
      <c r="G57" s="38"/>
      <c r="H57" s="38"/>
      <c r="I57" s="37"/>
      <c r="J57" s="26">
        <v>66861</v>
      </c>
      <c r="K57" s="34">
        <v>36949.5</v>
      </c>
      <c r="L57" s="34">
        <v>37066.800000000003</v>
      </c>
      <c r="M57" s="34">
        <v>37066.800000000003</v>
      </c>
      <c r="N57" s="4"/>
      <c r="O57" s="4"/>
      <c r="P57" s="4"/>
      <c r="Q57" s="4"/>
      <c r="R57" s="4"/>
    </row>
    <row r="58" spans="1:18" ht="10.199999999999999" customHeight="1" x14ac:dyDescent="0.25">
      <c r="A58" s="6">
        <f t="shared" si="0"/>
        <v>48</v>
      </c>
      <c r="B58" s="7" t="s">
        <v>68</v>
      </c>
      <c r="C58" s="38">
        <v>23225.4</v>
      </c>
      <c r="D58" s="61"/>
      <c r="E58" s="62"/>
      <c r="F58" s="38"/>
      <c r="G58" s="62"/>
      <c r="H58" s="38"/>
      <c r="I58" s="61"/>
      <c r="J58" s="26">
        <v>23225.4</v>
      </c>
      <c r="K58" s="61"/>
      <c r="L58" s="61"/>
      <c r="M58" s="26">
        <v>23225.4</v>
      </c>
    </row>
    <row r="59" spans="1:18" x14ac:dyDescent="0.25">
      <c r="A59" s="6">
        <f t="shared" si="0"/>
        <v>49</v>
      </c>
      <c r="B59" s="7" t="s">
        <v>69</v>
      </c>
      <c r="C59" s="38"/>
      <c r="D59" s="61">
        <v>82110</v>
      </c>
      <c r="E59" s="62"/>
      <c r="F59" s="38"/>
      <c r="G59" s="62"/>
      <c r="H59" s="38"/>
      <c r="I59" s="61"/>
      <c r="J59" s="26">
        <v>82110</v>
      </c>
      <c r="K59" s="34">
        <v>46920</v>
      </c>
      <c r="L59" s="34">
        <v>47154.6</v>
      </c>
      <c r="M59" s="52">
        <v>82110</v>
      </c>
    </row>
    <row r="60" spans="1:18" ht="10.199999999999999" customHeight="1" x14ac:dyDescent="0.25">
      <c r="A60" s="6">
        <f t="shared" si="0"/>
        <v>50</v>
      </c>
      <c r="B60" s="7" t="s">
        <v>70</v>
      </c>
      <c r="C60" s="38">
        <v>23929.200000000001</v>
      </c>
      <c r="D60" s="61">
        <v>29676.9</v>
      </c>
      <c r="E60" s="62"/>
      <c r="F60" s="38"/>
      <c r="G60" s="62"/>
      <c r="H60" s="38"/>
      <c r="I60" s="61"/>
      <c r="J60" s="26">
        <v>26803.05</v>
      </c>
      <c r="K60" s="61"/>
      <c r="L60" s="61"/>
      <c r="M60" s="26">
        <v>26803.05</v>
      </c>
    </row>
    <row r="61" spans="1:18" s="4" customFormat="1" x14ac:dyDescent="0.25">
      <c r="A61" s="6">
        <f t="shared" si="0"/>
        <v>51</v>
      </c>
      <c r="B61" s="7" t="s">
        <v>71</v>
      </c>
      <c r="C61" s="38"/>
      <c r="D61" s="61">
        <v>55717.5</v>
      </c>
      <c r="E61" s="62"/>
      <c r="F61" s="38"/>
      <c r="G61" s="62"/>
      <c r="H61" s="38"/>
      <c r="I61" s="61"/>
      <c r="J61" s="26">
        <v>55717.5</v>
      </c>
      <c r="K61" s="63">
        <v>26979</v>
      </c>
      <c r="L61" s="63">
        <v>44691.3</v>
      </c>
      <c r="M61" s="38">
        <v>55717.5</v>
      </c>
    </row>
    <row r="62" spans="1:18" s="4" customFormat="1" ht="10.199999999999999" customHeight="1" x14ac:dyDescent="0.25">
      <c r="A62" s="6">
        <f t="shared" si="0"/>
        <v>52</v>
      </c>
      <c r="B62" s="7" t="s">
        <v>72</v>
      </c>
      <c r="C62" s="38"/>
      <c r="D62" s="61"/>
      <c r="E62" s="62">
        <v>79764</v>
      </c>
      <c r="F62" s="38">
        <v>85629</v>
      </c>
      <c r="G62" s="62">
        <v>82110</v>
      </c>
      <c r="H62" s="62">
        <v>70380</v>
      </c>
      <c r="I62" s="61"/>
      <c r="J62" s="26">
        <v>79470.75</v>
      </c>
      <c r="K62" s="64">
        <v>104103.75</v>
      </c>
      <c r="L62" s="64">
        <v>117300</v>
      </c>
      <c r="M62" s="26">
        <v>82508.820000000007</v>
      </c>
    </row>
    <row r="63" spans="1:18" s="4" customFormat="1" ht="10.199999999999999" customHeight="1" x14ac:dyDescent="0.25">
      <c r="A63" s="6">
        <f t="shared" si="0"/>
        <v>53</v>
      </c>
      <c r="B63" s="7" t="s">
        <v>73</v>
      </c>
      <c r="C63" s="38"/>
      <c r="D63" s="61"/>
      <c r="E63" s="62">
        <v>55834.8</v>
      </c>
      <c r="F63" s="62">
        <v>59940.3</v>
      </c>
      <c r="G63" s="62">
        <v>57477</v>
      </c>
      <c r="H63" s="62">
        <v>49266</v>
      </c>
      <c r="I63" s="61"/>
      <c r="J63" s="26">
        <v>55635.39</v>
      </c>
      <c r="K63" s="61"/>
      <c r="L63" s="61"/>
      <c r="M63" s="26">
        <v>57756.17</v>
      </c>
    </row>
    <row r="64" spans="1:18" s="4" customFormat="1" ht="13.2" customHeight="1" x14ac:dyDescent="0.25">
      <c r="A64" s="6">
        <f t="shared" si="0"/>
        <v>54</v>
      </c>
      <c r="B64" s="7" t="s">
        <v>74</v>
      </c>
      <c r="C64" s="38"/>
      <c r="D64" s="65">
        <v>34017</v>
      </c>
      <c r="E64" s="62"/>
      <c r="F64" s="38"/>
      <c r="G64" s="62"/>
      <c r="H64" s="38"/>
      <c r="I64" s="61"/>
      <c r="J64" s="26">
        <v>34017</v>
      </c>
      <c r="K64" s="86">
        <v>37536</v>
      </c>
      <c r="L64" s="87">
        <v>38943.599999999999</v>
      </c>
      <c r="M64" s="80">
        <v>38943.599999999999</v>
      </c>
    </row>
    <row r="65" spans="1:13" s="4" customFormat="1" ht="10.199999999999999" customHeight="1" x14ac:dyDescent="0.25">
      <c r="A65" s="6">
        <f t="shared" si="0"/>
        <v>55</v>
      </c>
      <c r="B65" s="7" t="s">
        <v>75</v>
      </c>
      <c r="C65" s="38"/>
      <c r="D65" s="66">
        <v>41055</v>
      </c>
      <c r="E65" s="62"/>
      <c r="F65" s="38"/>
      <c r="G65" s="62"/>
      <c r="H65" s="38"/>
      <c r="I65" s="61"/>
      <c r="J65" s="26">
        <v>41055</v>
      </c>
      <c r="K65" s="88">
        <v>41055</v>
      </c>
      <c r="L65" s="88">
        <v>41289.599999999999</v>
      </c>
      <c r="M65" s="89">
        <v>41055</v>
      </c>
    </row>
    <row r="66" spans="1:13" s="4" customFormat="1" x14ac:dyDescent="0.25">
      <c r="A66" s="6">
        <f t="shared" si="0"/>
        <v>56</v>
      </c>
      <c r="B66" s="7" t="s">
        <v>76</v>
      </c>
      <c r="C66" s="38"/>
      <c r="D66" s="61">
        <v>105570</v>
      </c>
      <c r="E66" s="62">
        <v>68034</v>
      </c>
      <c r="F66" s="62">
        <v>64515</v>
      </c>
      <c r="G66" s="38">
        <v>67447.5</v>
      </c>
      <c r="H66" s="38">
        <v>57477</v>
      </c>
      <c r="I66" s="61"/>
      <c r="J66" s="26">
        <v>64374.239999999998</v>
      </c>
      <c r="K66" s="34">
        <v>88561.5</v>
      </c>
      <c r="L66" s="34">
        <v>89148</v>
      </c>
      <c r="M66" s="93">
        <v>89148</v>
      </c>
    </row>
    <row r="67" spans="1:13" s="4" customFormat="1" ht="10.199999999999999" customHeight="1" x14ac:dyDescent="0.25">
      <c r="A67" s="6">
        <f t="shared" si="0"/>
        <v>57</v>
      </c>
      <c r="B67" s="7" t="s">
        <v>77</v>
      </c>
      <c r="C67" s="38"/>
      <c r="D67" s="61">
        <v>103224</v>
      </c>
      <c r="E67" s="62">
        <v>65453.4</v>
      </c>
      <c r="F67" s="62">
        <v>62169</v>
      </c>
      <c r="G67" s="38">
        <v>65101.5</v>
      </c>
      <c r="H67" s="62">
        <v>55131</v>
      </c>
      <c r="I67" s="61"/>
      <c r="J67" s="26">
        <v>61969.59</v>
      </c>
      <c r="K67" s="92">
        <v>72960.600000000006</v>
      </c>
      <c r="L67" s="92">
        <v>92197.8</v>
      </c>
      <c r="M67" s="93">
        <v>82579.199999999997</v>
      </c>
    </row>
    <row r="68" spans="1:13" s="4" customFormat="1" ht="10.199999999999999" customHeight="1" x14ac:dyDescent="0.25">
      <c r="A68" s="6">
        <f t="shared" si="0"/>
        <v>58</v>
      </c>
      <c r="B68" s="7" t="s">
        <v>78</v>
      </c>
      <c r="C68" s="38"/>
      <c r="D68" s="61">
        <v>73899</v>
      </c>
      <c r="E68" s="62">
        <v>29325</v>
      </c>
      <c r="F68" s="62">
        <v>41055</v>
      </c>
      <c r="G68" s="62"/>
      <c r="H68" s="62">
        <v>29325</v>
      </c>
      <c r="I68" s="61"/>
      <c r="J68" s="26">
        <v>33242.82</v>
      </c>
      <c r="K68" s="61"/>
      <c r="L68" s="61"/>
      <c r="M68" s="26">
        <v>33242.82</v>
      </c>
    </row>
    <row r="69" spans="1:13" s="4" customFormat="1" ht="16.2" customHeight="1" x14ac:dyDescent="0.25">
      <c r="A69" s="6">
        <f t="shared" si="0"/>
        <v>59</v>
      </c>
      <c r="B69" s="7" t="s">
        <v>79</v>
      </c>
      <c r="C69" s="38"/>
      <c r="D69" s="61"/>
      <c r="E69" s="62">
        <v>21114</v>
      </c>
      <c r="F69" s="38"/>
      <c r="G69" s="62"/>
      <c r="H69" s="38"/>
      <c r="I69" s="61"/>
      <c r="J69" s="26">
        <v>21114</v>
      </c>
      <c r="K69" s="71">
        <v>57477</v>
      </c>
      <c r="L69" s="71">
        <v>63576.6</v>
      </c>
      <c r="M69" s="72">
        <v>60526.8</v>
      </c>
    </row>
    <row r="70" spans="1:13" s="4" customFormat="1" ht="11.4" customHeight="1" x14ac:dyDescent="0.25">
      <c r="A70" s="6">
        <f t="shared" ref="A70:A81" si="1">A69+1</f>
        <v>60</v>
      </c>
      <c r="B70" s="7" t="s">
        <v>80</v>
      </c>
      <c r="C70" s="38"/>
      <c r="D70" s="61"/>
      <c r="E70" s="62"/>
      <c r="F70" s="38"/>
      <c r="G70" s="62"/>
      <c r="H70" s="38"/>
      <c r="I70" s="61"/>
      <c r="J70" s="26"/>
      <c r="K70" s="61"/>
      <c r="L70" s="61"/>
      <c r="M70" s="52">
        <v>42368.76</v>
      </c>
    </row>
    <row r="71" spans="1:13" s="4" customFormat="1" ht="10.199999999999999" customHeight="1" x14ac:dyDescent="0.25">
      <c r="A71" s="6">
        <f t="shared" si="1"/>
        <v>61</v>
      </c>
      <c r="B71" s="7" t="s">
        <v>81</v>
      </c>
      <c r="C71" s="38"/>
      <c r="D71" s="61">
        <v>161874</v>
      </c>
      <c r="E71" s="62">
        <v>84456</v>
      </c>
      <c r="F71" s="62">
        <v>152490</v>
      </c>
      <c r="G71" s="62"/>
      <c r="H71" s="62"/>
      <c r="I71" s="61"/>
      <c r="J71" s="26">
        <v>118473</v>
      </c>
      <c r="K71" s="92">
        <v>117300</v>
      </c>
      <c r="L71" s="92">
        <v>261579</v>
      </c>
      <c r="M71" s="93">
        <v>149369.82</v>
      </c>
    </row>
    <row r="72" spans="1:13" s="4" customFormat="1" ht="25.8" customHeight="1" x14ac:dyDescent="0.25">
      <c r="A72" s="6">
        <f t="shared" si="1"/>
        <v>62</v>
      </c>
      <c r="B72" s="7" t="s">
        <v>82</v>
      </c>
      <c r="C72" s="38"/>
      <c r="D72" s="61"/>
      <c r="E72" s="62"/>
      <c r="F72" s="62"/>
      <c r="G72" s="62"/>
      <c r="H72" s="62"/>
      <c r="I72" s="61"/>
      <c r="J72" s="26"/>
      <c r="K72" s="61"/>
      <c r="L72" s="61"/>
      <c r="M72" s="52">
        <v>38826.300000000003</v>
      </c>
    </row>
    <row r="73" spans="1:13" s="4" customFormat="1" ht="10.199999999999999" customHeight="1" x14ac:dyDescent="0.25">
      <c r="A73" s="6">
        <f t="shared" si="1"/>
        <v>63</v>
      </c>
      <c r="B73" s="7" t="s">
        <v>83</v>
      </c>
      <c r="C73" s="38"/>
      <c r="D73" s="61"/>
      <c r="E73" s="62"/>
      <c r="F73" s="62"/>
      <c r="G73" s="62"/>
      <c r="H73" s="62"/>
      <c r="I73" s="61"/>
      <c r="J73" s="26"/>
      <c r="K73" s="61"/>
      <c r="L73" s="61"/>
      <c r="M73" s="52">
        <v>27178.41</v>
      </c>
    </row>
    <row r="74" spans="1:13" s="4" customFormat="1" ht="10.199999999999999" customHeight="1" x14ac:dyDescent="0.25">
      <c r="A74" s="6">
        <f t="shared" si="1"/>
        <v>64</v>
      </c>
      <c r="B74" s="7" t="s">
        <v>84</v>
      </c>
      <c r="C74" s="38"/>
      <c r="D74" s="61"/>
      <c r="E74" s="62">
        <v>187680</v>
      </c>
      <c r="F74" s="62">
        <v>152490</v>
      </c>
      <c r="G74" s="62">
        <v>152490</v>
      </c>
      <c r="H74" s="62"/>
      <c r="I74" s="61"/>
      <c r="J74" s="26">
        <v>164220</v>
      </c>
      <c r="K74" s="61"/>
      <c r="L74" s="61"/>
      <c r="M74" s="26">
        <v>164220</v>
      </c>
    </row>
    <row r="75" spans="1:13" s="4" customFormat="1" ht="10.199999999999999" customHeight="1" x14ac:dyDescent="0.25">
      <c r="A75" s="6">
        <f t="shared" si="1"/>
        <v>65</v>
      </c>
      <c r="B75" s="7" t="s">
        <v>85</v>
      </c>
      <c r="C75" s="38"/>
      <c r="D75" s="61"/>
      <c r="E75" s="62">
        <v>131376</v>
      </c>
      <c r="F75" s="62">
        <v>106743</v>
      </c>
      <c r="G75" s="62">
        <v>106743</v>
      </c>
      <c r="H75" s="62"/>
      <c r="I75" s="61"/>
      <c r="J75" s="26">
        <v>114954</v>
      </c>
      <c r="K75" s="73">
        <v>109089</v>
      </c>
      <c r="L75" s="61"/>
      <c r="M75" s="26">
        <v>114954</v>
      </c>
    </row>
    <row r="76" spans="1:13" s="4" customFormat="1" ht="10.199999999999999" customHeight="1" x14ac:dyDescent="0.25">
      <c r="A76" s="6">
        <f t="shared" si="1"/>
        <v>66</v>
      </c>
      <c r="B76" s="17" t="s">
        <v>86</v>
      </c>
      <c r="C76" s="38"/>
      <c r="D76" s="61">
        <v>40233.9</v>
      </c>
      <c r="E76" s="62"/>
      <c r="F76" s="62"/>
      <c r="G76" s="62"/>
      <c r="H76" s="62"/>
      <c r="I76" s="61"/>
      <c r="J76" s="26">
        <v>40233.9</v>
      </c>
      <c r="K76" s="61"/>
      <c r="L76" s="61"/>
      <c r="M76" s="26"/>
    </row>
    <row r="77" spans="1:13" s="4" customFormat="1" ht="10.199999999999999" customHeight="1" x14ac:dyDescent="0.25">
      <c r="A77" s="6">
        <f t="shared" si="1"/>
        <v>67</v>
      </c>
      <c r="B77" s="7" t="s">
        <v>87</v>
      </c>
      <c r="C77" s="38">
        <v>38826.300000000003</v>
      </c>
      <c r="D77" s="65"/>
      <c r="E77" s="62"/>
      <c r="F77" s="62"/>
      <c r="G77" s="62"/>
      <c r="H77" s="62"/>
      <c r="I77" s="61"/>
      <c r="J77" s="26">
        <v>38826.300000000003</v>
      </c>
      <c r="K77" s="61"/>
      <c r="L77" s="61"/>
      <c r="M77" s="52">
        <v>38826.300000000003</v>
      </c>
    </row>
    <row r="78" spans="1:13" s="4" customFormat="1" ht="12.6" customHeight="1" x14ac:dyDescent="0.25">
      <c r="A78" s="6">
        <f t="shared" si="1"/>
        <v>68</v>
      </c>
      <c r="B78" s="7" t="s">
        <v>88</v>
      </c>
      <c r="C78" s="38"/>
      <c r="D78" s="61"/>
      <c r="E78" s="62">
        <v>84456</v>
      </c>
      <c r="F78" s="62">
        <v>105570</v>
      </c>
      <c r="G78" s="62"/>
      <c r="H78" s="62"/>
      <c r="I78" s="61"/>
      <c r="J78" s="26">
        <v>95013</v>
      </c>
      <c r="K78" s="61"/>
      <c r="L78" s="61"/>
      <c r="M78" s="74">
        <v>95013</v>
      </c>
    </row>
    <row r="79" spans="1:13" s="4" customFormat="1" ht="23.4" customHeight="1" x14ac:dyDescent="0.25">
      <c r="A79" s="6">
        <f t="shared" si="1"/>
        <v>69</v>
      </c>
      <c r="B79" s="17" t="s">
        <v>89</v>
      </c>
      <c r="C79" s="38"/>
      <c r="D79" s="61"/>
      <c r="E79" s="62"/>
      <c r="F79" s="62"/>
      <c r="G79" s="62"/>
      <c r="H79" s="62"/>
      <c r="I79" s="61"/>
      <c r="J79" s="26"/>
      <c r="K79" s="75">
        <v>34603.5</v>
      </c>
      <c r="L79" s="75">
        <v>36644.519999999997</v>
      </c>
      <c r="M79" s="60">
        <v>34603.5</v>
      </c>
    </row>
    <row r="80" spans="1:13" s="4" customFormat="1" ht="23.4" customHeight="1" x14ac:dyDescent="0.25">
      <c r="A80" s="6">
        <f t="shared" si="1"/>
        <v>70</v>
      </c>
      <c r="B80" s="17" t="s">
        <v>90</v>
      </c>
      <c r="C80" s="38"/>
      <c r="D80" s="61"/>
      <c r="E80" s="62"/>
      <c r="F80" s="62"/>
      <c r="G80" s="62"/>
      <c r="H80" s="62"/>
      <c r="I80" s="61"/>
      <c r="J80" s="26"/>
      <c r="K80" s="75"/>
      <c r="L80" s="87">
        <v>38720.730000000003</v>
      </c>
      <c r="M80" s="60">
        <v>46920</v>
      </c>
    </row>
    <row r="81" spans="1:13" s="4" customFormat="1" ht="15.9" customHeight="1" x14ac:dyDescent="0.25">
      <c r="A81" s="6">
        <f t="shared" si="1"/>
        <v>71</v>
      </c>
      <c r="B81" s="7" t="s">
        <v>91</v>
      </c>
      <c r="C81" s="38">
        <v>22521.599999999999</v>
      </c>
      <c r="D81" s="65"/>
      <c r="E81" s="62"/>
      <c r="F81" s="62"/>
      <c r="G81" s="62"/>
      <c r="H81" s="62"/>
      <c r="I81" s="61"/>
      <c r="J81" s="61"/>
      <c r="K81" s="94">
        <v>71553</v>
      </c>
      <c r="L81" s="87">
        <v>105570</v>
      </c>
      <c r="M81" s="94">
        <v>88561.5</v>
      </c>
    </row>
  </sheetData>
  <mergeCells count="12">
    <mergeCell ref="M1:M3"/>
    <mergeCell ref="C2:C3"/>
    <mergeCell ref="D2:D3"/>
    <mergeCell ref="E2:E3"/>
    <mergeCell ref="F2:F3"/>
    <mergeCell ref="G2:G3"/>
    <mergeCell ref="H2:H3"/>
    <mergeCell ref="I2:I3"/>
    <mergeCell ref="K2:L2"/>
    <mergeCell ref="A1:A3"/>
    <mergeCell ref="B1:B3"/>
    <mergeCell ref="J1:J3"/>
  </mergeCells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81"/>
  <sheetViews>
    <sheetView workbookViewId="0">
      <selection sqref="A1:A3"/>
    </sheetView>
  </sheetViews>
  <sheetFormatPr defaultRowHeight="13.2" x14ac:dyDescent="0.25"/>
  <cols>
    <col min="1" max="1" width="5.33203125" style="4" customWidth="1"/>
    <col min="2" max="2" width="60.109375" style="4" customWidth="1"/>
    <col min="3" max="3" width="10.6640625" style="4" customWidth="1"/>
    <col min="4" max="4" width="15.33203125" style="4" customWidth="1"/>
    <col min="5" max="5" width="11.5546875" style="4" customWidth="1"/>
    <col min="6" max="6" width="10.109375" style="4" customWidth="1"/>
    <col min="7" max="8" width="10.5546875" style="4" customWidth="1"/>
    <col min="9" max="9" width="9.88671875" style="4" customWidth="1"/>
    <col min="10" max="10" width="12.109375" style="4" customWidth="1"/>
    <col min="11" max="11" width="10.6640625" style="4" customWidth="1"/>
    <col min="12" max="12" width="12.5546875" style="4" customWidth="1"/>
    <col min="13" max="13" width="14.109375" style="4" customWidth="1"/>
  </cols>
  <sheetData>
    <row r="1" spans="1:13" ht="10.199999999999999" customHeight="1" x14ac:dyDescent="0.25">
      <c r="A1" s="104" t="s">
        <v>0</v>
      </c>
      <c r="B1" s="109" t="s">
        <v>1</v>
      </c>
      <c r="C1" s="12"/>
      <c r="D1" s="13"/>
      <c r="E1" s="13"/>
      <c r="F1" s="11"/>
      <c r="G1" s="5"/>
      <c r="H1" s="5"/>
      <c r="I1" s="5"/>
      <c r="J1" s="112" t="s">
        <v>2</v>
      </c>
      <c r="K1" s="16"/>
      <c r="L1" s="5"/>
      <c r="M1" s="112" t="s">
        <v>3</v>
      </c>
    </row>
    <row r="2" spans="1:13" ht="22.2" customHeight="1" x14ac:dyDescent="0.25">
      <c r="A2" s="108"/>
      <c r="B2" s="110"/>
      <c r="C2" s="102" t="s">
        <v>4</v>
      </c>
      <c r="D2" s="104" t="s">
        <v>5</v>
      </c>
      <c r="E2" s="102" t="s">
        <v>6</v>
      </c>
      <c r="F2" s="102" t="s">
        <v>7</v>
      </c>
      <c r="G2" s="102" t="s">
        <v>8</v>
      </c>
      <c r="H2" s="102" t="s">
        <v>9</v>
      </c>
      <c r="I2" s="104" t="s">
        <v>10</v>
      </c>
      <c r="J2" s="113"/>
      <c r="K2" s="119" t="s">
        <v>95</v>
      </c>
      <c r="L2" s="120"/>
      <c r="M2" s="113"/>
    </row>
    <row r="3" spans="1:13" ht="34.799999999999997" customHeight="1" x14ac:dyDescent="0.25">
      <c r="A3" s="105"/>
      <c r="B3" s="111"/>
      <c r="C3" s="103"/>
      <c r="D3" s="105"/>
      <c r="E3" s="103"/>
      <c r="F3" s="103" t="s">
        <v>7</v>
      </c>
      <c r="G3" s="103"/>
      <c r="H3" s="103" t="s">
        <v>7</v>
      </c>
      <c r="I3" s="105"/>
      <c r="J3" s="114"/>
      <c r="K3" s="19" t="s">
        <v>94</v>
      </c>
      <c r="L3" s="19" t="s">
        <v>13</v>
      </c>
      <c r="M3" s="114"/>
    </row>
    <row r="4" spans="1:13" ht="10.199999999999999" customHeight="1" x14ac:dyDescent="0.25">
      <c r="A4" s="6">
        <v>1</v>
      </c>
      <c r="B4" s="9" t="s">
        <v>14</v>
      </c>
      <c r="C4" s="23"/>
      <c r="D4" s="24"/>
      <c r="E4" s="25">
        <v>774180</v>
      </c>
      <c r="F4" s="25">
        <v>768315</v>
      </c>
      <c r="G4" s="25">
        <v>785910</v>
      </c>
      <c r="H4" s="25">
        <v>821100</v>
      </c>
      <c r="I4" s="24"/>
      <c r="J4" s="26">
        <v>787376.25</v>
      </c>
      <c r="K4" s="35">
        <v>906729</v>
      </c>
      <c r="L4" s="35">
        <v>1081506</v>
      </c>
      <c r="M4" s="35">
        <v>994117.5</v>
      </c>
    </row>
    <row r="5" spans="1:13" ht="10.199999999999999" customHeight="1" x14ac:dyDescent="0.25">
      <c r="A5" s="6">
        <f>A4+1</f>
        <v>2</v>
      </c>
      <c r="B5" s="9" t="s">
        <v>15</v>
      </c>
      <c r="C5" s="23"/>
      <c r="D5" s="24"/>
      <c r="E5" s="25">
        <v>762450</v>
      </c>
      <c r="F5" s="25">
        <v>762450</v>
      </c>
      <c r="G5" s="25">
        <v>774180</v>
      </c>
      <c r="H5" s="25">
        <v>809370</v>
      </c>
      <c r="I5" s="24"/>
      <c r="J5" s="26">
        <v>777112.5</v>
      </c>
      <c r="K5" s="24"/>
      <c r="L5" s="24"/>
      <c r="M5" s="26"/>
    </row>
    <row r="6" spans="1:13" ht="10.199999999999999" customHeight="1" x14ac:dyDescent="0.25">
      <c r="A6" s="6">
        <f t="shared" ref="A6:A69" si="0">A5+1</f>
        <v>3</v>
      </c>
      <c r="B6" s="2" t="s">
        <v>16</v>
      </c>
      <c r="C6" s="29"/>
      <c r="D6" s="24"/>
      <c r="E6" s="25">
        <v>656880</v>
      </c>
      <c r="F6" s="25"/>
      <c r="G6" s="30">
        <v>734298</v>
      </c>
      <c r="H6" s="25"/>
      <c r="I6" s="24"/>
      <c r="J6" s="26">
        <v>695589</v>
      </c>
      <c r="K6" s="34">
        <v>821100</v>
      </c>
      <c r="L6" s="34">
        <v>882096</v>
      </c>
      <c r="M6" s="76">
        <v>851598</v>
      </c>
    </row>
    <row r="7" spans="1:13" ht="10.199999999999999" customHeight="1" x14ac:dyDescent="0.25">
      <c r="A7" s="6">
        <f t="shared" si="0"/>
        <v>4</v>
      </c>
      <c r="B7" s="2" t="s">
        <v>17</v>
      </c>
      <c r="C7" s="29"/>
      <c r="D7" s="24"/>
      <c r="E7" s="25">
        <v>727260</v>
      </c>
      <c r="F7" s="25">
        <v>668610</v>
      </c>
      <c r="G7" s="25">
        <v>668610</v>
      </c>
      <c r="H7" s="32"/>
      <c r="I7" s="24"/>
      <c r="J7" s="26">
        <v>688163.91</v>
      </c>
      <c r="K7" s="35">
        <v>762450</v>
      </c>
      <c r="L7" s="35">
        <v>848079</v>
      </c>
      <c r="M7" s="76">
        <v>805264.5</v>
      </c>
    </row>
    <row r="8" spans="1:13" ht="10.199999999999999" customHeight="1" x14ac:dyDescent="0.25">
      <c r="A8" s="6"/>
      <c r="B8" s="2" t="s">
        <v>18</v>
      </c>
      <c r="C8" s="29"/>
      <c r="D8" s="24"/>
      <c r="E8" s="25">
        <v>541926</v>
      </c>
      <c r="F8" s="25">
        <v>537820.5</v>
      </c>
      <c r="G8" s="25">
        <v>550137</v>
      </c>
      <c r="H8" s="25">
        <v>574770</v>
      </c>
      <c r="I8" s="24"/>
      <c r="J8" s="26">
        <v>551169.24</v>
      </c>
      <c r="K8" s="24"/>
      <c r="L8" s="24"/>
      <c r="M8" s="42"/>
    </row>
    <row r="9" spans="1:13" ht="10.199999999999999" customHeight="1" x14ac:dyDescent="0.25">
      <c r="A9" s="6">
        <f>A7+1</f>
        <v>5</v>
      </c>
      <c r="B9" s="2" t="s">
        <v>19</v>
      </c>
      <c r="C9" s="29"/>
      <c r="D9" s="24"/>
      <c r="E9" s="25">
        <v>464332.05</v>
      </c>
      <c r="F9" s="25">
        <v>464332.05</v>
      </c>
      <c r="G9" s="25">
        <v>471475.62</v>
      </c>
      <c r="H9" s="25">
        <v>492906.33</v>
      </c>
      <c r="I9" s="24"/>
      <c r="J9" s="26">
        <v>473270.31</v>
      </c>
      <c r="K9" s="79">
        <v>480930</v>
      </c>
      <c r="L9" s="79">
        <v>507909</v>
      </c>
      <c r="M9" s="80">
        <v>494419.5</v>
      </c>
    </row>
    <row r="10" spans="1:13" ht="10.199999999999999" customHeight="1" x14ac:dyDescent="0.25">
      <c r="A10" s="6">
        <f t="shared" si="0"/>
        <v>6</v>
      </c>
      <c r="B10" s="14" t="s">
        <v>20</v>
      </c>
      <c r="C10" s="29"/>
      <c r="D10" s="24"/>
      <c r="E10" s="30">
        <v>609960</v>
      </c>
      <c r="F10" s="25">
        <v>375360</v>
      </c>
      <c r="G10" s="25"/>
      <c r="H10" s="25"/>
      <c r="I10" s="24"/>
      <c r="J10" s="26">
        <v>492660</v>
      </c>
      <c r="K10" s="24"/>
      <c r="L10" s="24"/>
      <c r="M10" s="26"/>
    </row>
    <row r="11" spans="1:13" ht="10.199999999999999" customHeight="1" x14ac:dyDescent="0.25">
      <c r="A11" s="6">
        <f t="shared" si="0"/>
        <v>7</v>
      </c>
      <c r="B11" s="2" t="s">
        <v>21</v>
      </c>
      <c r="C11" s="29"/>
      <c r="D11" s="24"/>
      <c r="E11" s="25">
        <v>304980</v>
      </c>
      <c r="F11" s="25">
        <v>304980</v>
      </c>
      <c r="G11" s="25">
        <v>309672</v>
      </c>
      <c r="H11" s="25">
        <v>323748</v>
      </c>
      <c r="I11" s="24"/>
      <c r="J11" s="26">
        <v>310845</v>
      </c>
      <c r="K11" s="41">
        <v>315537</v>
      </c>
      <c r="L11" s="41">
        <v>316710</v>
      </c>
      <c r="M11" s="26"/>
    </row>
    <row r="12" spans="1:13" ht="10.199999999999999" customHeight="1" x14ac:dyDescent="0.25">
      <c r="A12" s="6">
        <f t="shared" si="0"/>
        <v>8</v>
      </c>
      <c r="B12" s="2" t="s">
        <v>22</v>
      </c>
      <c r="C12" s="29"/>
      <c r="D12" s="24"/>
      <c r="E12" s="25">
        <v>429318</v>
      </c>
      <c r="F12" s="25">
        <v>590312.25</v>
      </c>
      <c r="G12" s="25">
        <v>751306.5</v>
      </c>
      <c r="H12" s="25">
        <v>751306.5</v>
      </c>
      <c r="I12" s="24"/>
      <c r="J12" s="26">
        <v>630569.61</v>
      </c>
      <c r="K12" s="34">
        <v>656880</v>
      </c>
      <c r="L12" s="34">
        <v>659226</v>
      </c>
      <c r="M12" s="26"/>
    </row>
    <row r="13" spans="1:13" ht="10.199999999999999" customHeight="1" x14ac:dyDescent="0.25">
      <c r="A13" s="6">
        <f t="shared" si="0"/>
        <v>9</v>
      </c>
      <c r="B13" s="2" t="s">
        <v>23</v>
      </c>
      <c r="C13" s="29"/>
      <c r="D13" s="24"/>
      <c r="E13" s="25">
        <v>235773</v>
      </c>
      <c r="F13" s="25">
        <v>432250.5</v>
      </c>
      <c r="G13" s="25">
        <v>550137</v>
      </c>
      <c r="H13" s="25">
        <v>392955</v>
      </c>
      <c r="I13" s="24"/>
      <c r="J13" s="26">
        <v>402784.74</v>
      </c>
      <c r="K13" s="35">
        <v>422280</v>
      </c>
      <c r="L13" s="35">
        <v>423453</v>
      </c>
      <c r="M13" s="26"/>
    </row>
    <row r="14" spans="1:13" ht="10.199999999999999" customHeight="1" x14ac:dyDescent="0.25">
      <c r="A14" s="6">
        <f t="shared" si="0"/>
        <v>10</v>
      </c>
      <c r="B14" s="2" t="s">
        <v>24</v>
      </c>
      <c r="C14" s="29"/>
      <c r="D14" s="24"/>
      <c r="E14" s="25">
        <v>117300</v>
      </c>
      <c r="F14" s="25">
        <v>156009</v>
      </c>
      <c r="G14" s="25">
        <v>123165</v>
      </c>
      <c r="H14" s="25">
        <v>140760</v>
      </c>
      <c r="I14" s="24"/>
      <c r="J14" s="26">
        <v>134308.5</v>
      </c>
      <c r="K14" s="35">
        <v>164220</v>
      </c>
      <c r="L14" s="35">
        <v>182988</v>
      </c>
      <c r="M14" s="76">
        <v>173604</v>
      </c>
    </row>
    <row r="15" spans="1:13" ht="10.199999999999999" customHeight="1" x14ac:dyDescent="0.25">
      <c r="A15" s="6">
        <f t="shared" si="0"/>
        <v>11</v>
      </c>
      <c r="B15" s="2" t="s">
        <v>25</v>
      </c>
      <c r="C15" s="36"/>
      <c r="D15" s="37"/>
      <c r="E15" s="38">
        <v>117300</v>
      </c>
      <c r="F15" s="25"/>
      <c r="G15" s="25">
        <v>175950</v>
      </c>
      <c r="H15" s="38"/>
      <c r="I15" s="24"/>
      <c r="J15" s="26">
        <v>146625</v>
      </c>
      <c r="K15" s="35">
        <v>158355</v>
      </c>
      <c r="L15" s="35">
        <v>266857.5</v>
      </c>
      <c r="M15" s="76">
        <v>212606.25</v>
      </c>
    </row>
    <row r="16" spans="1:13" s="15" customFormat="1" ht="10.199999999999999" customHeight="1" x14ac:dyDescent="0.25">
      <c r="A16" s="6">
        <f t="shared" si="0"/>
        <v>12</v>
      </c>
      <c r="B16" s="2" t="s">
        <v>26</v>
      </c>
      <c r="C16" s="36"/>
      <c r="D16" s="37"/>
      <c r="E16" s="38">
        <v>70380</v>
      </c>
      <c r="F16" s="25">
        <v>86802</v>
      </c>
      <c r="G16" s="25">
        <v>52785</v>
      </c>
      <c r="H16" s="38">
        <v>76245</v>
      </c>
      <c r="I16" s="24"/>
      <c r="J16" s="26">
        <v>71553</v>
      </c>
      <c r="K16" s="35">
        <v>87975</v>
      </c>
      <c r="L16" s="35">
        <v>99705</v>
      </c>
      <c r="M16" s="76">
        <v>93840</v>
      </c>
    </row>
    <row r="17" spans="1:13" ht="10.199999999999999" customHeight="1" x14ac:dyDescent="0.25">
      <c r="A17" s="6">
        <f t="shared" si="0"/>
        <v>13</v>
      </c>
      <c r="B17" s="2" t="s">
        <v>27</v>
      </c>
      <c r="C17" s="36"/>
      <c r="D17" s="37"/>
      <c r="E17" s="38"/>
      <c r="F17" s="25"/>
      <c r="G17" s="25"/>
      <c r="H17" s="38"/>
      <c r="I17" s="24"/>
      <c r="J17" s="26"/>
      <c r="K17" s="41">
        <v>51612</v>
      </c>
      <c r="L17" s="41">
        <v>51846.6</v>
      </c>
      <c r="M17" s="42">
        <v>51729.3</v>
      </c>
    </row>
    <row r="18" spans="1:13" ht="21.6" customHeight="1" x14ac:dyDescent="0.25">
      <c r="A18" s="6">
        <f t="shared" si="0"/>
        <v>14</v>
      </c>
      <c r="B18" s="2" t="s">
        <v>28</v>
      </c>
      <c r="C18" s="36"/>
      <c r="D18" s="37"/>
      <c r="E18" s="38">
        <v>117300</v>
      </c>
      <c r="F18" s="38">
        <v>156009</v>
      </c>
      <c r="G18" s="38">
        <v>123165</v>
      </c>
      <c r="H18" s="38">
        <v>140760</v>
      </c>
      <c r="I18" s="24"/>
      <c r="J18" s="26">
        <v>134308.5</v>
      </c>
      <c r="K18" s="35">
        <v>164220</v>
      </c>
      <c r="L18" s="95">
        <v>253368</v>
      </c>
      <c r="M18" s="80">
        <v>208794</v>
      </c>
    </row>
    <row r="19" spans="1:13" ht="12" customHeight="1" x14ac:dyDescent="0.25">
      <c r="A19" s="6"/>
      <c r="B19" s="2" t="s">
        <v>29</v>
      </c>
      <c r="C19" s="36"/>
      <c r="D19" s="37"/>
      <c r="E19" s="38">
        <v>197064</v>
      </c>
      <c r="F19" s="38">
        <v>192137.4</v>
      </c>
      <c r="G19" s="38">
        <v>197064</v>
      </c>
      <c r="H19" s="38">
        <v>201990.6</v>
      </c>
      <c r="I19" s="24"/>
      <c r="J19" s="26">
        <v>197064</v>
      </c>
      <c r="K19" s="43">
        <v>134895</v>
      </c>
      <c r="L19" s="43">
        <v>175950</v>
      </c>
      <c r="M19" s="26"/>
    </row>
    <row r="20" spans="1:13" ht="10.199999999999999" customHeight="1" x14ac:dyDescent="0.25">
      <c r="A20" s="6">
        <f>A18+1</f>
        <v>15</v>
      </c>
      <c r="B20" s="2" t="s">
        <v>30</v>
      </c>
      <c r="C20" s="36"/>
      <c r="D20" s="37"/>
      <c r="E20" s="38">
        <v>469200</v>
      </c>
      <c r="F20" s="25">
        <v>457470</v>
      </c>
      <c r="G20" s="25">
        <v>469200</v>
      </c>
      <c r="H20" s="38">
        <v>480930</v>
      </c>
      <c r="I20" s="24"/>
      <c r="J20" s="26">
        <v>469200</v>
      </c>
      <c r="K20" s="35">
        <v>551310</v>
      </c>
      <c r="L20" s="35">
        <v>636939</v>
      </c>
      <c r="M20" s="76">
        <v>594124.5</v>
      </c>
    </row>
    <row r="21" spans="1:13" ht="10.199999999999999" customHeight="1" x14ac:dyDescent="0.25">
      <c r="A21" s="6">
        <f t="shared" si="0"/>
        <v>16</v>
      </c>
      <c r="B21" s="2" t="s">
        <v>31</v>
      </c>
      <c r="C21" s="36"/>
      <c r="D21" s="37"/>
      <c r="E21" s="38">
        <v>410550</v>
      </c>
      <c r="F21" s="25">
        <v>434010</v>
      </c>
      <c r="G21" s="25">
        <v>398820</v>
      </c>
      <c r="H21" s="38">
        <v>434010</v>
      </c>
      <c r="I21" s="24"/>
      <c r="J21" s="26">
        <v>419347.5</v>
      </c>
      <c r="K21" s="35">
        <v>473892</v>
      </c>
      <c r="L21" s="35">
        <v>551310</v>
      </c>
      <c r="M21" s="76">
        <v>512601</v>
      </c>
    </row>
    <row r="22" spans="1:13" ht="10.199999999999999" customHeight="1" x14ac:dyDescent="0.25">
      <c r="A22" s="6">
        <f t="shared" si="0"/>
        <v>17</v>
      </c>
      <c r="B22" s="2" t="s">
        <v>32</v>
      </c>
      <c r="C22" s="36"/>
      <c r="D22" s="37"/>
      <c r="E22" s="38">
        <v>480930</v>
      </c>
      <c r="F22" s="38">
        <v>463335</v>
      </c>
      <c r="G22" s="38">
        <v>504390</v>
      </c>
      <c r="H22" s="38">
        <v>498525</v>
      </c>
      <c r="I22" s="24"/>
      <c r="J22" s="26">
        <v>486795</v>
      </c>
      <c r="K22" s="81">
        <v>491487</v>
      </c>
      <c r="L22" s="81">
        <v>498525</v>
      </c>
      <c r="M22" s="82">
        <v>495006</v>
      </c>
    </row>
    <row r="23" spans="1:13" ht="10.199999999999999" customHeight="1" x14ac:dyDescent="0.25">
      <c r="A23" s="6">
        <f t="shared" si="0"/>
        <v>18</v>
      </c>
      <c r="B23" s="2" t="s">
        <v>33</v>
      </c>
      <c r="C23" s="36"/>
      <c r="D23" s="37"/>
      <c r="E23" s="38">
        <v>422280</v>
      </c>
      <c r="F23" s="38">
        <v>434010</v>
      </c>
      <c r="G23" s="38">
        <v>410550</v>
      </c>
      <c r="H23" s="38">
        <v>451605</v>
      </c>
      <c r="I23" s="24"/>
      <c r="J23" s="26">
        <v>429611.25</v>
      </c>
      <c r="K23" s="46">
        <v>383571</v>
      </c>
      <c r="L23" s="46">
        <v>521398.5</v>
      </c>
      <c r="M23" s="26"/>
    </row>
    <row r="24" spans="1:13" ht="10.199999999999999" customHeight="1" x14ac:dyDescent="0.25">
      <c r="A24" s="6">
        <f t="shared" si="0"/>
        <v>19</v>
      </c>
      <c r="B24" s="1" t="s">
        <v>34</v>
      </c>
      <c r="C24" s="47"/>
      <c r="D24" s="37"/>
      <c r="E24" s="38">
        <v>445740</v>
      </c>
      <c r="F24" s="25">
        <v>463335</v>
      </c>
      <c r="G24" s="25">
        <v>480930</v>
      </c>
      <c r="H24" s="38">
        <v>480930</v>
      </c>
      <c r="I24" s="24"/>
      <c r="J24" s="26">
        <v>467733.75</v>
      </c>
      <c r="K24" s="35">
        <v>551310</v>
      </c>
      <c r="L24" s="35">
        <v>554829</v>
      </c>
      <c r="M24" s="76">
        <v>553069.5</v>
      </c>
    </row>
    <row r="25" spans="1:13" ht="10.199999999999999" customHeight="1" x14ac:dyDescent="0.25">
      <c r="A25" s="6">
        <f t="shared" si="0"/>
        <v>20</v>
      </c>
      <c r="B25" s="2" t="s">
        <v>35</v>
      </c>
      <c r="C25" s="36"/>
      <c r="D25" s="37"/>
      <c r="E25" s="38">
        <v>586500</v>
      </c>
      <c r="F25" s="25">
        <v>609960</v>
      </c>
      <c r="G25" s="25">
        <v>563040</v>
      </c>
      <c r="H25" s="38">
        <v>586500</v>
      </c>
      <c r="I25" s="24"/>
      <c r="J25" s="26">
        <v>586500</v>
      </c>
      <c r="K25" s="81">
        <v>570078</v>
      </c>
      <c r="L25" s="81">
        <v>627555</v>
      </c>
      <c r="M25" s="82">
        <v>598816.5</v>
      </c>
    </row>
    <row r="26" spans="1:13" ht="10.8" customHeight="1" x14ac:dyDescent="0.25">
      <c r="A26" s="6">
        <f t="shared" si="0"/>
        <v>21</v>
      </c>
      <c r="B26" s="2" t="s">
        <v>36</v>
      </c>
      <c r="C26" s="36"/>
      <c r="D26" s="37"/>
      <c r="E26" s="38">
        <v>586500</v>
      </c>
      <c r="F26" s="25">
        <v>621690</v>
      </c>
      <c r="G26" s="25">
        <v>598230</v>
      </c>
      <c r="H26" s="38"/>
      <c r="I26" s="24"/>
      <c r="J26" s="26">
        <v>602147.81999999995</v>
      </c>
      <c r="K26" s="35">
        <v>699108</v>
      </c>
      <c r="L26" s="35">
        <v>781218</v>
      </c>
      <c r="M26" s="76">
        <v>740163</v>
      </c>
    </row>
    <row r="27" spans="1:13" ht="10.199999999999999" customHeight="1" x14ac:dyDescent="0.25">
      <c r="A27" s="6">
        <f t="shared" si="0"/>
        <v>22</v>
      </c>
      <c r="B27" s="2" t="s">
        <v>37</v>
      </c>
      <c r="C27" s="36"/>
      <c r="D27" s="37"/>
      <c r="E27" s="38">
        <v>527850</v>
      </c>
      <c r="F27" s="25">
        <v>557175</v>
      </c>
      <c r="G27" s="25">
        <v>434010</v>
      </c>
      <c r="H27" s="38"/>
      <c r="I27" s="24"/>
      <c r="J27" s="26">
        <v>506348.91</v>
      </c>
      <c r="K27" s="35">
        <v>633420</v>
      </c>
      <c r="L27" s="35">
        <v>789429</v>
      </c>
      <c r="M27" s="76">
        <v>711424.5</v>
      </c>
    </row>
    <row r="28" spans="1:13" ht="10.199999999999999" customHeight="1" x14ac:dyDescent="0.25">
      <c r="A28" s="6">
        <f t="shared" si="0"/>
        <v>23</v>
      </c>
      <c r="B28" s="2" t="s">
        <v>38</v>
      </c>
      <c r="C28" s="36"/>
      <c r="D28" s="37"/>
      <c r="E28" s="38">
        <v>2263890</v>
      </c>
      <c r="F28" s="25">
        <v>1665660</v>
      </c>
      <c r="G28" s="25">
        <v>2052750</v>
      </c>
      <c r="H28" s="38">
        <v>1994100</v>
      </c>
      <c r="I28" s="24"/>
      <c r="J28" s="26">
        <v>1994100</v>
      </c>
      <c r="K28" s="35">
        <v>1999965</v>
      </c>
      <c r="L28" s="35">
        <v>2527815</v>
      </c>
      <c r="M28" s="76">
        <v>2263890</v>
      </c>
    </row>
    <row r="29" spans="1:13" ht="10.199999999999999" customHeight="1" x14ac:dyDescent="0.25">
      <c r="A29" s="6">
        <f t="shared" si="0"/>
        <v>24</v>
      </c>
      <c r="B29" s="2" t="s">
        <v>39</v>
      </c>
      <c r="C29" s="36"/>
      <c r="D29" s="37"/>
      <c r="E29" s="38">
        <v>2205240</v>
      </c>
      <c r="F29" s="25">
        <v>1665660</v>
      </c>
      <c r="G29" s="25">
        <v>1994100</v>
      </c>
      <c r="H29" s="38">
        <v>1935450</v>
      </c>
      <c r="I29" s="24"/>
      <c r="J29" s="26">
        <v>1950112.5</v>
      </c>
      <c r="K29" s="35">
        <v>1958910</v>
      </c>
      <c r="L29" s="35">
        <v>2370633</v>
      </c>
      <c r="M29" s="76">
        <v>2164771.5</v>
      </c>
    </row>
    <row r="30" spans="1:13" ht="10.199999999999999" customHeight="1" x14ac:dyDescent="0.25">
      <c r="A30" s="6">
        <f t="shared" si="0"/>
        <v>25</v>
      </c>
      <c r="B30" s="2" t="s">
        <v>40</v>
      </c>
      <c r="C30" s="36"/>
      <c r="D30" s="37"/>
      <c r="E30" s="38">
        <v>2463300</v>
      </c>
      <c r="F30" s="25">
        <v>1935450</v>
      </c>
      <c r="G30" s="25">
        <v>2111400</v>
      </c>
      <c r="H30" s="38"/>
      <c r="I30" s="24"/>
      <c r="J30" s="26">
        <v>2170050</v>
      </c>
      <c r="K30" s="83">
        <v>913767</v>
      </c>
      <c r="L30" s="41">
        <v>2272492</v>
      </c>
      <c r="M30" s="26">
        <v>2270146</v>
      </c>
    </row>
    <row r="31" spans="1:13" ht="10.199999999999999" customHeight="1" x14ac:dyDescent="0.25">
      <c r="A31" s="6">
        <f t="shared" si="0"/>
        <v>26</v>
      </c>
      <c r="B31" s="2" t="s">
        <v>41</v>
      </c>
      <c r="C31" s="36"/>
      <c r="D31" s="37"/>
      <c r="E31" s="38">
        <v>1847475</v>
      </c>
      <c r="F31" s="38">
        <v>1451587.5</v>
      </c>
      <c r="G31" s="38">
        <v>1583550</v>
      </c>
      <c r="H31" s="38"/>
      <c r="I31" s="24"/>
      <c r="J31" s="26">
        <v>1627537.5</v>
      </c>
      <c r="K31" s="35">
        <v>1700850</v>
      </c>
      <c r="L31" s="35">
        <v>1704369</v>
      </c>
      <c r="M31" s="76">
        <v>1702609.5</v>
      </c>
    </row>
    <row r="32" spans="1:13" ht="10.199999999999999" customHeight="1" x14ac:dyDescent="0.25">
      <c r="A32" s="6">
        <f t="shared" si="0"/>
        <v>27</v>
      </c>
      <c r="B32" s="2" t="s">
        <v>42</v>
      </c>
      <c r="C32" s="36"/>
      <c r="D32" s="37"/>
      <c r="E32" s="38">
        <v>469200</v>
      </c>
      <c r="F32" s="25">
        <v>351900</v>
      </c>
      <c r="G32" s="25">
        <v>387090</v>
      </c>
      <c r="H32" s="38"/>
      <c r="I32" s="24"/>
      <c r="J32" s="26">
        <v>402737.82</v>
      </c>
      <c r="K32" s="50">
        <v>297942</v>
      </c>
      <c r="L32" s="50">
        <v>916113</v>
      </c>
      <c r="M32" s="26"/>
    </row>
    <row r="33" spans="1:13" ht="10.199999999999999" customHeight="1" x14ac:dyDescent="0.25">
      <c r="A33" s="6">
        <f t="shared" si="0"/>
        <v>28</v>
      </c>
      <c r="B33" s="2" t="s">
        <v>43</v>
      </c>
      <c r="C33" s="36"/>
      <c r="D33" s="37"/>
      <c r="E33" s="25">
        <v>351900</v>
      </c>
      <c r="F33" s="25">
        <v>263925</v>
      </c>
      <c r="G33" s="25">
        <v>290317.5</v>
      </c>
      <c r="H33" s="38"/>
      <c r="I33" s="24"/>
      <c r="J33" s="26">
        <v>302047.5</v>
      </c>
      <c r="K33" s="84">
        <v>263925</v>
      </c>
      <c r="L33" s="84">
        <v>272136</v>
      </c>
      <c r="M33" s="26"/>
    </row>
    <row r="34" spans="1:13" ht="10.199999999999999" customHeight="1" x14ac:dyDescent="0.25">
      <c r="A34" s="6">
        <f t="shared" si="0"/>
        <v>29</v>
      </c>
      <c r="B34" s="2" t="s">
        <v>44</v>
      </c>
      <c r="C34" s="36"/>
      <c r="D34" s="37"/>
      <c r="E34" s="38">
        <v>70380</v>
      </c>
      <c r="F34" s="25">
        <v>72256.800000000003</v>
      </c>
      <c r="G34" s="25">
        <v>75541.2</v>
      </c>
      <c r="H34" s="38"/>
      <c r="I34" s="24"/>
      <c r="J34" s="26">
        <v>72726</v>
      </c>
      <c r="K34" s="35">
        <v>79764</v>
      </c>
      <c r="L34" s="35">
        <v>94426.5</v>
      </c>
      <c r="M34" s="51">
        <v>87095.25</v>
      </c>
    </row>
    <row r="35" spans="1:13" ht="10.199999999999999" customHeight="1" x14ac:dyDescent="0.25">
      <c r="A35" s="6">
        <f t="shared" si="0"/>
        <v>30</v>
      </c>
      <c r="B35" s="2" t="s">
        <v>45</v>
      </c>
      <c r="C35" s="36"/>
      <c r="D35" s="37"/>
      <c r="E35" s="38">
        <v>187680</v>
      </c>
      <c r="F35" s="25">
        <v>175950</v>
      </c>
      <c r="G35" s="25"/>
      <c r="H35" s="38"/>
      <c r="I35" s="24"/>
      <c r="J35" s="26">
        <v>181815</v>
      </c>
      <c r="K35" s="24"/>
      <c r="L35" s="24"/>
      <c r="M35" s="26">
        <v>181815</v>
      </c>
    </row>
    <row r="36" spans="1:13" ht="10.199999999999999" customHeight="1" x14ac:dyDescent="0.25">
      <c r="A36" s="6">
        <f t="shared" si="0"/>
        <v>31</v>
      </c>
      <c r="B36" s="2" t="s">
        <v>46</v>
      </c>
      <c r="C36" s="36"/>
      <c r="D36" s="37"/>
      <c r="E36" s="38">
        <v>304980</v>
      </c>
      <c r="F36" s="25"/>
      <c r="G36" s="25">
        <v>304980</v>
      </c>
      <c r="H36" s="38"/>
      <c r="I36" s="24"/>
      <c r="J36" s="26">
        <v>304980</v>
      </c>
      <c r="K36" s="85">
        <v>158355</v>
      </c>
      <c r="L36" s="37"/>
      <c r="M36" s="26">
        <v>304980</v>
      </c>
    </row>
    <row r="37" spans="1:13" ht="10.199999999999999" customHeight="1" x14ac:dyDescent="0.25">
      <c r="A37" s="6">
        <f t="shared" si="0"/>
        <v>32</v>
      </c>
      <c r="B37" s="2" t="s">
        <v>47</v>
      </c>
      <c r="C37" s="36"/>
      <c r="D37" s="37"/>
      <c r="E37" s="38">
        <v>469200</v>
      </c>
      <c r="F37" s="25"/>
      <c r="G37" s="25">
        <v>516120</v>
      </c>
      <c r="H37" s="38"/>
      <c r="I37" s="24"/>
      <c r="J37" s="26">
        <v>492660</v>
      </c>
      <c r="K37" s="24"/>
      <c r="L37" s="24"/>
      <c r="M37" s="26">
        <v>492660</v>
      </c>
    </row>
    <row r="38" spans="1:13" ht="10.199999999999999" customHeight="1" x14ac:dyDescent="0.25">
      <c r="A38" s="6">
        <f t="shared" si="0"/>
        <v>33</v>
      </c>
      <c r="B38" s="2" t="s">
        <v>48</v>
      </c>
      <c r="C38" s="36"/>
      <c r="D38" s="37"/>
      <c r="E38" s="38"/>
      <c r="F38" s="25"/>
      <c r="G38" s="25"/>
      <c r="H38" s="38"/>
      <c r="I38" s="24"/>
      <c r="J38" s="52">
        <v>46920</v>
      </c>
      <c r="K38" s="53">
        <v>46920</v>
      </c>
      <c r="L38" s="53">
        <v>48093</v>
      </c>
      <c r="M38" s="52">
        <v>46920</v>
      </c>
    </row>
    <row r="39" spans="1:13" ht="26.4" x14ac:dyDescent="0.25">
      <c r="A39" s="6">
        <f t="shared" si="0"/>
        <v>34</v>
      </c>
      <c r="B39" s="2" t="s">
        <v>49</v>
      </c>
      <c r="C39" s="36"/>
      <c r="D39" s="37"/>
      <c r="E39" s="38">
        <v>48914.1</v>
      </c>
      <c r="F39" s="38">
        <v>51846.6</v>
      </c>
      <c r="G39" s="38"/>
      <c r="H39" s="38"/>
      <c r="I39" s="24"/>
      <c r="J39" s="54">
        <v>50380.35</v>
      </c>
      <c r="K39" s="50">
        <v>72726</v>
      </c>
      <c r="L39" s="50">
        <v>73077.899999999994</v>
      </c>
      <c r="M39" s="54">
        <v>50380.35</v>
      </c>
    </row>
    <row r="40" spans="1:13" ht="20.399999999999999" customHeight="1" x14ac:dyDescent="0.25">
      <c r="A40" s="6"/>
      <c r="B40" s="2" t="s">
        <v>50</v>
      </c>
      <c r="C40" s="36"/>
      <c r="D40" s="37"/>
      <c r="E40" s="38"/>
      <c r="F40" s="38"/>
      <c r="G40" s="38"/>
      <c r="H40" s="38"/>
      <c r="I40" s="24"/>
      <c r="J40" s="26"/>
      <c r="K40" s="37"/>
      <c r="L40" s="41">
        <v>49500.6</v>
      </c>
      <c r="M40" s="41">
        <v>49500.6</v>
      </c>
    </row>
    <row r="41" spans="1:13" ht="30.6" customHeight="1" x14ac:dyDescent="0.25">
      <c r="A41" s="6">
        <f>A39+1</f>
        <v>35</v>
      </c>
      <c r="B41" s="2" t="s">
        <v>51</v>
      </c>
      <c r="C41" s="36"/>
      <c r="D41" s="37"/>
      <c r="E41" s="38">
        <v>68503.199999999997</v>
      </c>
      <c r="F41" s="38"/>
      <c r="G41" s="38"/>
      <c r="H41" s="38"/>
      <c r="I41" s="37"/>
      <c r="J41" s="54">
        <v>68503.199999999997</v>
      </c>
      <c r="K41" s="24"/>
      <c r="L41" s="24"/>
      <c r="M41" s="54">
        <v>68503.199999999997</v>
      </c>
    </row>
    <row r="42" spans="1:13" ht="30.6" customHeight="1" x14ac:dyDescent="0.25">
      <c r="A42" s="6">
        <f t="shared" si="0"/>
        <v>36</v>
      </c>
      <c r="B42" s="2" t="s">
        <v>52</v>
      </c>
      <c r="C42" s="36"/>
      <c r="D42" s="37" t="s">
        <v>99</v>
      </c>
      <c r="E42" s="38">
        <v>46920</v>
      </c>
      <c r="F42" s="38">
        <v>41055</v>
      </c>
      <c r="G42" s="38"/>
      <c r="H42" s="38">
        <v>39178.199999999997</v>
      </c>
      <c r="I42" s="37"/>
      <c r="J42" s="54">
        <v>42392.22</v>
      </c>
      <c r="K42" s="24"/>
      <c r="L42" s="24"/>
      <c r="M42" s="54">
        <v>43987.5</v>
      </c>
    </row>
    <row r="43" spans="1:13" ht="9.6" customHeight="1" x14ac:dyDescent="0.25">
      <c r="A43" s="6">
        <f t="shared" si="0"/>
        <v>37</v>
      </c>
      <c r="B43" s="3" t="s">
        <v>53</v>
      </c>
      <c r="C43" s="29"/>
      <c r="D43" s="37"/>
      <c r="E43" s="38"/>
      <c r="F43" s="38">
        <v>43401</v>
      </c>
      <c r="G43" s="38"/>
      <c r="H43" s="38"/>
      <c r="I43" s="37"/>
      <c r="J43" s="37"/>
      <c r="K43" s="34">
        <v>109323.6</v>
      </c>
      <c r="L43" s="87">
        <v>117886.5</v>
      </c>
      <c r="M43" s="87">
        <v>113605.05</v>
      </c>
    </row>
    <row r="44" spans="1:13" ht="9.6" customHeight="1" x14ac:dyDescent="0.25">
      <c r="A44" s="6">
        <f t="shared" si="0"/>
        <v>38</v>
      </c>
      <c r="B44" s="3" t="s">
        <v>54</v>
      </c>
      <c r="C44" s="29"/>
      <c r="D44" s="37"/>
      <c r="E44" s="38"/>
      <c r="F44" s="38">
        <v>43401</v>
      </c>
      <c r="G44" s="38"/>
      <c r="H44" s="38"/>
      <c r="I44" s="37"/>
      <c r="J44" s="37"/>
      <c r="K44" s="34">
        <v>82110</v>
      </c>
      <c r="L44" s="34">
        <v>82696.5</v>
      </c>
      <c r="M44" s="34">
        <v>82403.25</v>
      </c>
    </row>
    <row r="45" spans="1:13" ht="10.199999999999999" hidden="1" customHeight="1" x14ac:dyDescent="0.25">
      <c r="A45" s="6"/>
      <c r="B45" s="3" t="s">
        <v>55</v>
      </c>
      <c r="C45" s="29"/>
      <c r="D45" s="37"/>
      <c r="E45" s="38"/>
      <c r="F45" s="38"/>
      <c r="G45" s="38"/>
      <c r="H45" s="38"/>
      <c r="I45" s="56">
        <v>32844</v>
      </c>
      <c r="J45" s="37"/>
      <c r="K45" s="37"/>
      <c r="L45" s="37"/>
      <c r="M45" s="57" t="s">
        <v>100</v>
      </c>
    </row>
    <row r="46" spans="1:13" ht="10.199999999999999" hidden="1" customHeight="1" x14ac:dyDescent="0.25">
      <c r="A46" s="6"/>
      <c r="B46" s="3" t="s">
        <v>56</v>
      </c>
      <c r="C46" s="29"/>
      <c r="D46" s="37"/>
      <c r="E46" s="38"/>
      <c r="F46" s="38"/>
      <c r="G46" s="38"/>
      <c r="H46" s="38"/>
      <c r="I46" s="56">
        <v>11730</v>
      </c>
      <c r="J46" s="37"/>
      <c r="K46" s="37"/>
      <c r="L46" s="37"/>
      <c r="M46" s="57" t="s">
        <v>100</v>
      </c>
    </row>
    <row r="47" spans="1:13" ht="10.199999999999999" hidden="1" customHeight="1" x14ac:dyDescent="0.25">
      <c r="A47" s="6"/>
      <c r="B47" s="3" t="s">
        <v>57</v>
      </c>
      <c r="C47" s="29"/>
      <c r="D47" s="37"/>
      <c r="E47" s="38"/>
      <c r="F47" s="38"/>
      <c r="G47" s="38">
        <v>46920</v>
      </c>
      <c r="H47" s="38"/>
      <c r="I47" s="56">
        <v>23460</v>
      </c>
      <c r="J47" s="37"/>
      <c r="K47" s="37"/>
      <c r="L47" s="37"/>
      <c r="M47" s="57" t="s">
        <v>100</v>
      </c>
    </row>
    <row r="48" spans="1:13" ht="10.199999999999999" hidden="1" customHeight="1" x14ac:dyDescent="0.25">
      <c r="A48" s="6"/>
      <c r="B48" s="3" t="s">
        <v>58</v>
      </c>
      <c r="C48" s="29"/>
      <c r="D48" s="37"/>
      <c r="E48" s="38"/>
      <c r="F48" s="38"/>
      <c r="G48" s="38">
        <v>17595</v>
      </c>
      <c r="H48" s="38"/>
      <c r="I48" s="56">
        <v>11730</v>
      </c>
      <c r="J48" s="37"/>
      <c r="K48" s="37"/>
      <c r="L48" s="37"/>
      <c r="M48" s="57" t="s">
        <v>100</v>
      </c>
    </row>
    <row r="49" spans="1:18" ht="10.199999999999999" customHeight="1" x14ac:dyDescent="0.25">
      <c r="A49" s="6">
        <v>39</v>
      </c>
      <c r="B49" s="3" t="s">
        <v>59</v>
      </c>
      <c r="C49" s="29"/>
      <c r="D49" s="37"/>
      <c r="E49" s="38"/>
      <c r="F49" s="58">
        <v>23460</v>
      </c>
      <c r="G49" s="38"/>
      <c r="H49" s="58"/>
      <c r="I49" s="37"/>
      <c r="J49" s="37"/>
      <c r="K49" s="59">
        <v>35893.800000000003</v>
      </c>
      <c r="L49" s="59">
        <v>84221.4</v>
      </c>
      <c r="M49" s="59">
        <v>60057.599999999999</v>
      </c>
    </row>
    <row r="50" spans="1:18" ht="19.2" customHeight="1" x14ac:dyDescent="0.25">
      <c r="A50" s="6">
        <f t="shared" si="0"/>
        <v>40</v>
      </c>
      <c r="B50" s="3" t="s">
        <v>60</v>
      </c>
      <c r="C50" s="29"/>
      <c r="D50" s="37"/>
      <c r="E50" s="38"/>
      <c r="F50" s="38"/>
      <c r="G50" s="38"/>
      <c r="H50" s="38"/>
      <c r="I50" s="56">
        <v>41055</v>
      </c>
      <c r="J50" s="26"/>
      <c r="K50" s="37"/>
      <c r="L50" s="37"/>
      <c r="M50" s="60">
        <v>41055</v>
      </c>
    </row>
    <row r="51" spans="1:18" ht="10.199999999999999" customHeight="1" x14ac:dyDescent="0.25">
      <c r="A51" s="6">
        <f t="shared" si="0"/>
        <v>41</v>
      </c>
      <c r="B51" s="7" t="s">
        <v>61</v>
      </c>
      <c r="C51" s="38">
        <v>22287</v>
      </c>
      <c r="D51" s="61"/>
      <c r="E51" s="62"/>
      <c r="F51" s="38"/>
      <c r="G51" s="62"/>
      <c r="H51" s="38"/>
      <c r="I51" s="61"/>
      <c r="J51" s="26"/>
      <c r="K51" s="61"/>
      <c r="L51" s="61"/>
      <c r="M51" s="26">
        <v>22287</v>
      </c>
    </row>
    <row r="52" spans="1:18" ht="10.199999999999999" customHeight="1" x14ac:dyDescent="0.25">
      <c r="A52" s="6">
        <f t="shared" si="0"/>
        <v>42</v>
      </c>
      <c r="B52" s="10" t="s">
        <v>62</v>
      </c>
      <c r="C52" s="38">
        <v>22287</v>
      </c>
      <c r="D52" s="37"/>
      <c r="E52" s="38"/>
      <c r="F52" s="38"/>
      <c r="G52" s="38"/>
      <c r="H52" s="38"/>
      <c r="I52" s="37"/>
      <c r="J52" s="37"/>
      <c r="K52" s="34">
        <v>23811.9</v>
      </c>
      <c r="L52" s="34">
        <v>23870.55</v>
      </c>
      <c r="M52" s="34">
        <v>23847.09</v>
      </c>
    </row>
    <row r="53" spans="1:18" ht="10.199999999999999" customHeight="1" x14ac:dyDescent="0.25">
      <c r="A53" s="6">
        <f t="shared" si="0"/>
        <v>43</v>
      </c>
      <c r="B53" s="10" t="s">
        <v>63</v>
      </c>
      <c r="C53" s="38">
        <v>22287</v>
      </c>
      <c r="D53" s="37"/>
      <c r="E53" s="38"/>
      <c r="F53" s="38"/>
      <c r="G53" s="38"/>
      <c r="H53" s="38"/>
      <c r="I53" s="37"/>
      <c r="J53" s="37"/>
      <c r="K53" s="34">
        <v>45395.1</v>
      </c>
      <c r="L53" s="34">
        <v>46920</v>
      </c>
      <c r="M53" s="34">
        <v>46157.55</v>
      </c>
    </row>
    <row r="54" spans="1:18" ht="10.199999999999999" customHeight="1" x14ac:dyDescent="0.25">
      <c r="A54" s="6">
        <f t="shared" si="0"/>
        <v>44</v>
      </c>
      <c r="B54" s="10" t="s">
        <v>64</v>
      </c>
      <c r="C54" s="38"/>
      <c r="D54" s="37">
        <v>37536</v>
      </c>
      <c r="E54" s="38"/>
      <c r="F54" s="38"/>
      <c r="G54" s="38"/>
      <c r="H54" s="38"/>
      <c r="I54" s="37"/>
      <c r="J54" s="52">
        <v>37536</v>
      </c>
      <c r="K54" s="37"/>
      <c r="L54" s="37"/>
      <c r="M54" s="52">
        <v>37536</v>
      </c>
    </row>
    <row r="55" spans="1:18" ht="10.199999999999999" customHeight="1" x14ac:dyDescent="0.25">
      <c r="A55" s="6">
        <f t="shared" si="0"/>
        <v>45</v>
      </c>
      <c r="B55" s="10" t="s">
        <v>65</v>
      </c>
      <c r="C55" s="38"/>
      <c r="D55" s="37"/>
      <c r="E55" s="38"/>
      <c r="F55" s="38"/>
      <c r="G55" s="38"/>
      <c r="H55" s="38"/>
      <c r="I55" s="37"/>
      <c r="J55" s="54"/>
      <c r="K55" s="37"/>
      <c r="L55" s="37"/>
      <c r="M55" s="54">
        <v>22949.75</v>
      </c>
    </row>
    <row r="56" spans="1:18" s="8" customFormat="1" ht="10.199999999999999" customHeight="1" x14ac:dyDescent="0.25">
      <c r="A56" s="6">
        <f t="shared" si="0"/>
        <v>46</v>
      </c>
      <c r="B56" s="7" t="s">
        <v>66</v>
      </c>
      <c r="C56" s="38">
        <v>23460</v>
      </c>
      <c r="D56" s="37">
        <v>31671</v>
      </c>
      <c r="E56" s="38"/>
      <c r="F56" s="38"/>
      <c r="G56" s="38"/>
      <c r="H56" s="38"/>
      <c r="I56" s="37"/>
      <c r="J56" s="26">
        <v>27565.5</v>
      </c>
      <c r="K56" s="37"/>
      <c r="L56" s="37"/>
      <c r="M56" s="26">
        <v>27565.5</v>
      </c>
      <c r="N56" s="4"/>
      <c r="O56" s="4"/>
      <c r="P56" s="4"/>
      <c r="Q56" s="4"/>
      <c r="R56" s="4"/>
    </row>
    <row r="57" spans="1:18" s="8" customFormat="1" ht="10.199999999999999" customHeight="1" x14ac:dyDescent="0.25">
      <c r="A57" s="6">
        <f t="shared" si="0"/>
        <v>47</v>
      </c>
      <c r="B57" s="7" t="s">
        <v>67</v>
      </c>
      <c r="C57" s="38"/>
      <c r="D57" s="37">
        <v>66861</v>
      </c>
      <c r="E57" s="38"/>
      <c r="F57" s="38"/>
      <c r="G57" s="38"/>
      <c r="H57" s="38"/>
      <c r="I57" s="37"/>
      <c r="J57" s="26">
        <v>66861</v>
      </c>
      <c r="K57" s="34">
        <v>36949.5</v>
      </c>
      <c r="L57" s="34">
        <v>37066.800000000003</v>
      </c>
      <c r="M57" s="34">
        <v>37066.800000000003</v>
      </c>
      <c r="N57" s="4"/>
      <c r="O57" s="4"/>
      <c r="P57" s="4"/>
      <c r="Q57" s="4"/>
      <c r="R57" s="4"/>
    </row>
    <row r="58" spans="1:18" ht="10.199999999999999" customHeight="1" x14ac:dyDescent="0.25">
      <c r="A58" s="6">
        <f t="shared" si="0"/>
        <v>48</v>
      </c>
      <c r="B58" s="7" t="s">
        <v>68</v>
      </c>
      <c r="C58" s="38">
        <v>22990.799999999999</v>
      </c>
      <c r="D58" s="61"/>
      <c r="E58" s="62"/>
      <c r="F58" s="38"/>
      <c r="G58" s="62"/>
      <c r="H58" s="38"/>
      <c r="I58" s="61"/>
      <c r="J58" s="26">
        <v>22990.799999999999</v>
      </c>
      <c r="K58" s="61"/>
      <c r="L58" s="61"/>
      <c r="M58" s="26">
        <v>22990.799999999999</v>
      </c>
    </row>
    <row r="59" spans="1:18" x14ac:dyDescent="0.25">
      <c r="A59" s="6">
        <f t="shared" si="0"/>
        <v>49</v>
      </c>
      <c r="B59" s="7" t="s">
        <v>69</v>
      </c>
      <c r="C59" s="38"/>
      <c r="D59" s="61">
        <v>82110</v>
      </c>
      <c r="E59" s="62"/>
      <c r="F59" s="38"/>
      <c r="G59" s="62"/>
      <c r="H59" s="38"/>
      <c r="I59" s="61"/>
      <c r="J59" s="26">
        <v>82110</v>
      </c>
      <c r="K59" s="34">
        <v>46920</v>
      </c>
      <c r="L59" s="34">
        <v>47154.6</v>
      </c>
      <c r="M59" s="52">
        <v>82110</v>
      </c>
    </row>
    <row r="60" spans="1:18" ht="10.199999999999999" customHeight="1" x14ac:dyDescent="0.25">
      <c r="A60" s="6">
        <f t="shared" si="0"/>
        <v>50</v>
      </c>
      <c r="B60" s="7" t="s">
        <v>70</v>
      </c>
      <c r="C60" s="38">
        <v>23811.9</v>
      </c>
      <c r="D60" s="61">
        <v>29676.9</v>
      </c>
      <c r="E60" s="62"/>
      <c r="F60" s="38"/>
      <c r="G60" s="62"/>
      <c r="H60" s="38"/>
      <c r="I60" s="61"/>
      <c r="J60" s="26">
        <v>26744.400000000001</v>
      </c>
      <c r="K60" s="61"/>
      <c r="L60" s="61"/>
      <c r="M60" s="26">
        <v>26744.400000000001</v>
      </c>
    </row>
    <row r="61" spans="1:18" s="4" customFormat="1" x14ac:dyDescent="0.25">
      <c r="A61" s="6">
        <f t="shared" si="0"/>
        <v>51</v>
      </c>
      <c r="B61" s="7" t="s">
        <v>71</v>
      </c>
      <c r="C61" s="38"/>
      <c r="D61" s="61">
        <v>55717.5</v>
      </c>
      <c r="E61" s="62"/>
      <c r="F61" s="38"/>
      <c r="G61" s="62"/>
      <c r="H61" s="38"/>
      <c r="I61" s="61"/>
      <c r="J61" s="26">
        <v>55717.5</v>
      </c>
      <c r="K61" s="63">
        <v>26979</v>
      </c>
      <c r="L61" s="63">
        <v>44691.3</v>
      </c>
      <c r="M61" s="38">
        <v>55717.5</v>
      </c>
    </row>
    <row r="62" spans="1:18" s="4" customFormat="1" ht="10.199999999999999" customHeight="1" x14ac:dyDescent="0.25">
      <c r="A62" s="6">
        <f t="shared" si="0"/>
        <v>52</v>
      </c>
      <c r="B62" s="7" t="s">
        <v>72</v>
      </c>
      <c r="C62" s="38"/>
      <c r="D62" s="61"/>
      <c r="E62" s="62">
        <v>73899</v>
      </c>
      <c r="F62" s="38">
        <v>85629</v>
      </c>
      <c r="G62" s="62">
        <v>82110</v>
      </c>
      <c r="H62" s="62">
        <v>87975</v>
      </c>
      <c r="I62" s="61"/>
      <c r="J62" s="26">
        <v>82403.25</v>
      </c>
      <c r="K62" s="64">
        <v>104103.75</v>
      </c>
      <c r="L62" s="64">
        <v>117300</v>
      </c>
      <c r="M62" s="26">
        <v>80549.91</v>
      </c>
    </row>
    <row r="63" spans="1:18" s="4" customFormat="1" ht="10.199999999999999" customHeight="1" x14ac:dyDescent="0.25">
      <c r="A63" s="6">
        <f t="shared" si="0"/>
        <v>53</v>
      </c>
      <c r="B63" s="7" t="s">
        <v>73</v>
      </c>
      <c r="C63" s="38"/>
      <c r="D63" s="61"/>
      <c r="E63" s="62">
        <v>51729.3</v>
      </c>
      <c r="F63" s="62">
        <v>59940.3</v>
      </c>
      <c r="G63" s="62">
        <v>57477</v>
      </c>
      <c r="H63" s="62">
        <v>61582.5</v>
      </c>
      <c r="I63" s="61"/>
      <c r="J63" s="26">
        <v>57688.14</v>
      </c>
      <c r="K63" s="61"/>
      <c r="L63" s="61"/>
      <c r="M63" s="26">
        <v>56384.94</v>
      </c>
    </row>
    <row r="64" spans="1:18" s="4" customFormat="1" ht="13.2" customHeight="1" x14ac:dyDescent="0.25">
      <c r="A64" s="6">
        <f t="shared" si="0"/>
        <v>54</v>
      </c>
      <c r="B64" s="7" t="s">
        <v>74</v>
      </c>
      <c r="C64" s="38"/>
      <c r="D64" s="65">
        <v>34017</v>
      </c>
      <c r="E64" s="62"/>
      <c r="F64" s="38"/>
      <c r="G64" s="62"/>
      <c r="H64" s="38"/>
      <c r="I64" s="61"/>
      <c r="J64" s="26">
        <v>34017</v>
      </c>
      <c r="K64" s="86">
        <v>37536</v>
      </c>
      <c r="L64" s="87">
        <v>38943.599999999999</v>
      </c>
      <c r="M64" s="80">
        <v>38943.599999999999</v>
      </c>
    </row>
    <row r="65" spans="1:13" s="4" customFormat="1" ht="10.199999999999999" customHeight="1" x14ac:dyDescent="0.25">
      <c r="A65" s="6">
        <f t="shared" si="0"/>
        <v>55</v>
      </c>
      <c r="B65" s="7" t="s">
        <v>75</v>
      </c>
      <c r="C65" s="38"/>
      <c r="D65" s="66">
        <v>41055</v>
      </c>
      <c r="E65" s="62"/>
      <c r="F65" s="38"/>
      <c r="G65" s="62"/>
      <c r="H65" s="38"/>
      <c r="I65" s="61"/>
      <c r="J65" s="26">
        <v>41055</v>
      </c>
      <c r="K65" s="88">
        <v>41055</v>
      </c>
      <c r="L65" s="88">
        <v>41289.599999999999</v>
      </c>
      <c r="M65" s="89">
        <v>41055</v>
      </c>
    </row>
    <row r="66" spans="1:13" s="4" customFormat="1" x14ac:dyDescent="0.25">
      <c r="A66" s="6">
        <f t="shared" si="0"/>
        <v>56</v>
      </c>
      <c r="B66" s="7" t="s">
        <v>76</v>
      </c>
      <c r="C66" s="38"/>
      <c r="D66" s="61">
        <v>105570</v>
      </c>
      <c r="E66" s="62">
        <v>62169</v>
      </c>
      <c r="F66" s="62">
        <v>64515</v>
      </c>
      <c r="G66" s="38">
        <v>67447.5</v>
      </c>
      <c r="H66" s="38">
        <v>67447.5</v>
      </c>
      <c r="I66" s="61"/>
      <c r="J66" s="26">
        <v>65394.75</v>
      </c>
      <c r="K66" s="34">
        <v>88561.5</v>
      </c>
      <c r="L66" s="34">
        <v>89148</v>
      </c>
      <c r="M66" s="93">
        <v>89148</v>
      </c>
    </row>
    <row r="67" spans="1:13" s="4" customFormat="1" ht="10.199999999999999" customHeight="1" x14ac:dyDescent="0.25">
      <c r="A67" s="6">
        <f t="shared" si="0"/>
        <v>57</v>
      </c>
      <c r="B67" s="7" t="s">
        <v>77</v>
      </c>
      <c r="C67" s="38"/>
      <c r="D67" s="61">
        <v>103224</v>
      </c>
      <c r="E67" s="62">
        <v>59588.4</v>
      </c>
      <c r="F67" s="62">
        <v>62169</v>
      </c>
      <c r="G67" s="38">
        <v>65101.5</v>
      </c>
      <c r="H67" s="62">
        <v>65101.5</v>
      </c>
      <c r="I67" s="61"/>
      <c r="J67" s="26">
        <v>62990.1</v>
      </c>
      <c r="K67" s="92">
        <v>72960.600000000006</v>
      </c>
      <c r="L67" s="92">
        <v>92197.8</v>
      </c>
      <c r="M67" s="93">
        <v>82579.199999999997</v>
      </c>
    </row>
    <row r="68" spans="1:13" s="4" customFormat="1" ht="10.199999999999999" customHeight="1" x14ac:dyDescent="0.25">
      <c r="A68" s="6">
        <f t="shared" si="0"/>
        <v>58</v>
      </c>
      <c r="B68" s="7" t="s">
        <v>78</v>
      </c>
      <c r="C68" s="38"/>
      <c r="D68" s="61">
        <v>73899</v>
      </c>
      <c r="E68" s="62">
        <v>33547.800000000003</v>
      </c>
      <c r="F68" s="62">
        <v>41055</v>
      </c>
      <c r="G68" s="62"/>
      <c r="H68" s="62">
        <v>29325</v>
      </c>
      <c r="I68" s="61"/>
      <c r="J68" s="26">
        <v>34650.42</v>
      </c>
      <c r="K68" s="61"/>
      <c r="L68" s="61"/>
      <c r="M68" s="26">
        <v>34650.42</v>
      </c>
    </row>
    <row r="69" spans="1:13" s="4" customFormat="1" ht="16.2" customHeight="1" x14ac:dyDescent="0.25">
      <c r="A69" s="6">
        <f t="shared" si="0"/>
        <v>59</v>
      </c>
      <c r="B69" s="7" t="s">
        <v>79</v>
      </c>
      <c r="C69" s="38"/>
      <c r="D69" s="61"/>
      <c r="E69" s="62">
        <v>21114</v>
      </c>
      <c r="F69" s="38"/>
      <c r="G69" s="62"/>
      <c r="H69" s="38"/>
      <c r="I69" s="61"/>
      <c r="J69" s="26">
        <v>21114</v>
      </c>
      <c r="K69" s="71">
        <v>57477</v>
      </c>
      <c r="L69" s="71">
        <v>63576.6</v>
      </c>
      <c r="M69" s="72">
        <v>60526.8</v>
      </c>
    </row>
    <row r="70" spans="1:13" s="4" customFormat="1" ht="11.4" customHeight="1" x14ac:dyDescent="0.25">
      <c r="A70" s="6">
        <f t="shared" ref="A70:A81" si="1">A69+1</f>
        <v>60</v>
      </c>
      <c r="B70" s="7" t="s">
        <v>80</v>
      </c>
      <c r="C70" s="38"/>
      <c r="D70" s="61"/>
      <c r="E70" s="62"/>
      <c r="F70" s="38"/>
      <c r="G70" s="62"/>
      <c r="H70" s="38"/>
      <c r="I70" s="61"/>
      <c r="J70" s="26"/>
      <c r="K70" s="61"/>
      <c r="L70" s="61"/>
      <c r="M70" s="52">
        <v>42368.76</v>
      </c>
    </row>
    <row r="71" spans="1:13" s="4" customFormat="1" ht="10.199999999999999" customHeight="1" x14ac:dyDescent="0.25">
      <c r="A71" s="6">
        <f t="shared" si="1"/>
        <v>61</v>
      </c>
      <c r="B71" s="7" t="s">
        <v>81</v>
      </c>
      <c r="C71" s="38"/>
      <c r="D71" s="61">
        <v>161874</v>
      </c>
      <c r="E71" s="62">
        <v>84456</v>
      </c>
      <c r="F71" s="62">
        <v>152490</v>
      </c>
      <c r="G71" s="62"/>
      <c r="H71" s="62"/>
      <c r="I71" s="61"/>
      <c r="J71" s="26">
        <v>118473</v>
      </c>
      <c r="K71" s="92">
        <v>117300</v>
      </c>
      <c r="L71" s="92">
        <v>261579</v>
      </c>
      <c r="M71" s="93">
        <v>149369.82</v>
      </c>
    </row>
    <row r="72" spans="1:13" s="4" customFormat="1" ht="25.8" customHeight="1" x14ac:dyDescent="0.25">
      <c r="A72" s="6">
        <f t="shared" si="1"/>
        <v>62</v>
      </c>
      <c r="B72" s="7" t="s">
        <v>82</v>
      </c>
      <c r="C72" s="38"/>
      <c r="D72" s="61"/>
      <c r="E72" s="62"/>
      <c r="F72" s="62"/>
      <c r="G72" s="62"/>
      <c r="H72" s="62"/>
      <c r="I72" s="61"/>
      <c r="J72" s="26"/>
      <c r="K72" s="61"/>
      <c r="L72" s="61"/>
      <c r="M72" s="52">
        <v>38591.699999999997</v>
      </c>
    </row>
    <row r="73" spans="1:13" s="4" customFormat="1" ht="10.199999999999999" customHeight="1" x14ac:dyDescent="0.25">
      <c r="A73" s="6">
        <f t="shared" si="1"/>
        <v>63</v>
      </c>
      <c r="B73" s="7" t="s">
        <v>83</v>
      </c>
      <c r="C73" s="38"/>
      <c r="D73" s="61"/>
      <c r="E73" s="62"/>
      <c r="F73" s="62"/>
      <c r="G73" s="62"/>
      <c r="H73" s="62"/>
      <c r="I73" s="61"/>
      <c r="J73" s="26"/>
      <c r="K73" s="61"/>
      <c r="L73" s="61"/>
      <c r="M73" s="52">
        <v>27014.19</v>
      </c>
    </row>
    <row r="74" spans="1:13" s="4" customFormat="1" ht="10.199999999999999" customHeight="1" x14ac:dyDescent="0.25">
      <c r="A74" s="6">
        <f t="shared" si="1"/>
        <v>64</v>
      </c>
      <c r="B74" s="7" t="s">
        <v>84</v>
      </c>
      <c r="C74" s="38"/>
      <c r="D74" s="61"/>
      <c r="E74" s="62">
        <v>187680</v>
      </c>
      <c r="F74" s="62">
        <v>152490</v>
      </c>
      <c r="G74" s="62">
        <v>152490</v>
      </c>
      <c r="H74" s="62"/>
      <c r="I74" s="61"/>
      <c r="J74" s="26">
        <v>164220</v>
      </c>
      <c r="K74" s="61"/>
      <c r="L74" s="61"/>
      <c r="M74" s="26">
        <v>164220</v>
      </c>
    </row>
    <row r="75" spans="1:13" s="4" customFormat="1" ht="10.199999999999999" customHeight="1" x14ac:dyDescent="0.25">
      <c r="A75" s="6">
        <f t="shared" si="1"/>
        <v>65</v>
      </c>
      <c r="B75" s="7" t="s">
        <v>85</v>
      </c>
      <c r="C75" s="38"/>
      <c r="D75" s="61"/>
      <c r="E75" s="62">
        <v>131376</v>
      </c>
      <c r="F75" s="62">
        <v>106743</v>
      </c>
      <c r="G75" s="62">
        <v>106743</v>
      </c>
      <c r="H75" s="62"/>
      <c r="I75" s="61"/>
      <c r="J75" s="26">
        <v>114954</v>
      </c>
      <c r="K75" s="73">
        <v>109089</v>
      </c>
      <c r="L75" s="61"/>
      <c r="M75" s="26">
        <v>114954</v>
      </c>
    </row>
    <row r="76" spans="1:13" s="4" customFormat="1" ht="10.199999999999999" customHeight="1" x14ac:dyDescent="0.25">
      <c r="A76" s="6">
        <f t="shared" si="1"/>
        <v>66</v>
      </c>
      <c r="B76" s="17" t="s">
        <v>86</v>
      </c>
      <c r="C76" s="38"/>
      <c r="D76" s="61">
        <v>40233.9</v>
      </c>
      <c r="E76" s="62"/>
      <c r="F76" s="62"/>
      <c r="G76" s="62"/>
      <c r="H76" s="62"/>
      <c r="I76" s="61"/>
      <c r="J76" s="26">
        <v>40233.9</v>
      </c>
      <c r="K76" s="61"/>
      <c r="L76" s="61"/>
      <c r="M76" s="26"/>
    </row>
    <row r="77" spans="1:13" s="4" customFormat="1" ht="10.199999999999999" customHeight="1" x14ac:dyDescent="0.25">
      <c r="A77" s="6">
        <f t="shared" si="1"/>
        <v>67</v>
      </c>
      <c r="B77" s="7" t="s">
        <v>87</v>
      </c>
      <c r="C77" s="38">
        <v>38591.699999999997</v>
      </c>
      <c r="D77" s="65"/>
      <c r="E77" s="62"/>
      <c r="F77" s="62"/>
      <c r="G77" s="62"/>
      <c r="H77" s="62"/>
      <c r="I77" s="61"/>
      <c r="J77" s="26">
        <v>38591.699999999997</v>
      </c>
      <c r="K77" s="61"/>
      <c r="L77" s="61"/>
      <c r="M77" s="52">
        <v>38591.699999999997</v>
      </c>
    </row>
    <row r="78" spans="1:13" s="4" customFormat="1" ht="12.6" customHeight="1" x14ac:dyDescent="0.25">
      <c r="A78" s="6">
        <f t="shared" si="1"/>
        <v>68</v>
      </c>
      <c r="B78" s="7" t="s">
        <v>88</v>
      </c>
      <c r="C78" s="38"/>
      <c r="D78" s="61"/>
      <c r="E78" s="62">
        <v>84456</v>
      </c>
      <c r="F78" s="62">
        <v>105570</v>
      </c>
      <c r="G78" s="62"/>
      <c r="H78" s="62"/>
      <c r="I78" s="61"/>
      <c r="J78" s="26">
        <v>95013</v>
      </c>
      <c r="K78" s="61"/>
      <c r="L78" s="61"/>
      <c r="M78" s="74">
        <v>95013</v>
      </c>
    </row>
    <row r="79" spans="1:13" s="4" customFormat="1" ht="23.4" customHeight="1" x14ac:dyDescent="0.25">
      <c r="A79" s="6">
        <f t="shared" si="1"/>
        <v>69</v>
      </c>
      <c r="B79" s="17" t="s">
        <v>89</v>
      </c>
      <c r="C79" s="38"/>
      <c r="D79" s="61"/>
      <c r="E79" s="62"/>
      <c r="F79" s="62"/>
      <c r="G79" s="62"/>
      <c r="H79" s="62"/>
      <c r="I79" s="61"/>
      <c r="J79" s="26"/>
      <c r="K79" s="75">
        <v>34603.5</v>
      </c>
      <c r="L79" s="75">
        <v>36644.519999999997</v>
      </c>
      <c r="M79" s="60">
        <v>34603.5</v>
      </c>
    </row>
    <row r="80" spans="1:13" s="4" customFormat="1" ht="23.4" customHeight="1" x14ac:dyDescent="0.25">
      <c r="A80" s="6">
        <f t="shared" si="1"/>
        <v>70</v>
      </c>
      <c r="B80" s="17" t="s">
        <v>90</v>
      </c>
      <c r="C80" s="38"/>
      <c r="D80" s="61"/>
      <c r="E80" s="62"/>
      <c r="F80" s="62"/>
      <c r="G80" s="62"/>
      <c r="H80" s="62"/>
      <c r="I80" s="61"/>
      <c r="J80" s="26"/>
      <c r="K80" s="75"/>
      <c r="L80" s="87">
        <v>38720.730000000003</v>
      </c>
      <c r="M80" s="60">
        <v>46920</v>
      </c>
    </row>
    <row r="81" spans="1:13" s="4" customFormat="1" ht="15.9" customHeight="1" x14ac:dyDescent="0.25">
      <c r="A81" s="6">
        <f t="shared" si="1"/>
        <v>71</v>
      </c>
      <c r="B81" s="7" t="s">
        <v>91</v>
      </c>
      <c r="C81" s="38">
        <v>22287</v>
      </c>
      <c r="D81" s="65"/>
      <c r="E81" s="62"/>
      <c r="F81" s="62"/>
      <c r="G81" s="62"/>
      <c r="H81" s="62"/>
      <c r="I81" s="61"/>
      <c r="J81" s="61"/>
      <c r="K81" s="94">
        <v>71553</v>
      </c>
      <c r="L81" s="87">
        <v>105570</v>
      </c>
      <c r="M81" s="94">
        <v>88561.5</v>
      </c>
    </row>
  </sheetData>
  <mergeCells count="12">
    <mergeCell ref="A1:A3"/>
    <mergeCell ref="B1:B3"/>
    <mergeCell ref="J1:J3"/>
    <mergeCell ref="M1:M3"/>
    <mergeCell ref="C2:C3"/>
    <mergeCell ref="D2:D3"/>
    <mergeCell ref="E2:E3"/>
    <mergeCell ref="F2:F3"/>
    <mergeCell ref="G2:G3"/>
    <mergeCell ref="H2:H3"/>
    <mergeCell ref="I2:I3"/>
    <mergeCell ref="K2:L2"/>
  </mergeCells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81"/>
  <sheetViews>
    <sheetView workbookViewId="0">
      <selection sqref="A1:A3"/>
    </sheetView>
  </sheetViews>
  <sheetFormatPr defaultRowHeight="13.2" x14ac:dyDescent="0.25"/>
  <cols>
    <col min="1" max="1" width="5.33203125" style="4" customWidth="1"/>
    <col min="2" max="2" width="60.109375" style="4" customWidth="1"/>
    <col min="3" max="3" width="10.6640625" style="4" customWidth="1"/>
    <col min="4" max="4" width="15.33203125" style="4" customWidth="1"/>
    <col min="5" max="5" width="11.5546875" style="4" customWidth="1"/>
    <col min="6" max="6" width="10.109375" style="4" customWidth="1"/>
    <col min="7" max="8" width="10.5546875" style="4" customWidth="1"/>
    <col min="9" max="9" width="9.88671875" style="4" customWidth="1"/>
    <col min="10" max="10" width="12.109375" style="4" customWidth="1"/>
    <col min="11" max="11" width="10.6640625" style="4" customWidth="1"/>
    <col min="12" max="12" width="12.5546875" style="4" customWidth="1"/>
    <col min="13" max="13" width="14.109375" style="4" customWidth="1"/>
  </cols>
  <sheetData>
    <row r="1" spans="1:13" ht="10.199999999999999" customHeight="1" x14ac:dyDescent="0.25">
      <c r="A1" s="104" t="s">
        <v>0</v>
      </c>
      <c r="B1" s="109" t="s">
        <v>1</v>
      </c>
      <c r="C1" s="12"/>
      <c r="D1" s="13"/>
      <c r="E1" s="13"/>
      <c r="F1" s="11"/>
      <c r="G1" s="5"/>
      <c r="H1" s="5"/>
      <c r="I1" s="5"/>
      <c r="J1" s="112" t="s">
        <v>2</v>
      </c>
      <c r="K1" s="16"/>
      <c r="L1" s="5"/>
      <c r="M1" s="112" t="s">
        <v>3</v>
      </c>
    </row>
    <row r="2" spans="1:13" ht="22.2" customHeight="1" x14ac:dyDescent="0.25">
      <c r="A2" s="108"/>
      <c r="B2" s="110"/>
      <c r="C2" s="102" t="s">
        <v>4</v>
      </c>
      <c r="D2" s="104" t="s">
        <v>5</v>
      </c>
      <c r="E2" s="102" t="s">
        <v>6</v>
      </c>
      <c r="F2" s="102" t="s">
        <v>7</v>
      </c>
      <c r="G2" s="102" t="s">
        <v>8</v>
      </c>
      <c r="H2" s="102" t="s">
        <v>9</v>
      </c>
      <c r="I2" s="104" t="s">
        <v>10</v>
      </c>
      <c r="J2" s="113"/>
      <c r="K2" s="119" t="s">
        <v>95</v>
      </c>
      <c r="L2" s="120"/>
      <c r="M2" s="113"/>
    </row>
    <row r="3" spans="1:13" ht="34.799999999999997" customHeight="1" x14ac:dyDescent="0.25">
      <c r="A3" s="105"/>
      <c r="B3" s="111"/>
      <c r="C3" s="103"/>
      <c r="D3" s="105"/>
      <c r="E3" s="103"/>
      <c r="F3" s="103" t="s">
        <v>7</v>
      </c>
      <c r="G3" s="103"/>
      <c r="H3" s="103" t="s">
        <v>7</v>
      </c>
      <c r="I3" s="105"/>
      <c r="J3" s="114"/>
      <c r="K3" s="19" t="s">
        <v>94</v>
      </c>
      <c r="L3" s="19" t="s">
        <v>13</v>
      </c>
      <c r="M3" s="114"/>
    </row>
    <row r="4" spans="1:13" ht="10.199999999999999" customHeight="1" x14ac:dyDescent="0.25">
      <c r="A4" s="6">
        <v>1</v>
      </c>
      <c r="B4" s="9" t="s">
        <v>14</v>
      </c>
      <c r="C4" s="23"/>
      <c r="D4" s="24"/>
      <c r="E4" s="25">
        <v>868020</v>
      </c>
      <c r="F4" s="25">
        <v>885615</v>
      </c>
      <c r="G4" s="25">
        <v>903210</v>
      </c>
      <c r="H4" s="25">
        <v>914940</v>
      </c>
      <c r="I4" s="24"/>
      <c r="J4" s="26">
        <v>892946.25</v>
      </c>
      <c r="K4" s="35">
        <v>906729</v>
      </c>
      <c r="L4" s="35">
        <v>1081506</v>
      </c>
      <c r="M4" s="35">
        <v>994117.5</v>
      </c>
    </row>
    <row r="5" spans="1:13" ht="10.199999999999999" customHeight="1" x14ac:dyDescent="0.25">
      <c r="A5" s="6">
        <f>A4+1</f>
        <v>2</v>
      </c>
      <c r="B5" s="9" t="s">
        <v>15</v>
      </c>
      <c r="C5" s="23"/>
      <c r="D5" s="24"/>
      <c r="E5" s="25">
        <v>856290</v>
      </c>
      <c r="F5" s="25">
        <v>885615</v>
      </c>
      <c r="G5" s="25">
        <v>891480</v>
      </c>
      <c r="H5" s="25">
        <v>903210</v>
      </c>
      <c r="I5" s="24"/>
      <c r="J5" s="26">
        <v>884148.75</v>
      </c>
      <c r="K5" s="24"/>
      <c r="L5" s="24"/>
      <c r="M5" s="26"/>
    </row>
    <row r="6" spans="1:13" ht="10.199999999999999" customHeight="1" x14ac:dyDescent="0.25">
      <c r="A6" s="6">
        <f t="shared" ref="A6:A69" si="0">A5+1</f>
        <v>3</v>
      </c>
      <c r="B6" s="2" t="s">
        <v>16</v>
      </c>
      <c r="C6" s="29"/>
      <c r="D6" s="24"/>
      <c r="E6" s="25">
        <v>750720</v>
      </c>
      <c r="F6" s="25"/>
      <c r="G6" s="30">
        <v>774180</v>
      </c>
      <c r="H6" s="25"/>
      <c r="I6" s="24"/>
      <c r="J6" s="26">
        <v>762450</v>
      </c>
      <c r="K6" s="34">
        <v>821100</v>
      </c>
      <c r="L6" s="34">
        <v>882096</v>
      </c>
      <c r="M6" s="76">
        <v>851598</v>
      </c>
    </row>
    <row r="7" spans="1:13" ht="10.199999999999999" customHeight="1" x14ac:dyDescent="0.25">
      <c r="A7" s="6">
        <f t="shared" si="0"/>
        <v>4</v>
      </c>
      <c r="B7" s="2" t="s">
        <v>17</v>
      </c>
      <c r="C7" s="29"/>
      <c r="D7" s="24"/>
      <c r="E7" s="25">
        <v>727260</v>
      </c>
      <c r="F7" s="25">
        <v>738990</v>
      </c>
      <c r="G7" s="25">
        <v>715530</v>
      </c>
      <c r="H7" s="32"/>
      <c r="I7" s="24"/>
      <c r="J7" s="26">
        <v>727260</v>
      </c>
      <c r="K7" s="35">
        <v>762450</v>
      </c>
      <c r="L7" s="35">
        <v>848079</v>
      </c>
      <c r="M7" s="76">
        <v>805264.5</v>
      </c>
    </row>
    <row r="8" spans="1:13" ht="10.199999999999999" customHeight="1" x14ac:dyDescent="0.25">
      <c r="A8" s="6"/>
      <c r="B8" s="2" t="s">
        <v>18</v>
      </c>
      <c r="C8" s="29"/>
      <c r="D8" s="24"/>
      <c r="E8" s="25">
        <v>607614</v>
      </c>
      <c r="F8" s="25">
        <v>619930.5</v>
      </c>
      <c r="G8" s="25">
        <v>632247</v>
      </c>
      <c r="H8" s="25">
        <v>640458</v>
      </c>
      <c r="I8" s="24"/>
      <c r="J8" s="26">
        <v>625068.24</v>
      </c>
      <c r="K8" s="24"/>
      <c r="L8" s="24"/>
      <c r="M8" s="42"/>
    </row>
    <row r="9" spans="1:13" ht="10.199999999999999" customHeight="1" x14ac:dyDescent="0.25">
      <c r="A9" s="6">
        <f>A7+1</f>
        <v>5</v>
      </c>
      <c r="B9" s="2" t="s">
        <v>19</v>
      </c>
      <c r="C9" s="29"/>
      <c r="D9" s="24"/>
      <c r="E9" s="25">
        <v>521480.61</v>
      </c>
      <c r="F9" s="25">
        <v>539339.54</v>
      </c>
      <c r="G9" s="25">
        <v>542911.31999999995</v>
      </c>
      <c r="H9" s="25">
        <v>550054.89</v>
      </c>
      <c r="I9" s="24"/>
      <c r="J9" s="26">
        <v>538453.92000000004</v>
      </c>
      <c r="K9" s="79">
        <v>480930</v>
      </c>
      <c r="L9" s="79">
        <v>507909</v>
      </c>
      <c r="M9" s="80">
        <v>494419.5</v>
      </c>
    </row>
    <row r="10" spans="1:13" ht="10.199999999999999" customHeight="1" x14ac:dyDescent="0.25">
      <c r="A10" s="6">
        <f t="shared" si="0"/>
        <v>6</v>
      </c>
      <c r="B10" s="14" t="s">
        <v>20</v>
      </c>
      <c r="C10" s="29"/>
      <c r="D10" s="24"/>
      <c r="E10" s="30">
        <v>633420</v>
      </c>
      <c r="F10" s="25">
        <v>375360</v>
      </c>
      <c r="G10" s="25"/>
      <c r="H10" s="25"/>
      <c r="I10" s="24"/>
      <c r="J10" s="26">
        <v>504390</v>
      </c>
      <c r="K10" s="24"/>
      <c r="L10" s="24"/>
      <c r="M10" s="26"/>
    </row>
    <row r="11" spans="1:13" ht="10.199999999999999" customHeight="1" x14ac:dyDescent="0.25">
      <c r="A11" s="6">
        <f t="shared" si="0"/>
        <v>7</v>
      </c>
      <c r="B11" s="2" t="s">
        <v>21</v>
      </c>
      <c r="C11" s="29"/>
      <c r="D11" s="24"/>
      <c r="E11" s="25">
        <v>342516</v>
      </c>
      <c r="F11" s="25">
        <v>354246</v>
      </c>
      <c r="G11" s="25">
        <v>356592</v>
      </c>
      <c r="H11" s="25">
        <v>361284</v>
      </c>
      <c r="I11" s="24"/>
      <c r="J11" s="26">
        <v>353659.5</v>
      </c>
      <c r="K11" s="41">
        <v>315537</v>
      </c>
      <c r="L11" s="41">
        <v>316710</v>
      </c>
      <c r="M11" s="26"/>
    </row>
    <row r="12" spans="1:13" ht="10.199999999999999" customHeight="1" x14ac:dyDescent="0.25">
      <c r="A12" s="6">
        <f t="shared" si="0"/>
        <v>8</v>
      </c>
      <c r="B12" s="2" t="s">
        <v>22</v>
      </c>
      <c r="C12" s="29"/>
      <c r="D12" s="24"/>
      <c r="E12" s="25">
        <v>536647.5</v>
      </c>
      <c r="F12" s="25">
        <v>590312.25</v>
      </c>
      <c r="G12" s="25">
        <v>751306.5</v>
      </c>
      <c r="H12" s="25">
        <v>751306.5</v>
      </c>
      <c r="I12" s="24"/>
      <c r="J12" s="26">
        <v>657396.12</v>
      </c>
      <c r="K12" s="34">
        <v>656880</v>
      </c>
      <c r="L12" s="34">
        <v>659226</v>
      </c>
      <c r="M12" s="26"/>
    </row>
    <row r="13" spans="1:13" ht="10.199999999999999" customHeight="1" x14ac:dyDescent="0.25">
      <c r="A13" s="6">
        <f t="shared" si="0"/>
        <v>9</v>
      </c>
      <c r="B13" s="2" t="s">
        <v>23</v>
      </c>
      <c r="C13" s="29"/>
      <c r="D13" s="24"/>
      <c r="E13" s="25">
        <v>314364</v>
      </c>
      <c r="F13" s="25">
        <v>432250.5</v>
      </c>
      <c r="G13" s="25">
        <v>550137</v>
      </c>
      <c r="H13" s="25">
        <v>392955</v>
      </c>
      <c r="I13" s="24"/>
      <c r="J13" s="26">
        <v>422432.49</v>
      </c>
      <c r="K13" s="35">
        <v>422280</v>
      </c>
      <c r="L13" s="35">
        <v>423453</v>
      </c>
      <c r="M13" s="26"/>
    </row>
    <row r="14" spans="1:13" ht="10.199999999999999" customHeight="1" x14ac:dyDescent="0.25">
      <c r="A14" s="6">
        <f t="shared" si="0"/>
        <v>10</v>
      </c>
      <c r="B14" s="2" t="s">
        <v>24</v>
      </c>
      <c r="C14" s="29"/>
      <c r="D14" s="24"/>
      <c r="E14" s="25">
        <v>140760</v>
      </c>
      <c r="F14" s="25">
        <v>153663</v>
      </c>
      <c r="G14" s="25">
        <v>140760</v>
      </c>
      <c r="H14" s="25">
        <v>167739</v>
      </c>
      <c r="I14" s="24"/>
      <c r="J14" s="26">
        <v>150730.5</v>
      </c>
      <c r="K14" s="35">
        <v>164220</v>
      </c>
      <c r="L14" s="35">
        <v>182988</v>
      </c>
      <c r="M14" s="76">
        <v>173604</v>
      </c>
    </row>
    <row r="15" spans="1:13" ht="10.199999999999999" customHeight="1" x14ac:dyDescent="0.25">
      <c r="A15" s="6">
        <f t="shared" si="0"/>
        <v>11</v>
      </c>
      <c r="B15" s="2" t="s">
        <v>25</v>
      </c>
      <c r="C15" s="36"/>
      <c r="D15" s="37"/>
      <c r="E15" s="38">
        <v>140760</v>
      </c>
      <c r="F15" s="25"/>
      <c r="G15" s="25">
        <v>187680</v>
      </c>
      <c r="H15" s="38"/>
      <c r="I15" s="24"/>
      <c r="J15" s="26">
        <v>164220</v>
      </c>
      <c r="K15" s="35">
        <v>158355</v>
      </c>
      <c r="L15" s="35">
        <v>266857.5</v>
      </c>
      <c r="M15" s="76">
        <v>212606.25</v>
      </c>
    </row>
    <row r="16" spans="1:13" s="15" customFormat="1" ht="10.199999999999999" customHeight="1" x14ac:dyDescent="0.25">
      <c r="A16" s="6">
        <f t="shared" si="0"/>
        <v>12</v>
      </c>
      <c r="B16" s="2" t="s">
        <v>26</v>
      </c>
      <c r="C16" s="36"/>
      <c r="D16" s="37"/>
      <c r="E16" s="38">
        <v>70380</v>
      </c>
      <c r="F16" s="25">
        <v>70380</v>
      </c>
      <c r="G16" s="25">
        <v>70380</v>
      </c>
      <c r="H16" s="38">
        <v>76245</v>
      </c>
      <c r="I16" s="24"/>
      <c r="J16" s="26">
        <v>71846.25</v>
      </c>
      <c r="K16" s="35">
        <v>87975</v>
      </c>
      <c r="L16" s="35">
        <v>99705</v>
      </c>
      <c r="M16" s="76">
        <v>93840</v>
      </c>
    </row>
    <row r="17" spans="1:13" ht="10.199999999999999" customHeight="1" x14ac:dyDescent="0.25">
      <c r="A17" s="6">
        <f t="shared" si="0"/>
        <v>13</v>
      </c>
      <c r="B17" s="2" t="s">
        <v>27</v>
      </c>
      <c r="C17" s="36"/>
      <c r="D17" s="37"/>
      <c r="E17" s="38"/>
      <c r="F17" s="25"/>
      <c r="G17" s="25"/>
      <c r="H17" s="38"/>
      <c r="I17" s="24"/>
      <c r="J17" s="26"/>
      <c r="K17" s="41">
        <v>51612</v>
      </c>
      <c r="L17" s="41">
        <v>51846.6</v>
      </c>
      <c r="M17" s="42">
        <v>51729.3</v>
      </c>
    </row>
    <row r="18" spans="1:13" ht="21.6" customHeight="1" x14ac:dyDescent="0.25">
      <c r="A18" s="6">
        <f t="shared" si="0"/>
        <v>14</v>
      </c>
      <c r="B18" s="2" t="s">
        <v>28</v>
      </c>
      <c r="C18" s="36"/>
      <c r="D18" s="37"/>
      <c r="E18" s="38">
        <v>140760</v>
      </c>
      <c r="F18" s="38">
        <v>153663</v>
      </c>
      <c r="G18" s="38">
        <v>140760</v>
      </c>
      <c r="H18" s="38">
        <v>167739</v>
      </c>
      <c r="I18" s="24"/>
      <c r="J18" s="26">
        <v>150730.5</v>
      </c>
      <c r="K18" s="35">
        <v>164220</v>
      </c>
      <c r="L18" s="95">
        <v>253368</v>
      </c>
      <c r="M18" s="80">
        <v>208794</v>
      </c>
    </row>
    <row r="19" spans="1:13" ht="12" customHeight="1" x14ac:dyDescent="0.25">
      <c r="A19" s="6"/>
      <c r="B19" s="2" t="s">
        <v>29</v>
      </c>
      <c r="C19" s="36"/>
      <c r="D19" s="37"/>
      <c r="E19" s="38">
        <v>211843.8</v>
      </c>
      <c r="F19" s="38">
        <v>221697</v>
      </c>
      <c r="G19" s="38">
        <v>216770.4</v>
      </c>
      <c r="H19" s="38">
        <v>229086.9</v>
      </c>
      <c r="I19" s="24"/>
      <c r="J19" s="26">
        <v>219855.39</v>
      </c>
      <c r="K19" s="43">
        <v>134895</v>
      </c>
      <c r="L19" s="43">
        <v>175950</v>
      </c>
      <c r="M19" s="26"/>
    </row>
    <row r="20" spans="1:13" ht="10.199999999999999" customHeight="1" x14ac:dyDescent="0.25">
      <c r="A20" s="6">
        <f>A18+1</f>
        <v>15</v>
      </c>
      <c r="B20" s="2" t="s">
        <v>30</v>
      </c>
      <c r="C20" s="36"/>
      <c r="D20" s="37"/>
      <c r="E20" s="38">
        <v>504390</v>
      </c>
      <c r="F20" s="25">
        <v>527850</v>
      </c>
      <c r="G20" s="25">
        <v>516120</v>
      </c>
      <c r="H20" s="38">
        <v>545445</v>
      </c>
      <c r="I20" s="24"/>
      <c r="J20" s="26">
        <v>523451.25</v>
      </c>
      <c r="K20" s="35">
        <v>551310</v>
      </c>
      <c r="L20" s="35">
        <v>636939</v>
      </c>
      <c r="M20" s="76">
        <v>594124.5</v>
      </c>
    </row>
    <row r="21" spans="1:13" ht="10.199999999999999" customHeight="1" x14ac:dyDescent="0.25">
      <c r="A21" s="6">
        <f t="shared" si="0"/>
        <v>16</v>
      </c>
      <c r="B21" s="2" t="s">
        <v>31</v>
      </c>
      <c r="C21" s="36"/>
      <c r="D21" s="37"/>
      <c r="E21" s="38">
        <v>457470</v>
      </c>
      <c r="F21" s="25">
        <v>457470</v>
      </c>
      <c r="G21" s="25">
        <v>422280</v>
      </c>
      <c r="H21" s="38">
        <v>480930</v>
      </c>
      <c r="I21" s="24"/>
      <c r="J21" s="26">
        <v>454537.5</v>
      </c>
      <c r="K21" s="35">
        <v>473892</v>
      </c>
      <c r="L21" s="35">
        <v>551310</v>
      </c>
      <c r="M21" s="76">
        <v>512601</v>
      </c>
    </row>
    <row r="22" spans="1:13" ht="10.199999999999999" customHeight="1" x14ac:dyDescent="0.25">
      <c r="A22" s="6">
        <f t="shared" si="0"/>
        <v>17</v>
      </c>
      <c r="B22" s="2" t="s">
        <v>32</v>
      </c>
      <c r="C22" s="36"/>
      <c r="D22" s="37"/>
      <c r="E22" s="38">
        <v>516120</v>
      </c>
      <c r="F22" s="38">
        <v>527850</v>
      </c>
      <c r="G22" s="38">
        <v>539580</v>
      </c>
      <c r="H22" s="38">
        <v>557175</v>
      </c>
      <c r="I22" s="24"/>
      <c r="J22" s="26">
        <v>535181.25</v>
      </c>
      <c r="K22" s="81">
        <v>491487</v>
      </c>
      <c r="L22" s="81">
        <v>498525</v>
      </c>
      <c r="M22" s="82">
        <v>495006</v>
      </c>
    </row>
    <row r="23" spans="1:13" ht="10.199999999999999" customHeight="1" x14ac:dyDescent="0.25">
      <c r="A23" s="6">
        <f t="shared" si="0"/>
        <v>18</v>
      </c>
      <c r="B23" s="2" t="s">
        <v>33</v>
      </c>
      <c r="C23" s="36"/>
      <c r="D23" s="37"/>
      <c r="E23" s="38">
        <v>469200</v>
      </c>
      <c r="F23" s="38">
        <v>457470</v>
      </c>
      <c r="G23" s="38">
        <v>434010</v>
      </c>
      <c r="H23" s="38">
        <v>492660</v>
      </c>
      <c r="I23" s="24"/>
      <c r="J23" s="26">
        <v>463335</v>
      </c>
      <c r="K23" s="46">
        <v>383571</v>
      </c>
      <c r="L23" s="46">
        <v>521398.5</v>
      </c>
      <c r="M23" s="26"/>
    </row>
    <row r="24" spans="1:13" ht="10.199999999999999" customHeight="1" x14ac:dyDescent="0.25">
      <c r="A24" s="6">
        <f t="shared" si="0"/>
        <v>19</v>
      </c>
      <c r="B24" s="1" t="s">
        <v>34</v>
      </c>
      <c r="C24" s="47"/>
      <c r="D24" s="37"/>
      <c r="E24" s="38">
        <v>516120</v>
      </c>
      <c r="F24" s="25">
        <v>527850</v>
      </c>
      <c r="G24" s="25">
        <v>527850</v>
      </c>
      <c r="H24" s="38">
        <v>533715</v>
      </c>
      <c r="I24" s="24"/>
      <c r="J24" s="26">
        <v>526383.75</v>
      </c>
      <c r="K24" s="35">
        <v>551310</v>
      </c>
      <c r="L24" s="35">
        <v>554829</v>
      </c>
      <c r="M24" s="76">
        <v>553069.5</v>
      </c>
    </row>
    <row r="25" spans="1:13" ht="10.199999999999999" customHeight="1" x14ac:dyDescent="0.25">
      <c r="A25" s="6">
        <f t="shared" si="0"/>
        <v>20</v>
      </c>
      <c r="B25" s="2" t="s">
        <v>35</v>
      </c>
      <c r="C25" s="36"/>
      <c r="D25" s="37"/>
      <c r="E25" s="38">
        <v>609960</v>
      </c>
      <c r="F25" s="25">
        <v>609960</v>
      </c>
      <c r="G25" s="25">
        <v>633420</v>
      </c>
      <c r="H25" s="38">
        <v>609960</v>
      </c>
      <c r="I25" s="24"/>
      <c r="J25" s="26">
        <v>615825</v>
      </c>
      <c r="K25" s="81">
        <v>570078</v>
      </c>
      <c r="L25" s="81">
        <v>627555</v>
      </c>
      <c r="M25" s="82">
        <v>598816.5</v>
      </c>
    </row>
    <row r="26" spans="1:13" ht="10.8" customHeight="1" x14ac:dyDescent="0.25">
      <c r="A26" s="6">
        <f t="shared" si="0"/>
        <v>21</v>
      </c>
      <c r="B26" s="2" t="s">
        <v>36</v>
      </c>
      <c r="C26" s="36"/>
      <c r="D26" s="37"/>
      <c r="E26" s="38">
        <v>609960</v>
      </c>
      <c r="F26" s="25">
        <v>621690</v>
      </c>
      <c r="G26" s="25">
        <v>668610</v>
      </c>
      <c r="H26" s="38"/>
      <c r="I26" s="24"/>
      <c r="J26" s="26">
        <v>633420</v>
      </c>
      <c r="K26" s="35">
        <v>699108</v>
      </c>
      <c r="L26" s="35">
        <v>781218</v>
      </c>
      <c r="M26" s="76">
        <v>740163</v>
      </c>
    </row>
    <row r="27" spans="1:13" ht="10.199999999999999" customHeight="1" x14ac:dyDescent="0.25">
      <c r="A27" s="6">
        <f t="shared" si="0"/>
        <v>22</v>
      </c>
      <c r="B27" s="2" t="s">
        <v>37</v>
      </c>
      <c r="C27" s="36"/>
      <c r="D27" s="37"/>
      <c r="E27" s="38">
        <v>551310</v>
      </c>
      <c r="F27" s="25">
        <v>539580</v>
      </c>
      <c r="G27" s="25">
        <v>480930</v>
      </c>
      <c r="H27" s="38"/>
      <c r="I27" s="24"/>
      <c r="J27" s="26">
        <v>523943.91</v>
      </c>
      <c r="K27" s="35">
        <v>633420</v>
      </c>
      <c r="L27" s="35">
        <v>789429</v>
      </c>
      <c r="M27" s="76">
        <v>711424.5</v>
      </c>
    </row>
    <row r="28" spans="1:13" ht="10.199999999999999" customHeight="1" x14ac:dyDescent="0.25">
      <c r="A28" s="6">
        <f t="shared" si="0"/>
        <v>23</v>
      </c>
      <c r="B28" s="2" t="s">
        <v>38</v>
      </c>
      <c r="C28" s="36"/>
      <c r="D28" s="37"/>
      <c r="E28" s="38">
        <v>2263890</v>
      </c>
      <c r="F28" s="25">
        <v>1665660</v>
      </c>
      <c r="G28" s="25">
        <v>2170050</v>
      </c>
      <c r="H28" s="38">
        <v>1994100</v>
      </c>
      <c r="I28" s="24"/>
      <c r="J28" s="26">
        <v>2023425</v>
      </c>
      <c r="K28" s="35">
        <v>1999965</v>
      </c>
      <c r="L28" s="35">
        <v>2527815</v>
      </c>
      <c r="M28" s="76">
        <v>2263890</v>
      </c>
    </row>
    <row r="29" spans="1:13" ht="10.199999999999999" customHeight="1" x14ac:dyDescent="0.25">
      <c r="A29" s="6">
        <f t="shared" si="0"/>
        <v>24</v>
      </c>
      <c r="B29" s="2" t="s">
        <v>39</v>
      </c>
      <c r="C29" s="36"/>
      <c r="D29" s="37"/>
      <c r="E29" s="38">
        <v>2205240</v>
      </c>
      <c r="F29" s="25">
        <v>1665660</v>
      </c>
      <c r="G29" s="25">
        <v>2111400</v>
      </c>
      <c r="H29" s="38">
        <v>1935450</v>
      </c>
      <c r="I29" s="24"/>
      <c r="J29" s="26">
        <v>1979437.5</v>
      </c>
      <c r="K29" s="35">
        <v>1958910</v>
      </c>
      <c r="L29" s="35">
        <v>2370633</v>
      </c>
      <c r="M29" s="76">
        <v>2164771.5</v>
      </c>
    </row>
    <row r="30" spans="1:13" ht="10.199999999999999" customHeight="1" x14ac:dyDescent="0.25">
      <c r="A30" s="6">
        <f t="shared" si="0"/>
        <v>25</v>
      </c>
      <c r="B30" s="2" t="s">
        <v>40</v>
      </c>
      <c r="C30" s="36"/>
      <c r="D30" s="37"/>
      <c r="E30" s="38">
        <v>2580600</v>
      </c>
      <c r="F30" s="25">
        <v>1935450</v>
      </c>
      <c r="G30" s="25">
        <v>2346000</v>
      </c>
      <c r="H30" s="38"/>
      <c r="I30" s="24"/>
      <c r="J30" s="26">
        <v>2287350</v>
      </c>
      <c r="K30" s="83">
        <v>913767</v>
      </c>
      <c r="L30" s="41">
        <v>2272492</v>
      </c>
      <c r="M30" s="26">
        <v>2270146</v>
      </c>
    </row>
    <row r="31" spans="1:13" ht="10.199999999999999" customHeight="1" x14ac:dyDescent="0.25">
      <c r="A31" s="6">
        <f t="shared" si="0"/>
        <v>26</v>
      </c>
      <c r="B31" s="2" t="s">
        <v>41</v>
      </c>
      <c r="C31" s="36"/>
      <c r="D31" s="37"/>
      <c r="E31" s="38">
        <v>1935450</v>
      </c>
      <c r="F31" s="38">
        <v>1451587.5</v>
      </c>
      <c r="G31" s="38">
        <v>1759500</v>
      </c>
      <c r="H31" s="38"/>
      <c r="I31" s="24"/>
      <c r="J31" s="26">
        <v>1715512.5</v>
      </c>
      <c r="K31" s="35">
        <v>1700850</v>
      </c>
      <c r="L31" s="35">
        <v>1704369</v>
      </c>
      <c r="M31" s="76">
        <v>1702609.5</v>
      </c>
    </row>
    <row r="32" spans="1:13" ht="10.199999999999999" customHeight="1" x14ac:dyDescent="0.25">
      <c r="A32" s="6">
        <f t="shared" si="0"/>
        <v>27</v>
      </c>
      <c r="B32" s="2" t="s">
        <v>42</v>
      </c>
      <c r="C32" s="36"/>
      <c r="D32" s="37"/>
      <c r="E32" s="38">
        <v>469200</v>
      </c>
      <c r="F32" s="25">
        <v>351900</v>
      </c>
      <c r="G32" s="25">
        <v>410550</v>
      </c>
      <c r="H32" s="38"/>
      <c r="I32" s="24"/>
      <c r="J32" s="26">
        <v>410550</v>
      </c>
      <c r="K32" s="50">
        <v>297942</v>
      </c>
      <c r="L32" s="50">
        <v>916113</v>
      </c>
      <c r="M32" s="26"/>
    </row>
    <row r="33" spans="1:13" ht="10.199999999999999" customHeight="1" x14ac:dyDescent="0.25">
      <c r="A33" s="6">
        <f t="shared" si="0"/>
        <v>28</v>
      </c>
      <c r="B33" s="2" t="s">
        <v>43</v>
      </c>
      <c r="C33" s="36"/>
      <c r="D33" s="37"/>
      <c r="E33" s="25">
        <v>351900</v>
      </c>
      <c r="F33" s="25">
        <v>263925</v>
      </c>
      <c r="G33" s="25">
        <v>307912.5</v>
      </c>
      <c r="H33" s="38"/>
      <c r="I33" s="24"/>
      <c r="J33" s="26">
        <v>307912.5</v>
      </c>
      <c r="K33" s="84">
        <v>263925</v>
      </c>
      <c r="L33" s="84">
        <v>272136</v>
      </c>
      <c r="M33" s="26"/>
    </row>
    <row r="34" spans="1:13" ht="10.199999999999999" customHeight="1" x14ac:dyDescent="0.25">
      <c r="A34" s="6">
        <f t="shared" si="0"/>
        <v>29</v>
      </c>
      <c r="B34" s="2" t="s">
        <v>44</v>
      </c>
      <c r="C34" s="36"/>
      <c r="D34" s="37"/>
      <c r="E34" s="38">
        <v>83869.5</v>
      </c>
      <c r="F34" s="25">
        <v>72256.800000000003</v>
      </c>
      <c r="G34" s="25">
        <v>78825.600000000006</v>
      </c>
      <c r="H34" s="38"/>
      <c r="I34" s="24"/>
      <c r="J34" s="26">
        <v>78321.210000000006</v>
      </c>
      <c r="K34" s="35">
        <v>79764</v>
      </c>
      <c r="L34" s="35">
        <v>94426.5</v>
      </c>
      <c r="M34" s="51">
        <v>87095.25</v>
      </c>
    </row>
    <row r="35" spans="1:13" ht="10.199999999999999" customHeight="1" x14ac:dyDescent="0.25">
      <c r="A35" s="6">
        <f t="shared" si="0"/>
        <v>30</v>
      </c>
      <c r="B35" s="2" t="s">
        <v>45</v>
      </c>
      <c r="C35" s="36"/>
      <c r="D35" s="37"/>
      <c r="E35" s="38">
        <v>187680</v>
      </c>
      <c r="F35" s="25">
        <v>175950</v>
      </c>
      <c r="G35" s="25"/>
      <c r="H35" s="38"/>
      <c r="I35" s="24"/>
      <c r="J35" s="26">
        <v>181815</v>
      </c>
      <c r="K35" s="24"/>
      <c r="L35" s="24"/>
      <c r="M35" s="26">
        <v>181815</v>
      </c>
    </row>
    <row r="36" spans="1:13" ht="10.199999999999999" customHeight="1" x14ac:dyDescent="0.25">
      <c r="A36" s="6">
        <f t="shared" si="0"/>
        <v>31</v>
      </c>
      <c r="B36" s="2" t="s">
        <v>46</v>
      </c>
      <c r="C36" s="36"/>
      <c r="D36" s="37"/>
      <c r="E36" s="38">
        <v>304980</v>
      </c>
      <c r="F36" s="25"/>
      <c r="G36" s="25">
        <v>316710</v>
      </c>
      <c r="H36" s="38"/>
      <c r="I36" s="24"/>
      <c r="J36" s="26">
        <v>310845</v>
      </c>
      <c r="K36" s="85">
        <v>158355</v>
      </c>
      <c r="L36" s="37"/>
      <c r="M36" s="26">
        <v>310845</v>
      </c>
    </row>
    <row r="37" spans="1:13" ht="10.199999999999999" customHeight="1" x14ac:dyDescent="0.25">
      <c r="A37" s="6">
        <f t="shared" si="0"/>
        <v>32</v>
      </c>
      <c r="B37" s="2" t="s">
        <v>47</v>
      </c>
      <c r="C37" s="36"/>
      <c r="D37" s="37"/>
      <c r="E37" s="38">
        <v>469200</v>
      </c>
      <c r="F37" s="25"/>
      <c r="G37" s="25">
        <v>527850</v>
      </c>
      <c r="H37" s="38"/>
      <c r="I37" s="24"/>
      <c r="J37" s="26">
        <v>498525</v>
      </c>
      <c r="K37" s="24"/>
      <c r="L37" s="24"/>
      <c r="M37" s="26">
        <v>498525</v>
      </c>
    </row>
    <row r="38" spans="1:13" ht="10.199999999999999" customHeight="1" x14ac:dyDescent="0.25">
      <c r="A38" s="6">
        <f t="shared" si="0"/>
        <v>33</v>
      </c>
      <c r="B38" s="2" t="s">
        <v>48</v>
      </c>
      <c r="C38" s="36"/>
      <c r="D38" s="37"/>
      <c r="E38" s="38"/>
      <c r="F38" s="25"/>
      <c r="G38" s="25"/>
      <c r="H38" s="38"/>
      <c r="I38" s="24"/>
      <c r="J38" s="52">
        <v>46920</v>
      </c>
      <c r="K38" s="53">
        <v>46920</v>
      </c>
      <c r="L38" s="53">
        <v>48093</v>
      </c>
      <c r="M38" s="52">
        <v>46920</v>
      </c>
    </row>
    <row r="39" spans="1:13" ht="26.4" x14ac:dyDescent="0.25">
      <c r="A39" s="6">
        <f t="shared" si="0"/>
        <v>34</v>
      </c>
      <c r="B39" s="2" t="s">
        <v>49</v>
      </c>
      <c r="C39" s="36"/>
      <c r="D39" s="37"/>
      <c r="E39" s="38">
        <v>56773.2</v>
      </c>
      <c r="F39" s="38">
        <v>50908.2</v>
      </c>
      <c r="G39" s="38"/>
      <c r="H39" s="38"/>
      <c r="I39" s="24"/>
      <c r="J39" s="54">
        <v>53840.7</v>
      </c>
      <c r="K39" s="50">
        <v>72726</v>
      </c>
      <c r="L39" s="50">
        <v>73077.899999999994</v>
      </c>
      <c r="M39" s="54">
        <v>53840.7</v>
      </c>
    </row>
    <row r="40" spans="1:13" ht="20.399999999999999" customHeight="1" x14ac:dyDescent="0.25">
      <c r="A40" s="6"/>
      <c r="B40" s="2" t="s">
        <v>50</v>
      </c>
      <c r="C40" s="36"/>
      <c r="D40" s="37"/>
      <c r="E40" s="38"/>
      <c r="F40" s="38"/>
      <c r="G40" s="38"/>
      <c r="H40" s="38"/>
      <c r="I40" s="24"/>
      <c r="J40" s="26"/>
      <c r="K40" s="37"/>
      <c r="L40" s="41">
        <v>49500.6</v>
      </c>
      <c r="M40" s="41">
        <v>49500.6</v>
      </c>
    </row>
    <row r="41" spans="1:13" ht="30.6" customHeight="1" x14ac:dyDescent="0.25">
      <c r="A41" s="6">
        <f>A39+1</f>
        <v>35</v>
      </c>
      <c r="B41" s="2" t="s">
        <v>51</v>
      </c>
      <c r="C41" s="36"/>
      <c r="D41" s="37"/>
      <c r="E41" s="38">
        <v>68503.199999999997</v>
      </c>
      <c r="F41" s="38"/>
      <c r="G41" s="38"/>
      <c r="H41" s="38"/>
      <c r="I41" s="37"/>
      <c r="J41" s="54">
        <v>68503.199999999997</v>
      </c>
      <c r="K41" s="24"/>
      <c r="L41" s="24"/>
      <c r="M41" s="54">
        <v>68503.199999999997</v>
      </c>
    </row>
    <row r="42" spans="1:13" ht="30.6" customHeight="1" x14ac:dyDescent="0.25">
      <c r="A42" s="6">
        <f t="shared" si="0"/>
        <v>36</v>
      </c>
      <c r="B42" s="2" t="s">
        <v>52</v>
      </c>
      <c r="C42" s="36"/>
      <c r="D42" s="37" t="s">
        <v>99</v>
      </c>
      <c r="E42" s="38">
        <v>54779.1</v>
      </c>
      <c r="F42" s="38">
        <v>42110.7</v>
      </c>
      <c r="G42" s="38"/>
      <c r="H42" s="38">
        <v>39178.199999999997</v>
      </c>
      <c r="I42" s="37"/>
      <c r="J42" s="54">
        <v>45359.91</v>
      </c>
      <c r="K42" s="24"/>
      <c r="L42" s="24"/>
      <c r="M42" s="54">
        <v>48444.9</v>
      </c>
    </row>
    <row r="43" spans="1:13" ht="9.6" customHeight="1" x14ac:dyDescent="0.25">
      <c r="A43" s="6">
        <f t="shared" si="0"/>
        <v>37</v>
      </c>
      <c r="B43" s="3" t="s">
        <v>53</v>
      </c>
      <c r="C43" s="29"/>
      <c r="D43" s="37"/>
      <c r="E43" s="38"/>
      <c r="F43" s="38">
        <v>43401</v>
      </c>
      <c r="G43" s="38"/>
      <c r="H43" s="38"/>
      <c r="I43" s="37"/>
      <c r="J43" s="37"/>
      <c r="K43" s="34">
        <v>109323.6</v>
      </c>
      <c r="L43" s="87">
        <v>117886.5</v>
      </c>
      <c r="M43" s="87">
        <v>113605.05</v>
      </c>
    </row>
    <row r="44" spans="1:13" ht="9.6" customHeight="1" x14ac:dyDescent="0.25">
      <c r="A44" s="6">
        <f t="shared" si="0"/>
        <v>38</v>
      </c>
      <c r="B44" s="3" t="s">
        <v>54</v>
      </c>
      <c r="C44" s="29"/>
      <c r="D44" s="37"/>
      <c r="E44" s="38"/>
      <c r="F44" s="38">
        <v>43401</v>
      </c>
      <c r="G44" s="38"/>
      <c r="H44" s="38"/>
      <c r="I44" s="37"/>
      <c r="J44" s="37"/>
      <c r="K44" s="34">
        <v>82110</v>
      </c>
      <c r="L44" s="34">
        <v>82696.5</v>
      </c>
      <c r="M44" s="34">
        <v>82403.25</v>
      </c>
    </row>
    <row r="45" spans="1:13" ht="10.199999999999999" hidden="1" customHeight="1" x14ac:dyDescent="0.25">
      <c r="A45" s="6"/>
      <c r="B45" s="3" t="s">
        <v>55</v>
      </c>
      <c r="C45" s="29"/>
      <c r="D45" s="37"/>
      <c r="E45" s="38"/>
      <c r="F45" s="38"/>
      <c r="G45" s="38"/>
      <c r="H45" s="38"/>
      <c r="I45" s="56">
        <v>32844</v>
      </c>
      <c r="J45" s="37"/>
      <c r="K45" s="37"/>
      <c r="L45" s="37"/>
      <c r="M45" s="57" t="s">
        <v>100</v>
      </c>
    </row>
    <row r="46" spans="1:13" ht="10.199999999999999" hidden="1" customHeight="1" x14ac:dyDescent="0.25">
      <c r="A46" s="6"/>
      <c r="B46" s="3" t="s">
        <v>56</v>
      </c>
      <c r="C46" s="29"/>
      <c r="D46" s="37"/>
      <c r="E46" s="38"/>
      <c r="F46" s="38"/>
      <c r="G46" s="38"/>
      <c r="H46" s="38"/>
      <c r="I46" s="56">
        <v>11730</v>
      </c>
      <c r="J46" s="37"/>
      <c r="K46" s="37"/>
      <c r="L46" s="37"/>
      <c r="M46" s="57" t="s">
        <v>100</v>
      </c>
    </row>
    <row r="47" spans="1:13" ht="10.199999999999999" hidden="1" customHeight="1" x14ac:dyDescent="0.25">
      <c r="A47" s="6"/>
      <c r="B47" s="3" t="s">
        <v>57</v>
      </c>
      <c r="C47" s="29"/>
      <c r="D47" s="37"/>
      <c r="E47" s="38"/>
      <c r="F47" s="38"/>
      <c r="G47" s="38">
        <v>46920</v>
      </c>
      <c r="H47" s="38"/>
      <c r="I47" s="56">
        <v>23460</v>
      </c>
      <c r="J47" s="37"/>
      <c r="K47" s="37"/>
      <c r="L47" s="37"/>
      <c r="M47" s="57" t="s">
        <v>100</v>
      </c>
    </row>
    <row r="48" spans="1:13" ht="10.199999999999999" hidden="1" customHeight="1" x14ac:dyDescent="0.25">
      <c r="A48" s="6"/>
      <c r="B48" s="3" t="s">
        <v>58</v>
      </c>
      <c r="C48" s="29"/>
      <c r="D48" s="37"/>
      <c r="E48" s="38"/>
      <c r="F48" s="38"/>
      <c r="G48" s="38">
        <v>17595</v>
      </c>
      <c r="H48" s="38"/>
      <c r="I48" s="56">
        <v>11730</v>
      </c>
      <c r="J48" s="37"/>
      <c r="K48" s="37"/>
      <c r="L48" s="37"/>
      <c r="M48" s="57" t="s">
        <v>100</v>
      </c>
    </row>
    <row r="49" spans="1:18" ht="10.199999999999999" customHeight="1" x14ac:dyDescent="0.25">
      <c r="A49" s="6">
        <v>39</v>
      </c>
      <c r="B49" s="3" t="s">
        <v>59</v>
      </c>
      <c r="C49" s="29"/>
      <c r="D49" s="37"/>
      <c r="E49" s="38"/>
      <c r="F49" s="58">
        <v>23460</v>
      </c>
      <c r="G49" s="38"/>
      <c r="H49" s="58"/>
      <c r="I49" s="37"/>
      <c r="J49" s="37"/>
      <c r="K49" s="59">
        <v>35893.800000000003</v>
      </c>
      <c r="L49" s="59">
        <v>84221.4</v>
      </c>
      <c r="M49" s="59">
        <v>60057.599999999999</v>
      </c>
    </row>
    <row r="50" spans="1:18" ht="19.2" customHeight="1" x14ac:dyDescent="0.25">
      <c r="A50" s="6">
        <f t="shared" si="0"/>
        <v>40</v>
      </c>
      <c r="B50" s="3" t="s">
        <v>60</v>
      </c>
      <c r="C50" s="29"/>
      <c r="D50" s="37"/>
      <c r="E50" s="38"/>
      <c r="F50" s="38"/>
      <c r="G50" s="38"/>
      <c r="H50" s="38"/>
      <c r="I50" s="56">
        <v>41055</v>
      </c>
      <c r="J50" s="26"/>
      <c r="K50" s="37"/>
      <c r="L50" s="37"/>
      <c r="M50" s="60">
        <v>41055</v>
      </c>
    </row>
    <row r="51" spans="1:18" ht="10.199999999999999" customHeight="1" x14ac:dyDescent="0.25">
      <c r="A51" s="6">
        <f t="shared" si="0"/>
        <v>41</v>
      </c>
      <c r="B51" s="7" t="s">
        <v>61</v>
      </c>
      <c r="C51" s="38">
        <v>22990.799999999999</v>
      </c>
      <c r="D51" s="61"/>
      <c r="E51" s="62"/>
      <c r="F51" s="38"/>
      <c r="G51" s="62"/>
      <c r="H51" s="38"/>
      <c r="I51" s="61"/>
      <c r="J51" s="26"/>
      <c r="K51" s="61"/>
      <c r="L51" s="61"/>
      <c r="M51" s="26">
        <v>22990.799999999999</v>
      </c>
    </row>
    <row r="52" spans="1:18" ht="10.199999999999999" customHeight="1" x14ac:dyDescent="0.25">
      <c r="A52" s="6">
        <f t="shared" si="0"/>
        <v>42</v>
      </c>
      <c r="B52" s="10" t="s">
        <v>62</v>
      </c>
      <c r="C52" s="38">
        <v>22990.799999999999</v>
      </c>
      <c r="D52" s="37"/>
      <c r="E52" s="38"/>
      <c r="F52" s="38"/>
      <c r="G52" s="38"/>
      <c r="H52" s="38"/>
      <c r="I52" s="37"/>
      <c r="J52" s="37"/>
      <c r="K52" s="34">
        <v>23811.9</v>
      </c>
      <c r="L52" s="34">
        <v>23870.55</v>
      </c>
      <c r="M52" s="34">
        <v>23847.09</v>
      </c>
    </row>
    <row r="53" spans="1:18" ht="10.199999999999999" customHeight="1" x14ac:dyDescent="0.25">
      <c r="A53" s="6">
        <f t="shared" si="0"/>
        <v>43</v>
      </c>
      <c r="B53" s="10" t="s">
        <v>63</v>
      </c>
      <c r="C53" s="38">
        <v>22990.799999999999</v>
      </c>
      <c r="D53" s="37"/>
      <c r="E53" s="38"/>
      <c r="F53" s="38"/>
      <c r="G53" s="38"/>
      <c r="H53" s="38"/>
      <c r="I53" s="37"/>
      <c r="J53" s="37"/>
      <c r="K53" s="34">
        <v>45395.1</v>
      </c>
      <c r="L53" s="34">
        <v>46920</v>
      </c>
      <c r="M53" s="34">
        <v>46157.55</v>
      </c>
    </row>
    <row r="54" spans="1:18" ht="10.199999999999999" customHeight="1" x14ac:dyDescent="0.25">
      <c r="A54" s="6">
        <f t="shared" si="0"/>
        <v>44</v>
      </c>
      <c r="B54" s="10" t="s">
        <v>64</v>
      </c>
      <c r="C54" s="38"/>
      <c r="D54" s="37">
        <v>37536</v>
      </c>
      <c r="E54" s="38"/>
      <c r="F54" s="38"/>
      <c r="G54" s="38"/>
      <c r="H54" s="38"/>
      <c r="I54" s="37"/>
      <c r="J54" s="52">
        <v>37536</v>
      </c>
      <c r="K54" s="37"/>
      <c r="L54" s="37"/>
      <c r="M54" s="52">
        <v>37536</v>
      </c>
    </row>
    <row r="55" spans="1:18" ht="10.199999999999999" customHeight="1" x14ac:dyDescent="0.25">
      <c r="A55" s="6">
        <f t="shared" si="0"/>
        <v>45</v>
      </c>
      <c r="B55" s="10" t="s">
        <v>65</v>
      </c>
      <c r="C55" s="38"/>
      <c r="D55" s="37"/>
      <c r="E55" s="38"/>
      <c r="F55" s="38"/>
      <c r="G55" s="38"/>
      <c r="H55" s="38"/>
      <c r="I55" s="37"/>
      <c r="J55" s="54"/>
      <c r="K55" s="37"/>
      <c r="L55" s="37"/>
      <c r="M55" s="54">
        <v>22949.75</v>
      </c>
    </row>
    <row r="56" spans="1:18" s="8" customFormat="1" ht="10.199999999999999" customHeight="1" x14ac:dyDescent="0.25">
      <c r="A56" s="6">
        <f t="shared" si="0"/>
        <v>46</v>
      </c>
      <c r="B56" s="7" t="s">
        <v>66</v>
      </c>
      <c r="C56" s="38">
        <v>24281.1</v>
      </c>
      <c r="D56" s="37">
        <v>31671</v>
      </c>
      <c r="E56" s="38"/>
      <c r="F56" s="38"/>
      <c r="G56" s="38"/>
      <c r="H56" s="38"/>
      <c r="I56" s="37"/>
      <c r="J56" s="26">
        <v>27976.05</v>
      </c>
      <c r="K56" s="37"/>
      <c r="L56" s="37"/>
      <c r="M56" s="26">
        <v>27976.05</v>
      </c>
      <c r="N56" s="4"/>
      <c r="O56" s="4"/>
      <c r="P56" s="4"/>
      <c r="Q56" s="4"/>
      <c r="R56" s="4"/>
    </row>
    <row r="57" spans="1:18" s="8" customFormat="1" ht="10.199999999999999" customHeight="1" x14ac:dyDescent="0.25">
      <c r="A57" s="6">
        <f t="shared" si="0"/>
        <v>47</v>
      </c>
      <c r="B57" s="7" t="s">
        <v>67</v>
      </c>
      <c r="C57" s="38"/>
      <c r="D57" s="37">
        <v>66861</v>
      </c>
      <c r="E57" s="38"/>
      <c r="F57" s="38"/>
      <c r="G57" s="38"/>
      <c r="H57" s="38"/>
      <c r="I57" s="37"/>
      <c r="J57" s="26">
        <v>66861</v>
      </c>
      <c r="K57" s="34">
        <v>36949.5</v>
      </c>
      <c r="L57" s="34">
        <v>37066.800000000003</v>
      </c>
      <c r="M57" s="34">
        <v>37066.800000000003</v>
      </c>
      <c r="N57" s="4"/>
      <c r="O57" s="4"/>
      <c r="P57" s="4"/>
      <c r="Q57" s="4"/>
      <c r="R57" s="4"/>
    </row>
    <row r="58" spans="1:18" ht="10.199999999999999" customHeight="1" x14ac:dyDescent="0.25">
      <c r="A58" s="6">
        <f t="shared" si="0"/>
        <v>48</v>
      </c>
      <c r="B58" s="7" t="s">
        <v>68</v>
      </c>
      <c r="C58" s="38">
        <v>23811.9</v>
      </c>
      <c r="D58" s="61"/>
      <c r="E58" s="62"/>
      <c r="F58" s="38"/>
      <c r="G58" s="62"/>
      <c r="H58" s="38"/>
      <c r="I58" s="61"/>
      <c r="J58" s="26">
        <v>23811.9</v>
      </c>
      <c r="K58" s="61"/>
      <c r="L58" s="61"/>
      <c r="M58" s="26">
        <v>23811.9</v>
      </c>
    </row>
    <row r="59" spans="1:18" x14ac:dyDescent="0.25">
      <c r="A59" s="6">
        <f t="shared" si="0"/>
        <v>49</v>
      </c>
      <c r="B59" s="7" t="s">
        <v>69</v>
      </c>
      <c r="C59" s="38"/>
      <c r="D59" s="61">
        <v>82110</v>
      </c>
      <c r="E59" s="62"/>
      <c r="F59" s="38"/>
      <c r="G59" s="62"/>
      <c r="H59" s="38"/>
      <c r="I59" s="61"/>
      <c r="J59" s="26">
        <v>82110</v>
      </c>
      <c r="K59" s="34">
        <v>46920</v>
      </c>
      <c r="L59" s="34">
        <v>47154.6</v>
      </c>
      <c r="M59" s="52">
        <v>82110</v>
      </c>
    </row>
    <row r="60" spans="1:18" ht="10.199999999999999" customHeight="1" x14ac:dyDescent="0.25">
      <c r="A60" s="6">
        <f t="shared" si="0"/>
        <v>50</v>
      </c>
      <c r="B60" s="7" t="s">
        <v>70</v>
      </c>
      <c r="C60" s="38">
        <v>24515.7</v>
      </c>
      <c r="D60" s="61">
        <v>29676.9</v>
      </c>
      <c r="E60" s="62"/>
      <c r="F60" s="38"/>
      <c r="G60" s="62"/>
      <c r="H60" s="38"/>
      <c r="I60" s="61"/>
      <c r="J60" s="26">
        <v>27096.3</v>
      </c>
      <c r="K60" s="61"/>
      <c r="L60" s="61"/>
      <c r="M60" s="26">
        <v>27096.3</v>
      </c>
    </row>
    <row r="61" spans="1:18" s="4" customFormat="1" x14ac:dyDescent="0.25">
      <c r="A61" s="6">
        <f t="shared" si="0"/>
        <v>51</v>
      </c>
      <c r="B61" s="7" t="s">
        <v>71</v>
      </c>
      <c r="C61" s="38"/>
      <c r="D61" s="61">
        <v>55717.5</v>
      </c>
      <c r="E61" s="62"/>
      <c r="F61" s="38"/>
      <c r="G61" s="62"/>
      <c r="H61" s="38"/>
      <c r="I61" s="61"/>
      <c r="J61" s="26">
        <v>55717.5</v>
      </c>
      <c r="K61" s="63">
        <v>26979</v>
      </c>
      <c r="L61" s="63">
        <v>44691.3</v>
      </c>
      <c r="M61" s="38">
        <v>55717.5</v>
      </c>
    </row>
    <row r="62" spans="1:18" s="4" customFormat="1" ht="10.199999999999999" customHeight="1" x14ac:dyDescent="0.25">
      <c r="A62" s="6">
        <f t="shared" si="0"/>
        <v>52</v>
      </c>
      <c r="B62" s="7" t="s">
        <v>72</v>
      </c>
      <c r="C62" s="38"/>
      <c r="D62" s="61"/>
      <c r="E62" s="62">
        <v>73899</v>
      </c>
      <c r="F62" s="38">
        <v>84456</v>
      </c>
      <c r="G62" s="62">
        <v>82110</v>
      </c>
      <c r="H62" s="62">
        <v>87975</v>
      </c>
      <c r="I62" s="61"/>
      <c r="J62" s="26">
        <v>82110</v>
      </c>
      <c r="K62" s="64">
        <v>104103.75</v>
      </c>
      <c r="L62" s="64">
        <v>117300</v>
      </c>
      <c r="M62" s="26">
        <v>80162.820000000007</v>
      </c>
    </row>
    <row r="63" spans="1:18" s="4" customFormat="1" ht="10.199999999999999" customHeight="1" x14ac:dyDescent="0.25">
      <c r="A63" s="6">
        <f t="shared" si="0"/>
        <v>53</v>
      </c>
      <c r="B63" s="7" t="s">
        <v>73</v>
      </c>
      <c r="C63" s="38"/>
      <c r="D63" s="61"/>
      <c r="E63" s="62">
        <v>51729.3</v>
      </c>
      <c r="F63" s="62">
        <v>59119.199999999997</v>
      </c>
      <c r="G63" s="62">
        <v>57477</v>
      </c>
      <c r="H63" s="62">
        <v>61582.5</v>
      </c>
      <c r="I63" s="61"/>
      <c r="J63" s="26">
        <v>57477</v>
      </c>
      <c r="K63" s="61"/>
      <c r="L63" s="61"/>
      <c r="M63" s="26">
        <v>56113.97</v>
      </c>
    </row>
    <row r="64" spans="1:18" s="4" customFormat="1" ht="13.2" customHeight="1" x14ac:dyDescent="0.25">
      <c r="A64" s="6">
        <f t="shared" si="0"/>
        <v>54</v>
      </c>
      <c r="B64" s="7" t="s">
        <v>74</v>
      </c>
      <c r="C64" s="38"/>
      <c r="D64" s="65">
        <v>34017</v>
      </c>
      <c r="E64" s="62"/>
      <c r="F64" s="38"/>
      <c r="G64" s="62"/>
      <c r="H64" s="38"/>
      <c r="I64" s="61"/>
      <c r="J64" s="26">
        <v>34017</v>
      </c>
      <c r="K64" s="86">
        <v>37536</v>
      </c>
      <c r="L64" s="87">
        <v>38943.599999999999</v>
      </c>
      <c r="M64" s="80">
        <v>38943.599999999999</v>
      </c>
    </row>
    <row r="65" spans="1:13" s="4" customFormat="1" ht="10.199999999999999" customHeight="1" x14ac:dyDescent="0.25">
      <c r="A65" s="6">
        <f t="shared" si="0"/>
        <v>55</v>
      </c>
      <c r="B65" s="7" t="s">
        <v>75</v>
      </c>
      <c r="C65" s="38"/>
      <c r="D65" s="66">
        <v>41055</v>
      </c>
      <c r="E65" s="62"/>
      <c r="F65" s="38"/>
      <c r="G65" s="62"/>
      <c r="H65" s="38"/>
      <c r="I65" s="61"/>
      <c r="J65" s="26">
        <v>41055</v>
      </c>
      <c r="K65" s="88">
        <v>41055</v>
      </c>
      <c r="L65" s="88">
        <v>41289.599999999999</v>
      </c>
      <c r="M65" s="89">
        <v>41055</v>
      </c>
    </row>
    <row r="66" spans="1:13" s="4" customFormat="1" x14ac:dyDescent="0.25">
      <c r="A66" s="6">
        <f t="shared" si="0"/>
        <v>56</v>
      </c>
      <c r="B66" s="7" t="s">
        <v>76</v>
      </c>
      <c r="C66" s="38"/>
      <c r="D66" s="61">
        <v>105570</v>
      </c>
      <c r="E66" s="62">
        <v>62169</v>
      </c>
      <c r="F66" s="62">
        <v>63928.5</v>
      </c>
      <c r="G66" s="38">
        <v>64515</v>
      </c>
      <c r="H66" s="38">
        <v>67447.5</v>
      </c>
      <c r="I66" s="61"/>
      <c r="J66" s="26">
        <v>64515</v>
      </c>
      <c r="K66" s="34">
        <v>88561.5</v>
      </c>
      <c r="L66" s="34">
        <v>89148</v>
      </c>
      <c r="M66" s="93">
        <v>89148</v>
      </c>
    </row>
    <row r="67" spans="1:13" s="4" customFormat="1" ht="10.199999999999999" customHeight="1" x14ac:dyDescent="0.25">
      <c r="A67" s="6">
        <f t="shared" si="0"/>
        <v>57</v>
      </c>
      <c r="B67" s="7" t="s">
        <v>77</v>
      </c>
      <c r="C67" s="38"/>
      <c r="D67" s="61">
        <v>103224</v>
      </c>
      <c r="E67" s="62">
        <v>59588.4</v>
      </c>
      <c r="F67" s="62">
        <v>61582.5</v>
      </c>
      <c r="G67" s="38">
        <v>62169</v>
      </c>
      <c r="H67" s="62">
        <v>65101.5</v>
      </c>
      <c r="I67" s="61"/>
      <c r="J67" s="26">
        <v>62110.35</v>
      </c>
      <c r="K67" s="92">
        <v>72960.600000000006</v>
      </c>
      <c r="L67" s="92">
        <v>92197.8</v>
      </c>
      <c r="M67" s="93">
        <v>82579.199999999997</v>
      </c>
    </row>
    <row r="68" spans="1:13" s="4" customFormat="1" ht="10.199999999999999" customHeight="1" x14ac:dyDescent="0.25">
      <c r="A68" s="6">
        <f t="shared" si="0"/>
        <v>58</v>
      </c>
      <c r="B68" s="7" t="s">
        <v>78</v>
      </c>
      <c r="C68" s="38"/>
      <c r="D68" s="61">
        <v>73899</v>
      </c>
      <c r="E68" s="62">
        <v>33547.800000000003</v>
      </c>
      <c r="F68" s="62">
        <v>41055</v>
      </c>
      <c r="G68" s="62"/>
      <c r="H68" s="62">
        <v>29325</v>
      </c>
      <c r="I68" s="61"/>
      <c r="J68" s="26">
        <v>34650.42</v>
      </c>
      <c r="K68" s="61"/>
      <c r="L68" s="61"/>
      <c r="M68" s="26">
        <v>34650.42</v>
      </c>
    </row>
    <row r="69" spans="1:13" s="4" customFormat="1" ht="16.2" customHeight="1" x14ac:dyDescent="0.25">
      <c r="A69" s="6">
        <f t="shared" si="0"/>
        <v>59</v>
      </c>
      <c r="B69" s="7" t="s">
        <v>79</v>
      </c>
      <c r="C69" s="38"/>
      <c r="D69" s="61"/>
      <c r="E69" s="62">
        <v>21114</v>
      </c>
      <c r="F69" s="38"/>
      <c r="G69" s="62"/>
      <c r="H69" s="38"/>
      <c r="I69" s="61"/>
      <c r="J69" s="26">
        <v>21114</v>
      </c>
      <c r="K69" s="71">
        <v>57477</v>
      </c>
      <c r="L69" s="71">
        <v>63576.6</v>
      </c>
      <c r="M69" s="72">
        <v>60526.8</v>
      </c>
    </row>
    <row r="70" spans="1:13" s="4" customFormat="1" ht="11.4" customHeight="1" x14ac:dyDescent="0.25">
      <c r="A70" s="6">
        <f t="shared" ref="A70:A81" si="1">A69+1</f>
        <v>60</v>
      </c>
      <c r="B70" s="7" t="s">
        <v>80</v>
      </c>
      <c r="C70" s="38"/>
      <c r="D70" s="61"/>
      <c r="E70" s="62"/>
      <c r="F70" s="38"/>
      <c r="G70" s="62"/>
      <c r="H70" s="38"/>
      <c r="I70" s="61"/>
      <c r="J70" s="26"/>
      <c r="K70" s="61"/>
      <c r="L70" s="61"/>
      <c r="M70" s="52">
        <v>42368.76</v>
      </c>
    </row>
    <row r="71" spans="1:13" s="4" customFormat="1" ht="10.199999999999999" customHeight="1" x14ac:dyDescent="0.25">
      <c r="A71" s="6">
        <f t="shared" si="1"/>
        <v>61</v>
      </c>
      <c r="B71" s="7" t="s">
        <v>81</v>
      </c>
      <c r="C71" s="38"/>
      <c r="D71" s="61">
        <v>161874</v>
      </c>
      <c r="E71" s="62">
        <v>84456</v>
      </c>
      <c r="F71" s="62">
        <v>152490</v>
      </c>
      <c r="G71" s="62"/>
      <c r="H71" s="62"/>
      <c r="I71" s="61"/>
      <c r="J71" s="26">
        <v>118473</v>
      </c>
      <c r="K71" s="92">
        <v>117300</v>
      </c>
      <c r="L71" s="92">
        <v>261579</v>
      </c>
      <c r="M71" s="93">
        <v>149369.82</v>
      </c>
    </row>
    <row r="72" spans="1:13" s="4" customFormat="1" ht="25.8" customHeight="1" x14ac:dyDescent="0.25">
      <c r="A72" s="6">
        <f t="shared" si="1"/>
        <v>62</v>
      </c>
      <c r="B72" s="7" t="s">
        <v>82</v>
      </c>
      <c r="C72" s="38"/>
      <c r="D72" s="61"/>
      <c r="E72" s="62"/>
      <c r="F72" s="62"/>
      <c r="G72" s="62"/>
      <c r="H72" s="62"/>
      <c r="I72" s="61"/>
      <c r="J72" s="26"/>
      <c r="K72" s="61"/>
      <c r="L72" s="61"/>
      <c r="M72" s="52">
        <v>39882</v>
      </c>
    </row>
    <row r="73" spans="1:13" s="4" customFormat="1" ht="10.199999999999999" customHeight="1" x14ac:dyDescent="0.25">
      <c r="A73" s="6">
        <f t="shared" si="1"/>
        <v>63</v>
      </c>
      <c r="B73" s="7" t="s">
        <v>83</v>
      </c>
      <c r="C73" s="38"/>
      <c r="D73" s="61"/>
      <c r="E73" s="62"/>
      <c r="F73" s="62"/>
      <c r="G73" s="62"/>
      <c r="H73" s="62"/>
      <c r="I73" s="61"/>
      <c r="J73" s="26"/>
      <c r="K73" s="61"/>
      <c r="L73" s="61"/>
      <c r="M73" s="52">
        <v>27917.4</v>
      </c>
    </row>
    <row r="74" spans="1:13" s="4" customFormat="1" ht="10.199999999999999" customHeight="1" x14ac:dyDescent="0.25">
      <c r="A74" s="6">
        <f t="shared" si="1"/>
        <v>64</v>
      </c>
      <c r="B74" s="7" t="s">
        <v>84</v>
      </c>
      <c r="C74" s="38"/>
      <c r="D74" s="61"/>
      <c r="E74" s="62">
        <v>187680</v>
      </c>
      <c r="F74" s="62">
        <v>152490</v>
      </c>
      <c r="G74" s="62">
        <v>164220</v>
      </c>
      <c r="H74" s="62"/>
      <c r="I74" s="61"/>
      <c r="J74" s="26">
        <v>168137.82</v>
      </c>
      <c r="K74" s="61"/>
      <c r="L74" s="61"/>
      <c r="M74" s="26">
        <v>168137.82</v>
      </c>
    </row>
    <row r="75" spans="1:13" s="4" customFormat="1" ht="10.199999999999999" customHeight="1" x14ac:dyDescent="0.25">
      <c r="A75" s="6">
        <f t="shared" si="1"/>
        <v>65</v>
      </c>
      <c r="B75" s="7" t="s">
        <v>85</v>
      </c>
      <c r="C75" s="38"/>
      <c r="D75" s="61"/>
      <c r="E75" s="62">
        <v>131376</v>
      </c>
      <c r="F75" s="62">
        <v>106743</v>
      </c>
      <c r="G75" s="62">
        <v>114954</v>
      </c>
      <c r="H75" s="62"/>
      <c r="I75" s="61"/>
      <c r="J75" s="26">
        <v>117698.82</v>
      </c>
      <c r="K75" s="73">
        <v>109089</v>
      </c>
      <c r="L75" s="61"/>
      <c r="M75" s="26">
        <v>117698.82</v>
      </c>
    </row>
    <row r="76" spans="1:13" s="4" customFormat="1" ht="10.199999999999999" customHeight="1" x14ac:dyDescent="0.25">
      <c r="A76" s="6">
        <f t="shared" si="1"/>
        <v>66</v>
      </c>
      <c r="B76" s="17" t="s">
        <v>86</v>
      </c>
      <c r="C76" s="38"/>
      <c r="D76" s="61">
        <v>40233.9</v>
      </c>
      <c r="E76" s="62"/>
      <c r="F76" s="62"/>
      <c r="G76" s="62"/>
      <c r="H76" s="62"/>
      <c r="I76" s="61"/>
      <c r="J76" s="26">
        <v>40233.9</v>
      </c>
      <c r="K76" s="61"/>
      <c r="L76" s="61"/>
      <c r="M76" s="26"/>
    </row>
    <row r="77" spans="1:13" s="4" customFormat="1" ht="10.199999999999999" customHeight="1" x14ac:dyDescent="0.25">
      <c r="A77" s="6">
        <f t="shared" si="1"/>
        <v>67</v>
      </c>
      <c r="B77" s="7" t="s">
        <v>87</v>
      </c>
      <c r="C77" s="38">
        <v>39882</v>
      </c>
      <c r="D77" s="65"/>
      <c r="E77" s="62"/>
      <c r="F77" s="62"/>
      <c r="G77" s="62"/>
      <c r="H77" s="62"/>
      <c r="I77" s="61"/>
      <c r="J77" s="26">
        <v>39882</v>
      </c>
      <c r="K77" s="61"/>
      <c r="L77" s="61"/>
      <c r="M77" s="52">
        <v>39882</v>
      </c>
    </row>
    <row r="78" spans="1:13" s="4" customFormat="1" ht="12.6" customHeight="1" x14ac:dyDescent="0.25">
      <c r="A78" s="6">
        <f t="shared" si="1"/>
        <v>68</v>
      </c>
      <c r="B78" s="7" t="s">
        <v>88</v>
      </c>
      <c r="C78" s="38"/>
      <c r="D78" s="61"/>
      <c r="E78" s="62">
        <v>84456</v>
      </c>
      <c r="F78" s="62">
        <v>105570</v>
      </c>
      <c r="G78" s="62"/>
      <c r="H78" s="62"/>
      <c r="I78" s="61"/>
      <c r="J78" s="26">
        <v>95013</v>
      </c>
      <c r="K78" s="61"/>
      <c r="L78" s="61"/>
      <c r="M78" s="74">
        <v>95013</v>
      </c>
    </row>
    <row r="79" spans="1:13" s="4" customFormat="1" ht="23.4" customHeight="1" x14ac:dyDescent="0.25">
      <c r="A79" s="6">
        <f t="shared" si="1"/>
        <v>69</v>
      </c>
      <c r="B79" s="17" t="s">
        <v>89</v>
      </c>
      <c r="C79" s="38"/>
      <c r="D79" s="61"/>
      <c r="E79" s="62"/>
      <c r="F79" s="62"/>
      <c r="G79" s="62"/>
      <c r="H79" s="62"/>
      <c r="I79" s="61"/>
      <c r="J79" s="26"/>
      <c r="K79" s="75">
        <v>34603.5</v>
      </c>
      <c r="L79" s="75">
        <v>36644.519999999997</v>
      </c>
      <c r="M79" s="60">
        <v>34603.5</v>
      </c>
    </row>
    <row r="80" spans="1:13" s="4" customFormat="1" ht="23.4" customHeight="1" x14ac:dyDescent="0.25">
      <c r="A80" s="6">
        <f t="shared" si="1"/>
        <v>70</v>
      </c>
      <c r="B80" s="17" t="s">
        <v>90</v>
      </c>
      <c r="C80" s="38"/>
      <c r="D80" s="61"/>
      <c r="E80" s="62"/>
      <c r="F80" s="62"/>
      <c r="G80" s="62"/>
      <c r="H80" s="62"/>
      <c r="I80" s="61"/>
      <c r="J80" s="26"/>
      <c r="K80" s="75"/>
      <c r="L80" s="87">
        <v>38720.730000000003</v>
      </c>
      <c r="M80" s="60">
        <v>46920</v>
      </c>
    </row>
    <row r="81" spans="1:13" s="4" customFormat="1" ht="15.6" customHeight="1" x14ac:dyDescent="0.25">
      <c r="A81" s="6">
        <f t="shared" si="1"/>
        <v>71</v>
      </c>
      <c r="B81" s="7" t="s">
        <v>91</v>
      </c>
      <c r="C81" s="38">
        <v>23108.1</v>
      </c>
      <c r="D81" s="65"/>
      <c r="E81" s="62"/>
      <c r="F81" s="62"/>
      <c r="G81" s="62"/>
      <c r="H81" s="62"/>
      <c r="I81" s="61"/>
      <c r="J81" s="61"/>
      <c r="K81" s="94">
        <v>71553</v>
      </c>
      <c r="L81" s="87">
        <v>105570</v>
      </c>
      <c r="M81" s="94">
        <v>88561.5</v>
      </c>
    </row>
  </sheetData>
  <mergeCells count="12">
    <mergeCell ref="M1:M3"/>
    <mergeCell ref="C2:C3"/>
    <mergeCell ref="D2:D3"/>
    <mergeCell ref="E2:E3"/>
    <mergeCell ref="F2:F3"/>
    <mergeCell ref="G2:G3"/>
    <mergeCell ref="H2:H3"/>
    <mergeCell ref="I2:I3"/>
    <mergeCell ref="K2:L2"/>
    <mergeCell ref="A1:A3"/>
    <mergeCell ref="B1:B3"/>
    <mergeCell ref="J1:J3"/>
  </mergeCells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81"/>
  <sheetViews>
    <sheetView topLeftCell="B1" workbookViewId="0">
      <selection sqref="A1:A3"/>
    </sheetView>
  </sheetViews>
  <sheetFormatPr defaultRowHeight="13.2" x14ac:dyDescent="0.25"/>
  <cols>
    <col min="1" max="1" width="5.33203125" style="4" customWidth="1"/>
    <col min="2" max="2" width="60.109375" style="4" customWidth="1"/>
    <col min="3" max="3" width="10.6640625" style="4" customWidth="1"/>
    <col min="4" max="4" width="15.33203125" style="4" customWidth="1"/>
    <col min="5" max="5" width="11.5546875" style="4" customWidth="1"/>
    <col min="6" max="6" width="10.109375" style="4" customWidth="1"/>
    <col min="7" max="8" width="10.5546875" style="4" customWidth="1"/>
    <col min="9" max="9" width="9.88671875" style="4" customWidth="1"/>
    <col min="10" max="10" width="12.109375" style="4" customWidth="1"/>
    <col min="11" max="11" width="10.6640625" style="4" customWidth="1"/>
    <col min="12" max="12" width="12.5546875" style="4" customWidth="1"/>
    <col min="13" max="13" width="14.109375" style="4" customWidth="1"/>
  </cols>
  <sheetData>
    <row r="1" spans="1:13" ht="10.199999999999999" customHeight="1" x14ac:dyDescent="0.25">
      <c r="A1" s="104" t="s">
        <v>0</v>
      </c>
      <c r="B1" s="109" t="s">
        <v>1</v>
      </c>
      <c r="C1" s="12"/>
      <c r="D1" s="13"/>
      <c r="E1" s="13"/>
      <c r="F1" s="11"/>
      <c r="G1" s="5"/>
      <c r="H1" s="5"/>
      <c r="I1" s="5"/>
      <c r="J1" s="112" t="s">
        <v>2</v>
      </c>
      <c r="K1" s="16"/>
      <c r="L1" s="5"/>
      <c r="M1" s="112" t="s">
        <v>3</v>
      </c>
    </row>
    <row r="2" spans="1:13" ht="22.2" customHeight="1" x14ac:dyDescent="0.25">
      <c r="A2" s="108"/>
      <c r="B2" s="110"/>
      <c r="C2" s="102" t="s">
        <v>4</v>
      </c>
      <c r="D2" s="104" t="s">
        <v>5</v>
      </c>
      <c r="E2" s="102" t="s">
        <v>6</v>
      </c>
      <c r="F2" s="102" t="s">
        <v>7</v>
      </c>
      <c r="G2" s="102" t="s">
        <v>8</v>
      </c>
      <c r="H2" s="102" t="s">
        <v>9</v>
      </c>
      <c r="I2" s="104" t="s">
        <v>10</v>
      </c>
      <c r="J2" s="113"/>
      <c r="K2" s="119" t="s">
        <v>96</v>
      </c>
      <c r="L2" s="120"/>
      <c r="M2" s="113"/>
    </row>
    <row r="3" spans="1:13" ht="34.799999999999997" customHeight="1" x14ac:dyDescent="0.25">
      <c r="A3" s="105"/>
      <c r="B3" s="111"/>
      <c r="C3" s="103"/>
      <c r="D3" s="105"/>
      <c r="E3" s="103"/>
      <c r="F3" s="103" t="s">
        <v>7</v>
      </c>
      <c r="G3" s="103"/>
      <c r="H3" s="103" t="s">
        <v>7</v>
      </c>
      <c r="I3" s="105"/>
      <c r="J3" s="114"/>
      <c r="K3" s="19" t="s">
        <v>94</v>
      </c>
      <c r="L3" s="19" t="s">
        <v>13</v>
      </c>
      <c r="M3" s="114"/>
    </row>
    <row r="4" spans="1:13" ht="10.199999999999999" customHeight="1" x14ac:dyDescent="0.25">
      <c r="A4" s="6">
        <v>1</v>
      </c>
      <c r="B4" s="9" t="s">
        <v>14</v>
      </c>
      <c r="C4" s="23"/>
      <c r="D4" s="24"/>
      <c r="E4" s="25">
        <v>868020</v>
      </c>
      <c r="F4" s="25">
        <v>879750</v>
      </c>
      <c r="G4" s="25">
        <v>926670</v>
      </c>
      <c r="H4" s="25">
        <v>932535</v>
      </c>
      <c r="I4" s="24"/>
      <c r="J4" s="26">
        <v>901743.75</v>
      </c>
      <c r="K4" s="35">
        <v>906729</v>
      </c>
      <c r="L4" s="35">
        <v>1081506</v>
      </c>
      <c r="M4" s="35">
        <v>994117.5</v>
      </c>
    </row>
    <row r="5" spans="1:13" ht="10.199999999999999" customHeight="1" x14ac:dyDescent="0.25">
      <c r="A5" s="6">
        <f>A4+1</f>
        <v>2</v>
      </c>
      <c r="B5" s="9" t="s">
        <v>15</v>
      </c>
      <c r="C5" s="23"/>
      <c r="D5" s="24"/>
      <c r="E5" s="25">
        <v>856290</v>
      </c>
      <c r="F5" s="25">
        <v>879750</v>
      </c>
      <c r="G5" s="25">
        <v>914940</v>
      </c>
      <c r="H5" s="25">
        <v>920805</v>
      </c>
      <c r="I5" s="24"/>
      <c r="J5" s="26">
        <v>892946.25</v>
      </c>
      <c r="K5" s="24"/>
      <c r="L5" s="24"/>
      <c r="M5" s="26"/>
    </row>
    <row r="6" spans="1:13" ht="10.199999999999999" customHeight="1" x14ac:dyDescent="0.25">
      <c r="A6" s="6">
        <f t="shared" ref="A6:A69" si="0">A5+1</f>
        <v>3</v>
      </c>
      <c r="B6" s="2" t="s">
        <v>16</v>
      </c>
      <c r="C6" s="29"/>
      <c r="D6" s="24"/>
      <c r="E6" s="25">
        <v>750720</v>
      </c>
      <c r="F6" s="25"/>
      <c r="G6" s="30">
        <v>748765</v>
      </c>
      <c r="H6" s="25"/>
      <c r="I6" s="24"/>
      <c r="J6" s="26">
        <v>749746.41</v>
      </c>
      <c r="K6" s="34">
        <v>821100</v>
      </c>
      <c r="L6" s="34">
        <v>882096</v>
      </c>
      <c r="M6" s="76">
        <v>851598</v>
      </c>
    </row>
    <row r="7" spans="1:13" ht="10.199999999999999" customHeight="1" x14ac:dyDescent="0.25">
      <c r="A7" s="6">
        <f t="shared" si="0"/>
        <v>4</v>
      </c>
      <c r="B7" s="2" t="s">
        <v>17</v>
      </c>
      <c r="C7" s="29"/>
      <c r="D7" s="24"/>
      <c r="E7" s="25">
        <v>762450</v>
      </c>
      <c r="F7" s="25">
        <v>727260</v>
      </c>
      <c r="G7" s="25">
        <v>774180</v>
      </c>
      <c r="H7" s="32"/>
      <c r="I7" s="24"/>
      <c r="J7" s="26">
        <v>754637.82</v>
      </c>
      <c r="K7" s="35">
        <v>762450</v>
      </c>
      <c r="L7" s="35">
        <v>926670</v>
      </c>
      <c r="M7" s="76">
        <v>844560</v>
      </c>
    </row>
    <row r="8" spans="1:13" ht="10.199999999999999" customHeight="1" x14ac:dyDescent="0.25">
      <c r="A8" s="6"/>
      <c r="B8" s="2" t="s">
        <v>18</v>
      </c>
      <c r="C8" s="29"/>
      <c r="D8" s="24"/>
      <c r="E8" s="25">
        <v>607614</v>
      </c>
      <c r="F8" s="25">
        <v>615825</v>
      </c>
      <c r="G8" s="25">
        <v>648669</v>
      </c>
      <c r="H8" s="25">
        <v>652774.5</v>
      </c>
      <c r="I8" s="24"/>
      <c r="J8" s="26">
        <v>631226.49</v>
      </c>
      <c r="K8" s="24"/>
      <c r="L8" s="24"/>
      <c r="M8" s="42"/>
    </row>
    <row r="9" spans="1:13" ht="10.199999999999999" customHeight="1" x14ac:dyDescent="0.25">
      <c r="A9" s="6">
        <f>A7+1</f>
        <v>5</v>
      </c>
      <c r="B9" s="2" t="s">
        <v>19</v>
      </c>
      <c r="C9" s="29"/>
      <c r="D9" s="24"/>
      <c r="E9" s="25">
        <v>521480.61</v>
      </c>
      <c r="F9" s="25">
        <v>535767.75</v>
      </c>
      <c r="G9" s="25">
        <v>557198.46</v>
      </c>
      <c r="H9" s="25">
        <v>560770.24</v>
      </c>
      <c r="I9" s="24"/>
      <c r="J9" s="26">
        <v>543814.53</v>
      </c>
      <c r="K9" s="79">
        <v>480930</v>
      </c>
      <c r="L9" s="79">
        <v>507909</v>
      </c>
      <c r="M9" s="80">
        <v>494419.5</v>
      </c>
    </row>
    <row r="10" spans="1:13" ht="10.199999999999999" customHeight="1" x14ac:dyDescent="0.25">
      <c r="A10" s="6">
        <f t="shared" si="0"/>
        <v>6</v>
      </c>
      <c r="B10" s="14" t="s">
        <v>20</v>
      </c>
      <c r="C10" s="29"/>
      <c r="D10" s="24"/>
      <c r="E10" s="30">
        <v>656880</v>
      </c>
      <c r="F10" s="25">
        <v>375360</v>
      </c>
      <c r="G10" s="25"/>
      <c r="H10" s="25"/>
      <c r="I10" s="24"/>
      <c r="J10" s="26">
        <v>516120</v>
      </c>
      <c r="K10" s="24"/>
      <c r="L10" s="24"/>
      <c r="M10" s="26"/>
    </row>
    <row r="11" spans="1:13" ht="10.199999999999999" customHeight="1" x14ac:dyDescent="0.25">
      <c r="A11" s="6">
        <f t="shared" si="0"/>
        <v>7</v>
      </c>
      <c r="B11" s="2" t="s">
        <v>21</v>
      </c>
      <c r="C11" s="29"/>
      <c r="D11" s="24"/>
      <c r="E11" s="25">
        <v>342516</v>
      </c>
      <c r="F11" s="25">
        <v>351900</v>
      </c>
      <c r="G11" s="25">
        <v>365976</v>
      </c>
      <c r="H11" s="25">
        <v>368322</v>
      </c>
      <c r="I11" s="24"/>
      <c r="J11" s="26">
        <v>357178.5</v>
      </c>
      <c r="K11" s="41">
        <v>315537</v>
      </c>
      <c r="L11" s="41">
        <v>316710</v>
      </c>
      <c r="M11" s="26"/>
    </row>
    <row r="12" spans="1:13" ht="10.199999999999999" customHeight="1" x14ac:dyDescent="0.25">
      <c r="A12" s="6">
        <f t="shared" si="0"/>
        <v>8</v>
      </c>
      <c r="B12" s="2" t="s">
        <v>22</v>
      </c>
      <c r="C12" s="29"/>
      <c r="D12" s="24"/>
      <c r="E12" s="25">
        <v>536647.5</v>
      </c>
      <c r="F12" s="25">
        <v>590312.25</v>
      </c>
      <c r="G12" s="25">
        <v>751306.5</v>
      </c>
      <c r="H12" s="25">
        <v>751306.5</v>
      </c>
      <c r="I12" s="24"/>
      <c r="J12" s="26">
        <v>657396.12</v>
      </c>
      <c r="K12" s="53">
        <v>900864</v>
      </c>
      <c r="L12" s="83">
        <v>719049</v>
      </c>
      <c r="M12" s="26"/>
    </row>
    <row r="13" spans="1:13" ht="10.199999999999999" customHeight="1" x14ac:dyDescent="0.25">
      <c r="A13" s="6">
        <f t="shared" si="0"/>
        <v>9</v>
      </c>
      <c r="B13" s="2" t="s">
        <v>23</v>
      </c>
      <c r="C13" s="29"/>
      <c r="D13" s="24"/>
      <c r="E13" s="25">
        <v>314364</v>
      </c>
      <c r="F13" s="25">
        <v>432250.5</v>
      </c>
      <c r="G13" s="25">
        <v>550137</v>
      </c>
      <c r="H13" s="25">
        <v>392955</v>
      </c>
      <c r="I13" s="24"/>
      <c r="J13" s="26">
        <v>422432.49</v>
      </c>
      <c r="K13" s="53">
        <v>599403</v>
      </c>
      <c r="L13" s="96">
        <v>445740</v>
      </c>
      <c r="M13" s="26"/>
    </row>
    <row r="14" spans="1:13" ht="10.199999999999999" customHeight="1" x14ac:dyDescent="0.25">
      <c r="A14" s="6">
        <f t="shared" si="0"/>
        <v>10</v>
      </c>
      <c r="B14" s="2" t="s">
        <v>24</v>
      </c>
      <c r="C14" s="29"/>
      <c r="D14" s="24"/>
      <c r="E14" s="25">
        <v>152490</v>
      </c>
      <c r="F14" s="25">
        <v>165393</v>
      </c>
      <c r="G14" s="25">
        <v>152490</v>
      </c>
      <c r="H14" s="25">
        <v>175950</v>
      </c>
      <c r="I14" s="24"/>
      <c r="J14" s="26">
        <v>161580.75</v>
      </c>
      <c r="K14" s="35">
        <v>164220</v>
      </c>
      <c r="L14" s="35">
        <v>182988</v>
      </c>
      <c r="M14" s="76">
        <v>173604</v>
      </c>
    </row>
    <row r="15" spans="1:13" ht="10.199999999999999" customHeight="1" x14ac:dyDescent="0.25">
      <c r="A15" s="6">
        <f t="shared" si="0"/>
        <v>11</v>
      </c>
      <c r="B15" s="2" t="s">
        <v>25</v>
      </c>
      <c r="C15" s="36"/>
      <c r="D15" s="37"/>
      <c r="E15" s="38">
        <v>152490</v>
      </c>
      <c r="F15" s="25"/>
      <c r="G15" s="25">
        <v>175950</v>
      </c>
      <c r="H15" s="38"/>
      <c r="I15" s="24"/>
      <c r="J15" s="26">
        <v>164220</v>
      </c>
      <c r="K15" s="35">
        <v>158355</v>
      </c>
      <c r="L15" s="35">
        <v>266857.5</v>
      </c>
      <c r="M15" s="76">
        <v>212606.25</v>
      </c>
    </row>
    <row r="16" spans="1:13" s="15" customFormat="1" ht="10.199999999999999" customHeight="1" x14ac:dyDescent="0.25">
      <c r="A16" s="6">
        <f t="shared" si="0"/>
        <v>12</v>
      </c>
      <c r="B16" s="2" t="s">
        <v>26</v>
      </c>
      <c r="C16" s="36"/>
      <c r="D16" s="37"/>
      <c r="E16" s="38">
        <v>82110</v>
      </c>
      <c r="F16" s="25">
        <v>82110</v>
      </c>
      <c r="G16" s="25">
        <v>82110</v>
      </c>
      <c r="H16" s="38">
        <v>87975</v>
      </c>
      <c r="I16" s="24"/>
      <c r="J16" s="26">
        <v>83576.25</v>
      </c>
      <c r="K16" s="35">
        <v>87975</v>
      </c>
      <c r="L16" s="35">
        <v>99705</v>
      </c>
      <c r="M16" s="76">
        <v>93840</v>
      </c>
    </row>
    <row r="17" spans="1:13" ht="10.199999999999999" customHeight="1" x14ac:dyDescent="0.25">
      <c r="A17" s="6">
        <f t="shared" si="0"/>
        <v>13</v>
      </c>
      <c r="B17" s="2" t="s">
        <v>27</v>
      </c>
      <c r="C17" s="36"/>
      <c r="D17" s="37"/>
      <c r="E17" s="38"/>
      <c r="F17" s="25"/>
      <c r="G17" s="25"/>
      <c r="H17" s="38"/>
      <c r="I17" s="24"/>
      <c r="J17" s="26"/>
      <c r="K17" s="41">
        <v>51612</v>
      </c>
      <c r="L17" s="41">
        <v>51846.6</v>
      </c>
      <c r="M17" s="42">
        <v>51729.3</v>
      </c>
    </row>
    <row r="18" spans="1:13" ht="21.6" customHeight="1" x14ac:dyDescent="0.25">
      <c r="A18" s="6">
        <f t="shared" si="0"/>
        <v>14</v>
      </c>
      <c r="B18" s="2" t="s">
        <v>28</v>
      </c>
      <c r="C18" s="36"/>
      <c r="D18" s="37"/>
      <c r="E18" s="38">
        <v>152490</v>
      </c>
      <c r="F18" s="38">
        <v>165393</v>
      </c>
      <c r="G18" s="38">
        <v>152490</v>
      </c>
      <c r="H18" s="38">
        <v>175950</v>
      </c>
      <c r="I18" s="24"/>
      <c r="J18" s="26">
        <v>161580.75</v>
      </c>
      <c r="K18" s="35">
        <v>164220</v>
      </c>
      <c r="L18" s="95">
        <v>253368</v>
      </c>
      <c r="M18" s="80">
        <v>208794</v>
      </c>
    </row>
    <row r="19" spans="1:13" ht="12" customHeight="1" x14ac:dyDescent="0.25">
      <c r="A19" s="6"/>
      <c r="B19" s="2" t="s">
        <v>29</v>
      </c>
      <c r="C19" s="36"/>
      <c r="D19" s="37"/>
      <c r="E19" s="38">
        <v>221697</v>
      </c>
      <c r="F19" s="38">
        <v>226623.6</v>
      </c>
      <c r="G19" s="38">
        <v>226623.6</v>
      </c>
      <c r="H19" s="38">
        <v>231550.2</v>
      </c>
      <c r="I19" s="24"/>
      <c r="J19" s="26">
        <v>226623.6</v>
      </c>
      <c r="K19" s="43">
        <v>134895</v>
      </c>
      <c r="L19" s="43">
        <v>175950</v>
      </c>
      <c r="M19" s="26"/>
    </row>
    <row r="20" spans="1:13" ht="10.199999999999999" customHeight="1" x14ac:dyDescent="0.25">
      <c r="A20" s="6">
        <f>A18+1</f>
        <v>15</v>
      </c>
      <c r="B20" s="2" t="s">
        <v>30</v>
      </c>
      <c r="C20" s="36"/>
      <c r="D20" s="37"/>
      <c r="E20" s="38">
        <v>527850</v>
      </c>
      <c r="F20" s="25">
        <v>539580</v>
      </c>
      <c r="G20" s="25">
        <v>539580</v>
      </c>
      <c r="H20" s="38">
        <v>551310</v>
      </c>
      <c r="I20" s="24"/>
      <c r="J20" s="26">
        <v>539580</v>
      </c>
      <c r="K20" s="35">
        <v>551310</v>
      </c>
      <c r="L20" s="35">
        <v>636939</v>
      </c>
      <c r="M20" s="76">
        <v>594124.5</v>
      </c>
    </row>
    <row r="21" spans="1:13" ht="10.199999999999999" customHeight="1" x14ac:dyDescent="0.25">
      <c r="A21" s="6">
        <f t="shared" si="0"/>
        <v>16</v>
      </c>
      <c r="B21" s="2" t="s">
        <v>31</v>
      </c>
      <c r="C21" s="36"/>
      <c r="D21" s="37"/>
      <c r="E21" s="38">
        <v>445740</v>
      </c>
      <c r="F21" s="25">
        <v>469200</v>
      </c>
      <c r="G21" s="25">
        <v>480930</v>
      </c>
      <c r="H21" s="38">
        <v>480930</v>
      </c>
      <c r="I21" s="24"/>
      <c r="J21" s="26">
        <v>469200</v>
      </c>
      <c r="K21" s="35">
        <v>473892</v>
      </c>
      <c r="L21" s="35">
        <v>551310</v>
      </c>
      <c r="M21" s="76">
        <v>512601</v>
      </c>
    </row>
    <row r="22" spans="1:13" ht="10.199999999999999" customHeight="1" x14ac:dyDescent="0.25">
      <c r="A22" s="6">
        <f t="shared" si="0"/>
        <v>17</v>
      </c>
      <c r="B22" s="2" t="s">
        <v>32</v>
      </c>
      <c r="C22" s="36"/>
      <c r="D22" s="37"/>
      <c r="E22" s="38">
        <v>539580</v>
      </c>
      <c r="F22" s="38">
        <v>545445</v>
      </c>
      <c r="G22" s="38">
        <v>563040</v>
      </c>
      <c r="H22" s="38"/>
      <c r="I22" s="24"/>
      <c r="J22" s="26">
        <v>549362.81999999995</v>
      </c>
      <c r="K22" s="81">
        <v>491487</v>
      </c>
      <c r="L22" s="81">
        <v>498525</v>
      </c>
      <c r="M22" s="82">
        <v>495006</v>
      </c>
    </row>
    <row r="23" spans="1:13" ht="10.199999999999999" customHeight="1" x14ac:dyDescent="0.25">
      <c r="A23" s="6">
        <f t="shared" si="0"/>
        <v>18</v>
      </c>
      <c r="B23" s="2" t="s">
        <v>33</v>
      </c>
      <c r="C23" s="36"/>
      <c r="D23" s="37"/>
      <c r="E23" s="38">
        <v>457470</v>
      </c>
      <c r="F23" s="38">
        <v>469200</v>
      </c>
      <c r="G23" s="38">
        <v>492660</v>
      </c>
      <c r="H23" s="38"/>
      <c r="I23" s="24"/>
      <c r="J23" s="26">
        <v>473117.82</v>
      </c>
      <c r="K23" s="46">
        <v>383571</v>
      </c>
      <c r="L23" s="46">
        <v>521398.5</v>
      </c>
      <c r="M23" s="26"/>
    </row>
    <row r="24" spans="1:13" ht="10.199999999999999" customHeight="1" x14ac:dyDescent="0.25">
      <c r="A24" s="6">
        <f t="shared" si="0"/>
        <v>19</v>
      </c>
      <c r="B24" s="1" t="s">
        <v>34</v>
      </c>
      <c r="C24" s="47"/>
      <c r="D24" s="37"/>
      <c r="E24" s="38">
        <v>527850</v>
      </c>
      <c r="F24" s="25">
        <v>539580</v>
      </c>
      <c r="G24" s="25">
        <v>551310</v>
      </c>
      <c r="H24" s="38">
        <v>539580</v>
      </c>
      <c r="I24" s="24"/>
      <c r="J24" s="26">
        <v>539580</v>
      </c>
      <c r="K24" s="35">
        <v>551310</v>
      </c>
      <c r="L24" s="35">
        <v>554829</v>
      </c>
      <c r="M24" s="76">
        <v>553069.5</v>
      </c>
    </row>
    <row r="25" spans="1:13" ht="10.199999999999999" customHeight="1" x14ac:dyDescent="0.25">
      <c r="A25" s="6">
        <f t="shared" si="0"/>
        <v>20</v>
      </c>
      <c r="B25" s="2" t="s">
        <v>35</v>
      </c>
      <c r="C25" s="36"/>
      <c r="D25" s="37"/>
      <c r="E25" s="38">
        <v>633420</v>
      </c>
      <c r="F25" s="25">
        <v>609960</v>
      </c>
      <c r="G25" s="25">
        <v>633420</v>
      </c>
      <c r="H25" s="38">
        <v>656880</v>
      </c>
      <c r="I25" s="24"/>
      <c r="J25" s="26">
        <v>633420</v>
      </c>
      <c r="K25" s="81">
        <v>570078</v>
      </c>
      <c r="L25" s="81">
        <v>627555</v>
      </c>
      <c r="M25" s="82">
        <v>598816.5</v>
      </c>
    </row>
    <row r="26" spans="1:13" ht="10.8" customHeight="1" x14ac:dyDescent="0.25">
      <c r="A26" s="6">
        <f t="shared" si="0"/>
        <v>21</v>
      </c>
      <c r="B26" s="2" t="s">
        <v>36</v>
      </c>
      <c r="C26" s="36"/>
      <c r="D26" s="37"/>
      <c r="E26" s="38">
        <v>633420</v>
      </c>
      <c r="F26" s="25">
        <v>621690</v>
      </c>
      <c r="G26" s="25">
        <v>668610</v>
      </c>
      <c r="H26" s="38"/>
      <c r="I26" s="24"/>
      <c r="J26" s="26">
        <v>641243.91</v>
      </c>
      <c r="K26" s="35">
        <v>699108</v>
      </c>
      <c r="L26" s="35">
        <v>781218</v>
      </c>
      <c r="M26" s="76">
        <v>740163</v>
      </c>
    </row>
    <row r="27" spans="1:13" ht="10.199999999999999" customHeight="1" x14ac:dyDescent="0.25">
      <c r="A27" s="6">
        <f t="shared" si="0"/>
        <v>22</v>
      </c>
      <c r="B27" s="2" t="s">
        <v>37</v>
      </c>
      <c r="C27" s="36"/>
      <c r="D27" s="37"/>
      <c r="E27" s="38">
        <v>563040</v>
      </c>
      <c r="F27" s="25">
        <v>551310</v>
      </c>
      <c r="G27" s="25">
        <v>539580</v>
      </c>
      <c r="H27" s="38"/>
      <c r="I27" s="24"/>
      <c r="J27" s="26">
        <v>551310</v>
      </c>
      <c r="K27" s="35">
        <v>633420</v>
      </c>
      <c r="L27" s="35">
        <v>789429</v>
      </c>
      <c r="M27" s="76">
        <v>711424.5</v>
      </c>
    </row>
    <row r="28" spans="1:13" ht="10.199999999999999" customHeight="1" x14ac:dyDescent="0.25">
      <c r="A28" s="6">
        <f t="shared" si="0"/>
        <v>23</v>
      </c>
      <c r="B28" s="2" t="s">
        <v>38</v>
      </c>
      <c r="C28" s="36"/>
      <c r="D28" s="37"/>
      <c r="E28" s="38">
        <v>2228700</v>
      </c>
      <c r="F28" s="25">
        <v>1665660</v>
      </c>
      <c r="G28" s="25">
        <v>2111400</v>
      </c>
      <c r="H28" s="38">
        <v>1994100</v>
      </c>
      <c r="I28" s="24"/>
      <c r="J28" s="26">
        <v>1999965</v>
      </c>
      <c r="K28" s="35">
        <v>1999965</v>
      </c>
      <c r="L28" s="35">
        <v>2527815</v>
      </c>
      <c r="M28" s="76">
        <v>2263890</v>
      </c>
    </row>
    <row r="29" spans="1:13" ht="10.199999999999999" customHeight="1" x14ac:dyDescent="0.25">
      <c r="A29" s="6">
        <f t="shared" si="0"/>
        <v>24</v>
      </c>
      <c r="B29" s="2" t="s">
        <v>39</v>
      </c>
      <c r="C29" s="36"/>
      <c r="D29" s="37"/>
      <c r="E29" s="38">
        <v>2170050</v>
      </c>
      <c r="F29" s="25">
        <v>1665660</v>
      </c>
      <c r="G29" s="25">
        <v>2052750</v>
      </c>
      <c r="H29" s="38">
        <v>1935450</v>
      </c>
      <c r="I29" s="24"/>
      <c r="J29" s="26">
        <v>1955977.5</v>
      </c>
      <c r="K29" s="35">
        <v>1958910</v>
      </c>
      <c r="L29" s="35">
        <v>2370633</v>
      </c>
      <c r="M29" s="76">
        <v>2164771.5</v>
      </c>
    </row>
    <row r="30" spans="1:13" ht="10.199999999999999" customHeight="1" x14ac:dyDescent="0.25">
      <c r="A30" s="6">
        <f t="shared" si="0"/>
        <v>25</v>
      </c>
      <c r="B30" s="2" t="s">
        <v>40</v>
      </c>
      <c r="C30" s="36"/>
      <c r="D30" s="37"/>
      <c r="E30" s="38">
        <v>2521950</v>
      </c>
      <c r="F30" s="25">
        <v>1935450</v>
      </c>
      <c r="G30" s="25">
        <v>2346000</v>
      </c>
      <c r="H30" s="38"/>
      <c r="I30" s="24"/>
      <c r="J30" s="26">
        <v>2267807.8199999998</v>
      </c>
      <c r="K30" s="83">
        <v>913767</v>
      </c>
      <c r="L30" s="41">
        <v>2272492</v>
      </c>
      <c r="M30" s="26">
        <v>2270146</v>
      </c>
    </row>
    <row r="31" spans="1:13" ht="10.199999999999999" customHeight="1" x14ac:dyDescent="0.25">
      <c r="A31" s="6">
        <f t="shared" si="0"/>
        <v>26</v>
      </c>
      <c r="B31" s="2" t="s">
        <v>41</v>
      </c>
      <c r="C31" s="36"/>
      <c r="D31" s="37"/>
      <c r="E31" s="38">
        <v>1891462.5</v>
      </c>
      <c r="F31" s="38">
        <v>1451587.5</v>
      </c>
      <c r="G31" s="38">
        <v>1759500</v>
      </c>
      <c r="H31" s="38"/>
      <c r="I31" s="24"/>
      <c r="J31" s="26">
        <v>1700850</v>
      </c>
      <c r="K31" s="35">
        <v>1700850</v>
      </c>
      <c r="L31" s="35">
        <v>1704369</v>
      </c>
      <c r="M31" s="76">
        <v>1702609.5</v>
      </c>
    </row>
    <row r="32" spans="1:13" ht="10.199999999999999" customHeight="1" x14ac:dyDescent="0.25">
      <c r="A32" s="6">
        <f t="shared" si="0"/>
        <v>27</v>
      </c>
      <c r="B32" s="2" t="s">
        <v>42</v>
      </c>
      <c r="C32" s="36"/>
      <c r="D32" s="37"/>
      <c r="E32" s="38">
        <v>445740</v>
      </c>
      <c r="F32" s="25">
        <v>351900</v>
      </c>
      <c r="G32" s="25">
        <v>375360</v>
      </c>
      <c r="H32" s="38"/>
      <c r="I32" s="24"/>
      <c r="J32" s="26">
        <v>391007.82</v>
      </c>
      <c r="K32" s="50">
        <v>297942</v>
      </c>
      <c r="L32" s="50">
        <v>916113</v>
      </c>
      <c r="M32" s="26"/>
    </row>
    <row r="33" spans="1:13" ht="10.199999999999999" customHeight="1" x14ac:dyDescent="0.25">
      <c r="A33" s="6">
        <f t="shared" si="0"/>
        <v>28</v>
      </c>
      <c r="B33" s="2" t="s">
        <v>43</v>
      </c>
      <c r="C33" s="36"/>
      <c r="D33" s="37"/>
      <c r="E33" s="25">
        <v>334305</v>
      </c>
      <c r="F33" s="25">
        <v>263925</v>
      </c>
      <c r="G33" s="25">
        <v>281520</v>
      </c>
      <c r="H33" s="38"/>
      <c r="I33" s="24"/>
      <c r="J33" s="26">
        <v>293250</v>
      </c>
      <c r="K33" s="84">
        <v>263925</v>
      </c>
      <c r="L33" s="84">
        <v>272136</v>
      </c>
      <c r="M33" s="26"/>
    </row>
    <row r="34" spans="1:13" ht="10.199999999999999" customHeight="1" x14ac:dyDescent="0.25">
      <c r="A34" s="6">
        <f t="shared" si="0"/>
        <v>29</v>
      </c>
      <c r="B34" s="2" t="s">
        <v>44</v>
      </c>
      <c r="C34" s="36"/>
      <c r="D34" s="37"/>
      <c r="E34" s="38">
        <v>83869.5</v>
      </c>
      <c r="F34" s="25">
        <v>72256.800000000003</v>
      </c>
      <c r="G34" s="25">
        <v>85394.4</v>
      </c>
      <c r="H34" s="38"/>
      <c r="I34" s="24"/>
      <c r="J34" s="26">
        <v>80514.720000000001</v>
      </c>
      <c r="K34" s="35">
        <v>79764</v>
      </c>
      <c r="L34" s="35">
        <v>94426.5</v>
      </c>
      <c r="M34" s="51">
        <v>87095.25</v>
      </c>
    </row>
    <row r="35" spans="1:13" ht="10.199999999999999" customHeight="1" x14ac:dyDescent="0.25">
      <c r="A35" s="6">
        <f t="shared" si="0"/>
        <v>30</v>
      </c>
      <c r="B35" s="2" t="s">
        <v>45</v>
      </c>
      <c r="C35" s="36"/>
      <c r="D35" s="37"/>
      <c r="E35" s="38">
        <v>187680</v>
      </c>
      <c r="F35" s="25">
        <v>152490</v>
      </c>
      <c r="G35" s="25"/>
      <c r="H35" s="38"/>
      <c r="I35" s="24"/>
      <c r="J35" s="26">
        <v>170085</v>
      </c>
      <c r="K35" s="24"/>
      <c r="L35" s="24"/>
      <c r="M35" s="26">
        <v>170085</v>
      </c>
    </row>
    <row r="36" spans="1:13" ht="10.199999999999999" customHeight="1" x14ac:dyDescent="0.25">
      <c r="A36" s="6">
        <f t="shared" si="0"/>
        <v>31</v>
      </c>
      <c r="B36" s="2" t="s">
        <v>46</v>
      </c>
      <c r="C36" s="36"/>
      <c r="D36" s="37"/>
      <c r="E36" s="38">
        <v>328440</v>
      </c>
      <c r="F36" s="25"/>
      <c r="G36" s="25">
        <v>304980</v>
      </c>
      <c r="H36" s="38"/>
      <c r="I36" s="24"/>
      <c r="J36" s="26">
        <v>316710</v>
      </c>
      <c r="K36" s="85">
        <v>158355</v>
      </c>
      <c r="L36" s="37"/>
      <c r="M36" s="26">
        <v>316710</v>
      </c>
    </row>
    <row r="37" spans="1:13" ht="10.199999999999999" customHeight="1" x14ac:dyDescent="0.25">
      <c r="A37" s="6">
        <f t="shared" si="0"/>
        <v>32</v>
      </c>
      <c r="B37" s="2" t="s">
        <v>47</v>
      </c>
      <c r="C37" s="36"/>
      <c r="D37" s="37"/>
      <c r="E37" s="38">
        <v>504390</v>
      </c>
      <c r="F37" s="25"/>
      <c r="G37" s="25">
        <v>516120</v>
      </c>
      <c r="H37" s="38"/>
      <c r="I37" s="24"/>
      <c r="J37" s="26">
        <v>510255</v>
      </c>
      <c r="K37" s="24"/>
      <c r="L37" s="24"/>
      <c r="M37" s="26">
        <v>510255</v>
      </c>
    </row>
    <row r="38" spans="1:13" ht="10.199999999999999" customHeight="1" x14ac:dyDescent="0.25">
      <c r="A38" s="6">
        <f t="shared" si="0"/>
        <v>33</v>
      </c>
      <c r="B38" s="2" t="s">
        <v>48</v>
      </c>
      <c r="C38" s="36"/>
      <c r="D38" s="37"/>
      <c r="E38" s="38"/>
      <c r="F38" s="25"/>
      <c r="G38" s="25"/>
      <c r="H38" s="38"/>
      <c r="I38" s="24"/>
      <c r="J38" s="52">
        <v>46920</v>
      </c>
      <c r="K38" s="53">
        <v>46920</v>
      </c>
      <c r="L38" s="53">
        <v>48093</v>
      </c>
      <c r="M38" s="52">
        <v>46920</v>
      </c>
    </row>
    <row r="39" spans="1:13" ht="26.4" x14ac:dyDescent="0.25">
      <c r="A39" s="6">
        <f t="shared" si="0"/>
        <v>34</v>
      </c>
      <c r="B39" s="2" t="s">
        <v>49</v>
      </c>
      <c r="C39" s="36"/>
      <c r="D39" s="37"/>
      <c r="E39" s="38">
        <v>62638.2</v>
      </c>
      <c r="F39" s="38">
        <v>60644.1</v>
      </c>
      <c r="G39" s="38"/>
      <c r="H39" s="38"/>
      <c r="I39" s="24"/>
      <c r="J39" s="54">
        <v>61641.15</v>
      </c>
      <c r="K39" s="50">
        <v>72726</v>
      </c>
      <c r="L39" s="50">
        <v>73077.899999999994</v>
      </c>
      <c r="M39" s="54">
        <v>61641.15</v>
      </c>
    </row>
    <row r="40" spans="1:13" ht="20.399999999999999" customHeight="1" x14ac:dyDescent="0.25">
      <c r="A40" s="6"/>
      <c r="B40" s="2" t="s">
        <v>50</v>
      </c>
      <c r="C40" s="36"/>
      <c r="D40" s="37"/>
      <c r="E40" s="38"/>
      <c r="F40" s="38"/>
      <c r="G40" s="38"/>
      <c r="H40" s="38"/>
      <c r="I40" s="24"/>
      <c r="J40" s="26"/>
      <c r="K40" s="37"/>
      <c r="L40" s="41">
        <v>49500.6</v>
      </c>
      <c r="M40" s="41">
        <v>49500.6</v>
      </c>
    </row>
    <row r="41" spans="1:13" ht="30.6" customHeight="1" x14ac:dyDescent="0.25">
      <c r="A41" s="6">
        <f>A39+1</f>
        <v>35</v>
      </c>
      <c r="B41" s="2" t="s">
        <v>51</v>
      </c>
      <c r="C41" s="36"/>
      <c r="D41" s="37"/>
      <c r="E41" s="38">
        <v>78239.100000000006</v>
      </c>
      <c r="F41" s="38"/>
      <c r="G41" s="38"/>
      <c r="H41" s="38"/>
      <c r="I41" s="37"/>
      <c r="J41" s="54">
        <v>78239.100000000006</v>
      </c>
      <c r="K41" s="24"/>
      <c r="L41" s="24"/>
      <c r="M41" s="54">
        <v>78239.100000000006</v>
      </c>
    </row>
    <row r="42" spans="1:13" ht="30.6" customHeight="1" x14ac:dyDescent="0.25">
      <c r="A42" s="6">
        <f t="shared" si="0"/>
        <v>36</v>
      </c>
      <c r="B42" s="2" t="s">
        <v>52</v>
      </c>
      <c r="C42" s="36"/>
      <c r="D42" s="37" t="s">
        <v>99</v>
      </c>
      <c r="E42" s="38">
        <v>60644.1</v>
      </c>
      <c r="F42" s="38">
        <v>51846.6</v>
      </c>
      <c r="G42" s="38"/>
      <c r="H42" s="38">
        <v>48914.1</v>
      </c>
      <c r="I42" s="37"/>
      <c r="J42" s="54">
        <v>53805.51</v>
      </c>
      <c r="K42" s="24"/>
      <c r="L42" s="24"/>
      <c r="M42" s="54">
        <v>56245.35</v>
      </c>
    </row>
    <row r="43" spans="1:13" ht="9.6" customHeight="1" x14ac:dyDescent="0.25">
      <c r="A43" s="6">
        <f t="shared" si="0"/>
        <v>37</v>
      </c>
      <c r="B43" s="3" t="s">
        <v>53</v>
      </c>
      <c r="C43" s="29"/>
      <c r="D43" s="37"/>
      <c r="E43" s="38"/>
      <c r="F43" s="38">
        <v>43401</v>
      </c>
      <c r="G43" s="38"/>
      <c r="H43" s="38"/>
      <c r="I43" s="37"/>
      <c r="J43" s="37"/>
      <c r="K43" s="34">
        <v>109323.6</v>
      </c>
      <c r="L43" s="87">
        <v>117886.5</v>
      </c>
      <c r="M43" s="87">
        <v>113605.05</v>
      </c>
    </row>
    <row r="44" spans="1:13" ht="9.6" customHeight="1" x14ac:dyDescent="0.25">
      <c r="A44" s="6">
        <f t="shared" si="0"/>
        <v>38</v>
      </c>
      <c r="B44" s="3" t="s">
        <v>54</v>
      </c>
      <c r="C44" s="29"/>
      <c r="D44" s="37"/>
      <c r="E44" s="38"/>
      <c r="F44" s="38">
        <v>43401</v>
      </c>
      <c r="G44" s="38"/>
      <c r="H44" s="38"/>
      <c r="I44" s="37"/>
      <c r="J44" s="37"/>
      <c r="K44" s="34">
        <v>82110</v>
      </c>
      <c r="L44" s="34">
        <v>82696.5</v>
      </c>
      <c r="M44" s="34">
        <v>82403.25</v>
      </c>
    </row>
    <row r="45" spans="1:13" ht="10.199999999999999" hidden="1" customHeight="1" x14ac:dyDescent="0.25">
      <c r="A45" s="6"/>
      <c r="B45" s="3" t="s">
        <v>55</v>
      </c>
      <c r="C45" s="29"/>
      <c r="D45" s="37"/>
      <c r="E45" s="38"/>
      <c r="F45" s="38"/>
      <c r="G45" s="38"/>
      <c r="H45" s="38"/>
      <c r="I45" s="56">
        <v>32844</v>
      </c>
      <c r="J45" s="37"/>
      <c r="K45" s="37"/>
      <c r="L45" s="37"/>
      <c r="M45" s="57" t="s">
        <v>100</v>
      </c>
    </row>
    <row r="46" spans="1:13" ht="10.199999999999999" hidden="1" customHeight="1" x14ac:dyDescent="0.25">
      <c r="A46" s="6"/>
      <c r="B46" s="3" t="s">
        <v>56</v>
      </c>
      <c r="C46" s="29"/>
      <c r="D46" s="37"/>
      <c r="E46" s="38"/>
      <c r="F46" s="38"/>
      <c r="G46" s="38"/>
      <c r="H46" s="38"/>
      <c r="I46" s="56">
        <v>11730</v>
      </c>
      <c r="J46" s="37"/>
      <c r="K46" s="37"/>
      <c r="L46" s="37"/>
      <c r="M46" s="57" t="s">
        <v>100</v>
      </c>
    </row>
    <row r="47" spans="1:13" ht="10.199999999999999" hidden="1" customHeight="1" x14ac:dyDescent="0.25">
      <c r="A47" s="6"/>
      <c r="B47" s="3" t="s">
        <v>57</v>
      </c>
      <c r="C47" s="29"/>
      <c r="D47" s="37"/>
      <c r="E47" s="38"/>
      <c r="F47" s="38"/>
      <c r="G47" s="38">
        <v>46920</v>
      </c>
      <c r="H47" s="38"/>
      <c r="I47" s="56">
        <v>23460</v>
      </c>
      <c r="J47" s="37"/>
      <c r="K47" s="37"/>
      <c r="L47" s="37"/>
      <c r="M47" s="57" t="s">
        <v>100</v>
      </c>
    </row>
    <row r="48" spans="1:13" ht="10.199999999999999" hidden="1" customHeight="1" x14ac:dyDescent="0.25">
      <c r="A48" s="6"/>
      <c r="B48" s="3" t="s">
        <v>58</v>
      </c>
      <c r="C48" s="29"/>
      <c r="D48" s="37"/>
      <c r="E48" s="38"/>
      <c r="F48" s="38"/>
      <c r="G48" s="38">
        <v>17595</v>
      </c>
      <c r="H48" s="38"/>
      <c r="I48" s="56">
        <v>11730</v>
      </c>
      <c r="J48" s="37"/>
      <c r="K48" s="37"/>
      <c r="L48" s="37"/>
      <c r="M48" s="57" t="s">
        <v>100</v>
      </c>
    </row>
    <row r="49" spans="1:18" ht="10.199999999999999" customHeight="1" x14ac:dyDescent="0.25">
      <c r="A49" s="6">
        <v>39</v>
      </c>
      <c r="B49" s="3" t="s">
        <v>59</v>
      </c>
      <c r="C49" s="29"/>
      <c r="D49" s="37"/>
      <c r="E49" s="38"/>
      <c r="F49" s="58">
        <v>23460</v>
      </c>
      <c r="G49" s="38"/>
      <c r="H49" s="58"/>
      <c r="I49" s="37"/>
      <c r="J49" s="37"/>
      <c r="K49" s="59">
        <v>35893.800000000003</v>
      </c>
      <c r="L49" s="59">
        <v>84221.4</v>
      </c>
      <c r="M49" s="59">
        <v>60057.599999999999</v>
      </c>
    </row>
    <row r="50" spans="1:18" ht="19.2" customHeight="1" x14ac:dyDescent="0.25">
      <c r="A50" s="6">
        <f t="shared" si="0"/>
        <v>40</v>
      </c>
      <c r="B50" s="3" t="s">
        <v>60</v>
      </c>
      <c r="C50" s="29"/>
      <c r="D50" s="37"/>
      <c r="E50" s="38"/>
      <c r="F50" s="38"/>
      <c r="G50" s="38"/>
      <c r="H50" s="38"/>
      <c r="I50" s="56">
        <v>41055</v>
      </c>
      <c r="J50" s="26"/>
      <c r="K50" s="37"/>
      <c r="L50" s="37"/>
      <c r="M50" s="60">
        <v>41055</v>
      </c>
    </row>
    <row r="51" spans="1:18" ht="10.199999999999999" customHeight="1" x14ac:dyDescent="0.25">
      <c r="A51" s="6">
        <f t="shared" si="0"/>
        <v>41</v>
      </c>
      <c r="B51" s="7" t="s">
        <v>61</v>
      </c>
      <c r="C51" s="38">
        <v>24398.400000000001</v>
      </c>
      <c r="D51" s="61"/>
      <c r="E51" s="62"/>
      <c r="F51" s="38"/>
      <c r="G51" s="62"/>
      <c r="H51" s="38"/>
      <c r="I51" s="61"/>
      <c r="J51" s="26"/>
      <c r="K51" s="61"/>
      <c r="L51" s="61"/>
      <c r="M51" s="26">
        <v>24398.400000000001</v>
      </c>
    </row>
    <row r="52" spans="1:18" ht="10.199999999999999" customHeight="1" x14ac:dyDescent="0.25">
      <c r="A52" s="6">
        <f t="shared" si="0"/>
        <v>42</v>
      </c>
      <c r="B52" s="10" t="s">
        <v>62</v>
      </c>
      <c r="C52" s="38">
        <v>24398.400000000001</v>
      </c>
      <c r="D52" s="37"/>
      <c r="E52" s="38"/>
      <c r="F52" s="38"/>
      <c r="G52" s="38"/>
      <c r="H52" s="38"/>
      <c r="I52" s="37"/>
      <c r="J52" s="37"/>
      <c r="K52" s="34">
        <v>23811.9</v>
      </c>
      <c r="L52" s="34">
        <v>23870.55</v>
      </c>
      <c r="M52" s="34">
        <v>23847.09</v>
      </c>
    </row>
    <row r="53" spans="1:18" ht="10.199999999999999" customHeight="1" x14ac:dyDescent="0.25">
      <c r="A53" s="6">
        <f t="shared" si="0"/>
        <v>43</v>
      </c>
      <c r="B53" s="10" t="s">
        <v>63</v>
      </c>
      <c r="C53" s="38">
        <v>24398.400000000001</v>
      </c>
      <c r="D53" s="37"/>
      <c r="E53" s="38"/>
      <c r="F53" s="38"/>
      <c r="G53" s="38"/>
      <c r="H53" s="38"/>
      <c r="I53" s="37"/>
      <c r="J53" s="37"/>
      <c r="K53" s="34">
        <v>50439</v>
      </c>
      <c r="L53" s="87">
        <v>55365.599999999999</v>
      </c>
      <c r="M53" s="87">
        <v>52902.3</v>
      </c>
    </row>
    <row r="54" spans="1:18" ht="10.199999999999999" customHeight="1" x14ac:dyDescent="0.25">
      <c r="A54" s="6">
        <f t="shared" si="0"/>
        <v>44</v>
      </c>
      <c r="B54" s="10" t="s">
        <v>64</v>
      </c>
      <c r="C54" s="38"/>
      <c r="D54" s="37">
        <v>37536</v>
      </c>
      <c r="E54" s="38"/>
      <c r="F54" s="38"/>
      <c r="G54" s="38"/>
      <c r="H54" s="38"/>
      <c r="I54" s="37"/>
      <c r="J54" s="52">
        <v>37536</v>
      </c>
      <c r="K54" s="37"/>
      <c r="L54" s="37"/>
      <c r="M54" s="52">
        <v>37536</v>
      </c>
    </row>
    <row r="55" spans="1:18" ht="10.199999999999999" customHeight="1" x14ac:dyDescent="0.25">
      <c r="A55" s="6">
        <f t="shared" si="0"/>
        <v>45</v>
      </c>
      <c r="B55" s="10" t="s">
        <v>65</v>
      </c>
      <c r="C55" s="38"/>
      <c r="D55" s="37"/>
      <c r="E55" s="38"/>
      <c r="F55" s="38"/>
      <c r="G55" s="38"/>
      <c r="H55" s="38"/>
      <c r="I55" s="37"/>
      <c r="J55" s="54"/>
      <c r="K55" s="37"/>
      <c r="L55" s="37"/>
      <c r="M55" s="54">
        <v>22949.75</v>
      </c>
    </row>
    <row r="56" spans="1:18" s="8" customFormat="1" ht="10.199999999999999" customHeight="1" x14ac:dyDescent="0.25">
      <c r="A56" s="6">
        <f t="shared" si="0"/>
        <v>46</v>
      </c>
      <c r="B56" s="7" t="s">
        <v>66</v>
      </c>
      <c r="C56" s="38">
        <v>25806</v>
      </c>
      <c r="D56" s="37">
        <v>31671</v>
      </c>
      <c r="E56" s="38"/>
      <c r="F56" s="38"/>
      <c r="G56" s="38"/>
      <c r="H56" s="38"/>
      <c r="I56" s="37"/>
      <c r="J56" s="26">
        <v>28738.5</v>
      </c>
      <c r="K56" s="37"/>
      <c r="L56" s="37"/>
      <c r="M56" s="26">
        <v>28738.5</v>
      </c>
      <c r="N56" s="4"/>
      <c r="O56" s="4"/>
      <c r="P56" s="4"/>
      <c r="Q56" s="4"/>
      <c r="R56" s="4"/>
    </row>
    <row r="57" spans="1:18" s="8" customFormat="1" ht="10.199999999999999" customHeight="1" x14ac:dyDescent="0.25">
      <c r="A57" s="6">
        <f t="shared" si="0"/>
        <v>47</v>
      </c>
      <c r="B57" s="7" t="s">
        <v>67</v>
      </c>
      <c r="C57" s="38"/>
      <c r="D57" s="37">
        <v>66861</v>
      </c>
      <c r="E57" s="38"/>
      <c r="F57" s="38"/>
      <c r="G57" s="38"/>
      <c r="H57" s="38"/>
      <c r="I57" s="37"/>
      <c r="J57" s="26">
        <v>66861</v>
      </c>
      <c r="K57" s="86">
        <v>52785</v>
      </c>
      <c r="L57" s="86">
        <v>53019.6</v>
      </c>
      <c r="M57" s="86">
        <v>53019.6</v>
      </c>
      <c r="N57" s="4"/>
      <c r="O57" s="4"/>
      <c r="P57" s="4"/>
      <c r="Q57" s="4"/>
      <c r="R57" s="4"/>
    </row>
    <row r="58" spans="1:18" ht="10.199999999999999" customHeight="1" x14ac:dyDescent="0.25">
      <c r="A58" s="6">
        <f t="shared" si="0"/>
        <v>48</v>
      </c>
      <c r="B58" s="7" t="s">
        <v>68</v>
      </c>
      <c r="C58" s="38">
        <v>25219.5</v>
      </c>
      <c r="D58" s="61"/>
      <c r="E58" s="62"/>
      <c r="F58" s="38"/>
      <c r="G58" s="62"/>
      <c r="H58" s="38"/>
      <c r="I58" s="61"/>
      <c r="J58" s="26">
        <v>25219.5</v>
      </c>
      <c r="K58" s="61"/>
      <c r="L58" s="61"/>
      <c r="M58" s="26">
        <v>25219.5</v>
      </c>
    </row>
    <row r="59" spans="1:18" x14ac:dyDescent="0.25">
      <c r="A59" s="6">
        <f t="shared" si="0"/>
        <v>49</v>
      </c>
      <c r="B59" s="7" t="s">
        <v>69</v>
      </c>
      <c r="C59" s="38"/>
      <c r="D59" s="61">
        <v>82110</v>
      </c>
      <c r="E59" s="62"/>
      <c r="F59" s="38"/>
      <c r="G59" s="62"/>
      <c r="H59" s="38"/>
      <c r="I59" s="61"/>
      <c r="J59" s="26">
        <v>82110</v>
      </c>
      <c r="K59" s="61"/>
      <c r="L59" s="61"/>
      <c r="M59" s="52">
        <v>82110</v>
      </c>
    </row>
    <row r="60" spans="1:18" ht="10.199999999999999" customHeight="1" x14ac:dyDescent="0.25">
      <c r="A60" s="6">
        <f t="shared" si="0"/>
        <v>50</v>
      </c>
      <c r="B60" s="7" t="s">
        <v>70</v>
      </c>
      <c r="C60" s="38">
        <v>26040.6</v>
      </c>
      <c r="D60" s="61">
        <v>29676.9</v>
      </c>
      <c r="E60" s="62"/>
      <c r="F60" s="38"/>
      <c r="G60" s="62"/>
      <c r="H60" s="38"/>
      <c r="I60" s="61"/>
      <c r="J60" s="26">
        <v>27858.75</v>
      </c>
      <c r="K60" s="61"/>
      <c r="L60" s="61"/>
      <c r="M60" s="26">
        <v>27858.75</v>
      </c>
    </row>
    <row r="61" spans="1:18" s="4" customFormat="1" x14ac:dyDescent="0.25">
      <c r="A61" s="6">
        <f t="shared" si="0"/>
        <v>51</v>
      </c>
      <c r="B61" s="7" t="s">
        <v>71</v>
      </c>
      <c r="C61" s="38"/>
      <c r="D61" s="61">
        <v>55717.5</v>
      </c>
      <c r="E61" s="62"/>
      <c r="F61" s="38"/>
      <c r="G61" s="62"/>
      <c r="H61" s="38"/>
      <c r="I61" s="61"/>
      <c r="J61" s="26">
        <v>55717.5</v>
      </c>
      <c r="K61" s="63">
        <v>26979</v>
      </c>
      <c r="L61" s="63">
        <v>44691.3</v>
      </c>
      <c r="M61" s="38">
        <v>55717.5</v>
      </c>
    </row>
    <row r="62" spans="1:18" s="4" customFormat="1" ht="10.199999999999999" customHeight="1" x14ac:dyDescent="0.25">
      <c r="A62" s="6">
        <f t="shared" si="0"/>
        <v>52</v>
      </c>
      <c r="B62" s="7" t="s">
        <v>72</v>
      </c>
      <c r="C62" s="38"/>
      <c r="D62" s="61"/>
      <c r="E62" s="62">
        <v>76245</v>
      </c>
      <c r="F62" s="38">
        <v>83283</v>
      </c>
      <c r="G62" s="62">
        <v>87975</v>
      </c>
      <c r="H62" s="62">
        <v>87975</v>
      </c>
      <c r="I62" s="61"/>
      <c r="J62" s="26">
        <v>83869.5</v>
      </c>
      <c r="K62" s="64">
        <v>104103.75</v>
      </c>
      <c r="L62" s="64">
        <v>117300</v>
      </c>
      <c r="M62" s="26">
        <v>82508.820000000007</v>
      </c>
    </row>
    <row r="63" spans="1:18" s="4" customFormat="1" ht="10.199999999999999" customHeight="1" x14ac:dyDescent="0.25">
      <c r="A63" s="6">
        <f t="shared" si="0"/>
        <v>53</v>
      </c>
      <c r="B63" s="7" t="s">
        <v>73</v>
      </c>
      <c r="C63" s="38"/>
      <c r="D63" s="61"/>
      <c r="E63" s="62">
        <v>53371.5</v>
      </c>
      <c r="F63" s="62">
        <v>58298.1</v>
      </c>
      <c r="G63" s="62">
        <v>61582.5</v>
      </c>
      <c r="H63" s="62">
        <v>61582.5</v>
      </c>
      <c r="I63" s="61"/>
      <c r="J63" s="26">
        <v>58708.65</v>
      </c>
      <c r="K63" s="61"/>
      <c r="L63" s="61"/>
      <c r="M63" s="26">
        <v>57756.17</v>
      </c>
    </row>
    <row r="64" spans="1:18" s="4" customFormat="1" ht="13.2" customHeight="1" x14ac:dyDescent="0.25">
      <c r="A64" s="6">
        <f t="shared" si="0"/>
        <v>54</v>
      </c>
      <c r="B64" s="7" t="s">
        <v>74</v>
      </c>
      <c r="C64" s="38"/>
      <c r="D64" s="65">
        <v>34017</v>
      </c>
      <c r="E64" s="62"/>
      <c r="F64" s="38"/>
      <c r="G64" s="62"/>
      <c r="H64" s="38"/>
      <c r="I64" s="61"/>
      <c r="J64" s="26">
        <v>34017</v>
      </c>
      <c r="K64" s="86">
        <v>37536</v>
      </c>
      <c r="L64" s="87">
        <v>38943.599999999999</v>
      </c>
      <c r="M64" s="80">
        <v>38943.599999999999</v>
      </c>
    </row>
    <row r="65" spans="1:13" s="4" customFormat="1" ht="10.199999999999999" customHeight="1" x14ac:dyDescent="0.25">
      <c r="A65" s="6">
        <f t="shared" si="0"/>
        <v>55</v>
      </c>
      <c r="B65" s="7" t="s">
        <v>75</v>
      </c>
      <c r="C65" s="38"/>
      <c r="D65" s="66">
        <v>41055</v>
      </c>
      <c r="E65" s="62"/>
      <c r="F65" s="38"/>
      <c r="G65" s="62"/>
      <c r="H65" s="38"/>
      <c r="I65" s="61"/>
      <c r="J65" s="26">
        <v>41055</v>
      </c>
      <c r="K65" s="88">
        <v>41055</v>
      </c>
      <c r="L65" s="88">
        <v>41289.599999999999</v>
      </c>
      <c r="M65" s="89">
        <v>41055</v>
      </c>
    </row>
    <row r="66" spans="1:13" s="4" customFormat="1" x14ac:dyDescent="0.25">
      <c r="A66" s="6">
        <f t="shared" si="0"/>
        <v>56</v>
      </c>
      <c r="B66" s="7" t="s">
        <v>76</v>
      </c>
      <c r="C66" s="38"/>
      <c r="D66" s="61">
        <v>105570</v>
      </c>
      <c r="E66" s="62">
        <v>64515</v>
      </c>
      <c r="F66" s="62">
        <v>63928.5</v>
      </c>
      <c r="G66" s="38">
        <v>70380</v>
      </c>
      <c r="H66" s="38">
        <v>67447.5</v>
      </c>
      <c r="I66" s="61"/>
      <c r="J66" s="26">
        <v>66567.75</v>
      </c>
      <c r="K66" s="34">
        <v>88561.5</v>
      </c>
      <c r="L66" s="34">
        <v>89148</v>
      </c>
      <c r="M66" s="93">
        <v>89148</v>
      </c>
    </row>
    <row r="67" spans="1:13" s="4" customFormat="1" ht="10.199999999999999" customHeight="1" x14ac:dyDescent="0.25">
      <c r="A67" s="6">
        <f t="shared" si="0"/>
        <v>57</v>
      </c>
      <c r="B67" s="7" t="s">
        <v>77</v>
      </c>
      <c r="C67" s="38"/>
      <c r="D67" s="61">
        <v>103224</v>
      </c>
      <c r="E67" s="62">
        <v>61934.400000000001</v>
      </c>
      <c r="F67" s="62">
        <v>61582.5</v>
      </c>
      <c r="G67" s="38">
        <v>68034</v>
      </c>
      <c r="H67" s="62">
        <v>65101.5</v>
      </c>
      <c r="I67" s="61"/>
      <c r="J67" s="26">
        <v>64163.1</v>
      </c>
      <c r="K67" s="92">
        <v>72960.600000000006</v>
      </c>
      <c r="L67" s="92">
        <v>92197.8</v>
      </c>
      <c r="M67" s="93">
        <v>82579.199999999997</v>
      </c>
    </row>
    <row r="68" spans="1:13" s="4" customFormat="1" ht="10.199999999999999" customHeight="1" x14ac:dyDescent="0.25">
      <c r="A68" s="6">
        <f t="shared" si="0"/>
        <v>58</v>
      </c>
      <c r="B68" s="7" t="s">
        <v>78</v>
      </c>
      <c r="C68" s="38"/>
      <c r="D68" s="61">
        <v>73899</v>
      </c>
      <c r="E68" s="62">
        <v>33547.800000000003</v>
      </c>
      <c r="F68" s="62">
        <v>41055</v>
      </c>
      <c r="G68" s="62"/>
      <c r="H68" s="62">
        <v>41055</v>
      </c>
      <c r="I68" s="61"/>
      <c r="J68" s="26">
        <v>38556.51</v>
      </c>
      <c r="K68" s="61"/>
      <c r="L68" s="61"/>
      <c r="M68" s="26">
        <v>38556.51</v>
      </c>
    </row>
    <row r="69" spans="1:13" s="4" customFormat="1" ht="16.2" customHeight="1" x14ac:dyDescent="0.25">
      <c r="A69" s="6">
        <f t="shared" si="0"/>
        <v>59</v>
      </c>
      <c r="B69" s="7" t="s">
        <v>79</v>
      </c>
      <c r="C69" s="38"/>
      <c r="D69" s="61"/>
      <c r="E69" s="62">
        <v>21114</v>
      </c>
      <c r="F69" s="38"/>
      <c r="G69" s="62"/>
      <c r="H69" s="38"/>
      <c r="I69" s="61"/>
      <c r="J69" s="26">
        <v>21114</v>
      </c>
      <c r="K69" s="71">
        <v>57477</v>
      </c>
      <c r="L69" s="71">
        <v>63576.6</v>
      </c>
      <c r="M69" s="72">
        <v>60526.8</v>
      </c>
    </row>
    <row r="70" spans="1:13" s="4" customFormat="1" ht="11.4" customHeight="1" x14ac:dyDescent="0.25">
      <c r="A70" s="6">
        <f t="shared" ref="A70:A81" si="1">A69+1</f>
        <v>60</v>
      </c>
      <c r="B70" s="7" t="s">
        <v>80</v>
      </c>
      <c r="C70" s="38"/>
      <c r="D70" s="61"/>
      <c r="E70" s="62"/>
      <c r="F70" s="38"/>
      <c r="G70" s="62"/>
      <c r="H70" s="38"/>
      <c r="I70" s="61"/>
      <c r="J70" s="26"/>
      <c r="K70" s="61"/>
      <c r="L70" s="61"/>
      <c r="M70" s="52">
        <v>42368.76</v>
      </c>
    </row>
    <row r="71" spans="1:13" s="4" customFormat="1" ht="10.199999999999999" customHeight="1" x14ac:dyDescent="0.25">
      <c r="A71" s="6">
        <f t="shared" si="1"/>
        <v>61</v>
      </c>
      <c r="B71" s="7" t="s">
        <v>81</v>
      </c>
      <c r="C71" s="38"/>
      <c r="D71" s="61">
        <v>161874</v>
      </c>
      <c r="E71" s="62">
        <v>84456</v>
      </c>
      <c r="F71" s="62">
        <v>152490</v>
      </c>
      <c r="G71" s="62"/>
      <c r="H71" s="62"/>
      <c r="I71" s="61"/>
      <c r="J71" s="26">
        <v>118473</v>
      </c>
      <c r="K71" s="92">
        <v>117300</v>
      </c>
      <c r="L71" s="92">
        <v>261579</v>
      </c>
      <c r="M71" s="93">
        <v>149369.82</v>
      </c>
    </row>
    <row r="72" spans="1:13" s="4" customFormat="1" ht="25.8" customHeight="1" x14ac:dyDescent="0.25">
      <c r="A72" s="6">
        <f t="shared" si="1"/>
        <v>62</v>
      </c>
      <c r="B72" s="7" t="s">
        <v>82</v>
      </c>
      <c r="C72" s="38"/>
      <c r="D72" s="61"/>
      <c r="E72" s="62"/>
      <c r="F72" s="62"/>
      <c r="G72" s="62"/>
      <c r="H72" s="62"/>
      <c r="I72" s="61"/>
      <c r="J72" s="26"/>
      <c r="K72" s="61"/>
      <c r="L72" s="61"/>
      <c r="M72" s="52">
        <v>42228</v>
      </c>
    </row>
    <row r="73" spans="1:13" s="4" customFormat="1" ht="10.199999999999999" customHeight="1" x14ac:dyDescent="0.25">
      <c r="A73" s="6">
        <f t="shared" si="1"/>
        <v>63</v>
      </c>
      <c r="B73" s="7" t="s">
        <v>83</v>
      </c>
      <c r="C73" s="38"/>
      <c r="D73" s="61"/>
      <c r="E73" s="62"/>
      <c r="F73" s="62"/>
      <c r="G73" s="62"/>
      <c r="H73" s="62"/>
      <c r="I73" s="61"/>
      <c r="J73" s="26"/>
      <c r="K73" s="61"/>
      <c r="L73" s="61"/>
      <c r="M73" s="52">
        <v>29559.599999999999</v>
      </c>
    </row>
    <row r="74" spans="1:13" s="4" customFormat="1" ht="10.199999999999999" customHeight="1" x14ac:dyDescent="0.25">
      <c r="A74" s="6">
        <f t="shared" si="1"/>
        <v>64</v>
      </c>
      <c r="B74" s="7" t="s">
        <v>84</v>
      </c>
      <c r="C74" s="38"/>
      <c r="D74" s="61"/>
      <c r="E74" s="62">
        <v>187680</v>
      </c>
      <c r="F74" s="62">
        <v>152490</v>
      </c>
      <c r="G74" s="62">
        <v>175950</v>
      </c>
      <c r="H74" s="62"/>
      <c r="I74" s="61"/>
      <c r="J74" s="26">
        <v>172043.91</v>
      </c>
      <c r="K74" s="61"/>
      <c r="L74" s="61"/>
      <c r="M74" s="26">
        <v>172043.91</v>
      </c>
    </row>
    <row r="75" spans="1:13" s="4" customFormat="1" ht="10.199999999999999" customHeight="1" x14ac:dyDescent="0.25">
      <c r="A75" s="6">
        <f t="shared" si="1"/>
        <v>65</v>
      </c>
      <c r="B75" s="7" t="s">
        <v>85</v>
      </c>
      <c r="C75" s="38"/>
      <c r="D75" s="61"/>
      <c r="E75" s="62">
        <v>131376</v>
      </c>
      <c r="F75" s="62">
        <v>106743</v>
      </c>
      <c r="G75" s="62">
        <v>123165</v>
      </c>
      <c r="H75" s="62"/>
      <c r="I75" s="61"/>
      <c r="J75" s="26">
        <v>120431.91</v>
      </c>
      <c r="K75" s="73">
        <v>109089</v>
      </c>
      <c r="L75" s="61"/>
      <c r="M75" s="26">
        <v>120431.91</v>
      </c>
    </row>
    <row r="76" spans="1:13" s="4" customFormat="1" ht="10.199999999999999" customHeight="1" x14ac:dyDescent="0.25">
      <c r="A76" s="6">
        <f t="shared" si="1"/>
        <v>66</v>
      </c>
      <c r="B76" s="17" t="s">
        <v>86</v>
      </c>
      <c r="C76" s="38"/>
      <c r="D76" s="61">
        <v>40233.9</v>
      </c>
      <c r="E76" s="62"/>
      <c r="F76" s="62"/>
      <c r="G76" s="62"/>
      <c r="H76" s="62"/>
      <c r="I76" s="61"/>
      <c r="J76" s="26">
        <v>40233.9</v>
      </c>
      <c r="K76" s="61"/>
      <c r="L76" s="61"/>
      <c r="M76" s="26"/>
    </row>
    <row r="77" spans="1:13" s="4" customFormat="1" ht="10.199999999999999" customHeight="1" x14ac:dyDescent="0.25">
      <c r="A77" s="6">
        <f t="shared" si="1"/>
        <v>67</v>
      </c>
      <c r="B77" s="7" t="s">
        <v>87</v>
      </c>
      <c r="C77" s="38">
        <v>42228</v>
      </c>
      <c r="D77" s="65"/>
      <c r="E77" s="62"/>
      <c r="F77" s="62"/>
      <c r="G77" s="62"/>
      <c r="H77" s="62"/>
      <c r="I77" s="61"/>
      <c r="J77" s="26">
        <v>42228</v>
      </c>
      <c r="K77" s="61"/>
      <c r="L77" s="61"/>
      <c r="M77" s="52">
        <v>42228</v>
      </c>
    </row>
    <row r="78" spans="1:13" s="4" customFormat="1" ht="12.6" customHeight="1" x14ac:dyDescent="0.25">
      <c r="A78" s="6">
        <f t="shared" si="1"/>
        <v>68</v>
      </c>
      <c r="B78" s="7" t="s">
        <v>88</v>
      </c>
      <c r="C78" s="38"/>
      <c r="D78" s="61"/>
      <c r="E78" s="62">
        <v>84456</v>
      </c>
      <c r="F78" s="62">
        <v>105570</v>
      </c>
      <c r="G78" s="62"/>
      <c r="H78" s="62"/>
      <c r="I78" s="61"/>
      <c r="J78" s="26">
        <v>95013</v>
      </c>
      <c r="K78" s="61"/>
      <c r="L78" s="61"/>
      <c r="M78" s="74">
        <v>95013</v>
      </c>
    </row>
    <row r="79" spans="1:13" s="4" customFormat="1" ht="23.4" customHeight="1" x14ac:dyDescent="0.25">
      <c r="A79" s="6">
        <f t="shared" si="1"/>
        <v>69</v>
      </c>
      <c r="B79" s="17" t="s">
        <v>89</v>
      </c>
      <c r="C79" s="38"/>
      <c r="D79" s="61"/>
      <c r="E79" s="62"/>
      <c r="F79" s="62"/>
      <c r="G79" s="62"/>
      <c r="H79" s="62"/>
      <c r="I79" s="61"/>
      <c r="J79" s="26"/>
      <c r="K79" s="75">
        <v>34603.5</v>
      </c>
      <c r="L79" s="75">
        <v>36644.519999999997</v>
      </c>
      <c r="M79" s="60">
        <v>34603.5</v>
      </c>
    </row>
    <row r="80" spans="1:13" s="4" customFormat="1" ht="23.4" customHeight="1" x14ac:dyDescent="0.25">
      <c r="A80" s="6">
        <f t="shared" si="1"/>
        <v>70</v>
      </c>
      <c r="B80" s="17" t="s">
        <v>90</v>
      </c>
      <c r="C80" s="38"/>
      <c r="D80" s="61"/>
      <c r="E80" s="62"/>
      <c r="F80" s="62"/>
      <c r="G80" s="62"/>
      <c r="H80" s="62"/>
      <c r="I80" s="61"/>
      <c r="J80" s="26"/>
      <c r="K80" s="75"/>
      <c r="L80" s="87">
        <v>38720.730000000003</v>
      </c>
      <c r="M80" s="60">
        <v>46920</v>
      </c>
    </row>
    <row r="81" spans="1:13" s="4" customFormat="1" ht="15.9" customHeight="1" x14ac:dyDescent="0.25">
      <c r="A81" s="6">
        <f t="shared" si="1"/>
        <v>71</v>
      </c>
      <c r="B81" s="7" t="s">
        <v>91</v>
      </c>
      <c r="C81" s="38">
        <v>24633</v>
      </c>
      <c r="D81" s="65"/>
      <c r="E81" s="62"/>
      <c r="F81" s="62"/>
      <c r="G81" s="62"/>
      <c r="H81" s="62"/>
      <c r="I81" s="61"/>
      <c r="J81" s="61"/>
      <c r="K81" s="94">
        <v>71553</v>
      </c>
      <c r="L81" s="87">
        <v>105570</v>
      </c>
      <c r="M81" s="94">
        <v>88561.5</v>
      </c>
    </row>
  </sheetData>
  <mergeCells count="12">
    <mergeCell ref="M1:M3"/>
    <mergeCell ref="C2:C3"/>
    <mergeCell ref="D2:D3"/>
    <mergeCell ref="E2:E3"/>
    <mergeCell ref="F2:F3"/>
    <mergeCell ref="G2:G3"/>
    <mergeCell ref="H2:H3"/>
    <mergeCell ref="I2:I3"/>
    <mergeCell ref="K2:L2"/>
    <mergeCell ref="A1:A3"/>
    <mergeCell ref="B1:B3"/>
    <mergeCell ref="J1:J3"/>
  </mergeCells>
  <pageMargins left="0.7" right="0.7" top="0.75" bottom="0.75" header="0.3" footer="0.3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81"/>
  <sheetViews>
    <sheetView workbookViewId="0">
      <selection sqref="A1:A3"/>
    </sheetView>
  </sheetViews>
  <sheetFormatPr defaultRowHeight="13.2" x14ac:dyDescent="0.25"/>
  <cols>
    <col min="1" max="1" width="5.33203125" style="4" customWidth="1"/>
    <col min="2" max="2" width="51.88671875" style="4" customWidth="1"/>
    <col min="3" max="3" width="10.6640625" style="4" customWidth="1"/>
    <col min="4" max="4" width="15.33203125" style="4" customWidth="1"/>
    <col min="5" max="5" width="11.5546875" style="4" customWidth="1"/>
    <col min="6" max="6" width="10.109375" style="4" customWidth="1"/>
    <col min="7" max="8" width="10.5546875" style="4" customWidth="1"/>
    <col min="9" max="9" width="9.88671875" style="4" customWidth="1"/>
    <col min="10" max="10" width="12.109375" style="4" customWidth="1"/>
    <col min="11" max="11" width="10.6640625" style="4" customWidth="1"/>
    <col min="12" max="12" width="12.5546875" style="4" customWidth="1"/>
    <col min="13" max="13" width="14.109375" style="4" customWidth="1"/>
  </cols>
  <sheetData>
    <row r="1" spans="1:13" ht="10.199999999999999" customHeight="1" x14ac:dyDescent="0.25">
      <c r="A1" s="104" t="s">
        <v>0</v>
      </c>
      <c r="B1" s="109" t="s">
        <v>1</v>
      </c>
      <c r="C1" s="12"/>
      <c r="D1" s="13"/>
      <c r="E1" s="13"/>
      <c r="F1" s="11"/>
      <c r="G1" s="5"/>
      <c r="H1" s="5"/>
      <c r="I1" s="5"/>
      <c r="J1" s="112" t="s">
        <v>2</v>
      </c>
      <c r="K1" s="16"/>
      <c r="L1" s="5"/>
      <c r="M1" s="112" t="s">
        <v>3</v>
      </c>
    </row>
    <row r="2" spans="1:13" ht="22.2" customHeight="1" x14ac:dyDescent="0.25">
      <c r="A2" s="108"/>
      <c r="B2" s="110"/>
      <c r="C2" s="102" t="s">
        <v>4</v>
      </c>
      <c r="D2" s="104" t="s">
        <v>5</v>
      </c>
      <c r="E2" s="102" t="s">
        <v>6</v>
      </c>
      <c r="F2" s="102" t="s">
        <v>7</v>
      </c>
      <c r="G2" s="102" t="s">
        <v>8</v>
      </c>
      <c r="H2" s="102" t="s">
        <v>9</v>
      </c>
      <c r="I2" s="104" t="s">
        <v>10</v>
      </c>
      <c r="J2" s="113"/>
      <c r="K2" s="121" t="s">
        <v>97</v>
      </c>
      <c r="L2" s="122"/>
      <c r="M2" s="113"/>
    </row>
    <row r="3" spans="1:13" ht="34.799999999999997" customHeight="1" x14ac:dyDescent="0.25">
      <c r="A3" s="105"/>
      <c r="B3" s="111"/>
      <c r="C3" s="103"/>
      <c r="D3" s="105"/>
      <c r="E3" s="103"/>
      <c r="F3" s="103" t="s">
        <v>7</v>
      </c>
      <c r="G3" s="103"/>
      <c r="H3" s="103" t="s">
        <v>7</v>
      </c>
      <c r="I3" s="105"/>
      <c r="J3" s="114"/>
      <c r="K3" s="18" t="s">
        <v>98</v>
      </c>
      <c r="L3" s="18" t="s">
        <v>13</v>
      </c>
      <c r="M3" s="114"/>
    </row>
    <row r="4" spans="1:13" ht="10.199999999999999" customHeight="1" x14ac:dyDescent="0.25">
      <c r="A4" s="6">
        <v>1</v>
      </c>
      <c r="B4" s="9" t="s">
        <v>14</v>
      </c>
      <c r="C4" s="23"/>
      <c r="D4" s="24"/>
      <c r="E4" s="25">
        <v>832830</v>
      </c>
      <c r="F4" s="25">
        <v>929016</v>
      </c>
      <c r="G4" s="25">
        <v>926670</v>
      </c>
      <c r="H4" s="25">
        <v>938400</v>
      </c>
      <c r="I4" s="24"/>
      <c r="J4" s="26">
        <v>906729</v>
      </c>
      <c r="K4" s="41">
        <v>797640</v>
      </c>
      <c r="L4" s="41">
        <v>905556</v>
      </c>
      <c r="M4" s="42">
        <v>851598</v>
      </c>
    </row>
    <row r="5" spans="1:13" ht="10.199999999999999" customHeight="1" x14ac:dyDescent="0.25">
      <c r="A5" s="6">
        <v>2</v>
      </c>
      <c r="B5" s="9" t="s">
        <v>15</v>
      </c>
      <c r="C5" s="23"/>
      <c r="D5" s="24"/>
      <c r="E5" s="25">
        <v>821100</v>
      </c>
      <c r="F5" s="25">
        <v>929016</v>
      </c>
      <c r="G5" s="25">
        <v>914940</v>
      </c>
      <c r="H5" s="25">
        <v>926670</v>
      </c>
      <c r="I5" s="24"/>
      <c r="J5" s="26">
        <v>897931.5</v>
      </c>
      <c r="K5" s="24"/>
      <c r="L5" s="24"/>
      <c r="M5" s="26"/>
    </row>
    <row r="6" spans="1:13" ht="10.199999999999999" customHeight="1" x14ac:dyDescent="0.25">
      <c r="A6" s="6">
        <v>3</v>
      </c>
      <c r="B6" s="2" t="s">
        <v>16</v>
      </c>
      <c r="C6" s="29"/>
      <c r="D6" s="24"/>
      <c r="E6" s="25">
        <v>715530</v>
      </c>
      <c r="F6" s="25"/>
      <c r="G6" s="30">
        <v>748765</v>
      </c>
      <c r="H6" s="25"/>
      <c r="I6" s="24"/>
      <c r="J6" s="26">
        <v>732151.41</v>
      </c>
      <c r="K6" s="87">
        <v>715530</v>
      </c>
      <c r="L6" s="87">
        <v>921098.25</v>
      </c>
      <c r="M6" s="42">
        <v>818319.99</v>
      </c>
    </row>
    <row r="7" spans="1:13" ht="10.199999999999999" customHeight="1" x14ac:dyDescent="0.25">
      <c r="A7" s="6">
        <v>4</v>
      </c>
      <c r="B7" s="2" t="s">
        <v>17</v>
      </c>
      <c r="C7" s="29"/>
      <c r="D7" s="24"/>
      <c r="E7" s="25">
        <v>727260</v>
      </c>
      <c r="F7" s="25">
        <v>785910</v>
      </c>
      <c r="G7" s="25">
        <v>774180</v>
      </c>
      <c r="H7" s="32"/>
      <c r="I7" s="24"/>
      <c r="J7" s="26">
        <v>762450</v>
      </c>
      <c r="K7" s="41">
        <v>707319</v>
      </c>
      <c r="L7" s="41">
        <v>774180</v>
      </c>
      <c r="M7" s="42">
        <v>740749.5</v>
      </c>
    </row>
    <row r="8" spans="1:13" ht="10.199999999999999" customHeight="1" x14ac:dyDescent="0.25">
      <c r="A8" s="6"/>
      <c r="B8" s="2" t="s">
        <v>18</v>
      </c>
      <c r="C8" s="29"/>
      <c r="D8" s="24"/>
      <c r="E8" s="25">
        <v>582981</v>
      </c>
      <c r="F8" s="25">
        <v>650311.19999999995</v>
      </c>
      <c r="G8" s="25">
        <v>648669</v>
      </c>
      <c r="H8" s="25">
        <v>656880</v>
      </c>
      <c r="I8" s="24"/>
      <c r="J8" s="26">
        <v>634710.30000000005</v>
      </c>
      <c r="K8" s="24"/>
      <c r="L8" s="24"/>
      <c r="M8" s="42"/>
    </row>
    <row r="9" spans="1:13" ht="10.199999999999999" customHeight="1" x14ac:dyDescent="0.25">
      <c r="A9" s="6">
        <v>5</v>
      </c>
      <c r="B9" s="2" t="s">
        <v>19</v>
      </c>
      <c r="C9" s="29"/>
      <c r="D9" s="24"/>
      <c r="E9" s="25">
        <v>500049.9</v>
      </c>
      <c r="F9" s="25">
        <v>565770.74</v>
      </c>
      <c r="G9" s="25">
        <v>557198.46</v>
      </c>
      <c r="H9" s="25">
        <v>564342.03</v>
      </c>
      <c r="I9" s="24"/>
      <c r="J9" s="26">
        <v>546840.87</v>
      </c>
      <c r="K9" s="79">
        <v>480930</v>
      </c>
      <c r="L9" s="79">
        <v>507909</v>
      </c>
      <c r="M9" s="80">
        <v>494419.5</v>
      </c>
    </row>
    <row r="10" spans="1:13" ht="10.199999999999999" customHeight="1" x14ac:dyDescent="0.25">
      <c r="A10" s="6">
        <v>6</v>
      </c>
      <c r="B10" s="14" t="s">
        <v>20</v>
      </c>
      <c r="C10" s="29"/>
      <c r="D10" s="24"/>
      <c r="E10" s="30">
        <v>633420</v>
      </c>
      <c r="F10" s="25">
        <v>645150</v>
      </c>
      <c r="G10" s="25"/>
      <c r="H10" s="25"/>
      <c r="I10" s="24"/>
      <c r="J10" s="26">
        <v>639285</v>
      </c>
      <c r="K10" s="24"/>
      <c r="L10" s="24"/>
      <c r="M10" s="26"/>
    </row>
    <row r="11" spans="1:13" ht="10.199999999999999" customHeight="1" x14ac:dyDescent="0.25">
      <c r="A11" s="6">
        <v>7</v>
      </c>
      <c r="B11" s="2" t="s">
        <v>21</v>
      </c>
      <c r="C11" s="29"/>
      <c r="D11" s="24"/>
      <c r="E11" s="25">
        <v>412896</v>
      </c>
      <c r="F11" s="25">
        <v>482806.8</v>
      </c>
      <c r="G11" s="25">
        <v>457470</v>
      </c>
      <c r="H11" s="25">
        <v>478349.4</v>
      </c>
      <c r="I11" s="24"/>
      <c r="J11" s="26">
        <v>457880.55</v>
      </c>
      <c r="K11" s="41">
        <v>315537</v>
      </c>
      <c r="L11" s="41">
        <v>316710</v>
      </c>
      <c r="M11" s="26"/>
    </row>
    <row r="12" spans="1:13" ht="10.199999999999999" customHeight="1" x14ac:dyDescent="0.25">
      <c r="A12" s="6">
        <v>8</v>
      </c>
      <c r="B12" s="2" t="s">
        <v>22</v>
      </c>
      <c r="C12" s="29"/>
      <c r="D12" s="24"/>
      <c r="E12" s="25">
        <v>643977</v>
      </c>
      <c r="F12" s="25">
        <v>708374.7</v>
      </c>
      <c r="G12" s="25">
        <v>751306.5</v>
      </c>
      <c r="H12" s="25">
        <v>751306.5</v>
      </c>
      <c r="I12" s="24"/>
      <c r="J12" s="26">
        <v>713747.04</v>
      </c>
      <c r="K12" s="53">
        <v>900864</v>
      </c>
      <c r="L12" s="83">
        <v>719049</v>
      </c>
      <c r="M12" s="26"/>
    </row>
    <row r="13" spans="1:13" ht="10.199999999999999" customHeight="1" x14ac:dyDescent="0.25">
      <c r="A13" s="6">
        <v>9</v>
      </c>
      <c r="B13" s="2" t="s">
        <v>23</v>
      </c>
      <c r="C13" s="29"/>
      <c r="D13" s="24"/>
      <c r="E13" s="25">
        <v>392955</v>
      </c>
      <c r="F13" s="25">
        <v>518700.6</v>
      </c>
      <c r="G13" s="25">
        <v>550137</v>
      </c>
      <c r="H13" s="25">
        <v>392955</v>
      </c>
      <c r="I13" s="24"/>
      <c r="J13" s="26">
        <v>463686.9</v>
      </c>
      <c r="K13" s="53">
        <v>599403</v>
      </c>
      <c r="L13" s="97">
        <v>445740</v>
      </c>
      <c r="M13" s="26"/>
    </row>
    <row r="14" spans="1:13" ht="10.199999999999999" customHeight="1" x14ac:dyDescent="0.25">
      <c r="A14" s="6">
        <v>10</v>
      </c>
      <c r="B14" s="2" t="s">
        <v>24</v>
      </c>
      <c r="C14" s="29"/>
      <c r="D14" s="24"/>
      <c r="E14" s="25">
        <v>140760</v>
      </c>
      <c r="F14" s="25">
        <v>185334</v>
      </c>
      <c r="G14" s="25">
        <v>152490</v>
      </c>
      <c r="H14" s="25">
        <v>179469</v>
      </c>
      <c r="I14" s="24"/>
      <c r="J14" s="26">
        <v>164513.25</v>
      </c>
      <c r="K14" s="41">
        <v>134895</v>
      </c>
      <c r="L14" s="41">
        <v>143692.5</v>
      </c>
      <c r="M14" s="42">
        <v>139293.75</v>
      </c>
    </row>
    <row r="15" spans="1:13" ht="10.199999999999999" customHeight="1" x14ac:dyDescent="0.25">
      <c r="A15" s="6">
        <v>11</v>
      </c>
      <c r="B15" s="2" t="s">
        <v>25</v>
      </c>
      <c r="C15" s="36"/>
      <c r="D15" s="37"/>
      <c r="E15" s="38">
        <v>140760</v>
      </c>
      <c r="F15" s="25"/>
      <c r="G15" s="25">
        <v>175950</v>
      </c>
      <c r="H15" s="38"/>
      <c r="I15" s="24"/>
      <c r="J15" s="26">
        <v>158355</v>
      </c>
      <c r="K15" s="41">
        <v>140760</v>
      </c>
      <c r="L15" s="41">
        <v>225216</v>
      </c>
      <c r="M15" s="42">
        <v>182988</v>
      </c>
    </row>
    <row r="16" spans="1:13" s="15" customFormat="1" ht="10.199999999999999" customHeight="1" x14ac:dyDescent="0.25">
      <c r="A16" s="6">
        <v>12</v>
      </c>
      <c r="B16" s="2" t="s">
        <v>26</v>
      </c>
      <c r="C16" s="36"/>
      <c r="D16" s="37"/>
      <c r="E16" s="38">
        <v>82110</v>
      </c>
      <c r="F16" s="25">
        <v>99705</v>
      </c>
      <c r="G16" s="25">
        <v>82110</v>
      </c>
      <c r="H16" s="38">
        <v>87975</v>
      </c>
      <c r="I16" s="24"/>
      <c r="J16" s="26">
        <v>87975</v>
      </c>
      <c r="K16" s="81">
        <v>79764</v>
      </c>
      <c r="L16" s="81">
        <v>99705</v>
      </c>
      <c r="M16" s="82">
        <v>89734.5</v>
      </c>
    </row>
    <row r="17" spans="1:13" ht="10.199999999999999" customHeight="1" x14ac:dyDescent="0.25">
      <c r="A17" s="6">
        <v>13</v>
      </c>
      <c r="B17" s="2" t="s">
        <v>27</v>
      </c>
      <c r="C17" s="36"/>
      <c r="D17" s="37"/>
      <c r="E17" s="38"/>
      <c r="F17" s="25"/>
      <c r="G17" s="25"/>
      <c r="H17" s="38"/>
      <c r="I17" s="24"/>
      <c r="J17" s="26"/>
      <c r="K17" s="41">
        <v>51612</v>
      </c>
      <c r="L17" s="41">
        <v>51846.6</v>
      </c>
      <c r="M17" s="42">
        <v>51729.3</v>
      </c>
    </row>
    <row r="18" spans="1:13" ht="21.6" customHeight="1" x14ac:dyDescent="0.25">
      <c r="A18" s="6">
        <v>14</v>
      </c>
      <c r="B18" s="2" t="s">
        <v>28</v>
      </c>
      <c r="C18" s="36"/>
      <c r="D18" s="37"/>
      <c r="E18" s="38">
        <v>140760</v>
      </c>
      <c r="F18" s="38">
        <v>185334</v>
      </c>
      <c r="G18" s="38">
        <v>152490</v>
      </c>
      <c r="H18" s="38">
        <v>179469</v>
      </c>
      <c r="I18" s="24"/>
      <c r="J18" s="26">
        <v>164513.25</v>
      </c>
      <c r="K18" s="95">
        <v>164806.5</v>
      </c>
      <c r="L18" s="95">
        <v>253368</v>
      </c>
      <c r="M18" s="80">
        <v>209087.25</v>
      </c>
    </row>
    <row r="19" spans="1:13" ht="12" customHeight="1" x14ac:dyDescent="0.25">
      <c r="A19" s="6"/>
      <c r="B19" s="2" t="s">
        <v>29</v>
      </c>
      <c r="C19" s="36"/>
      <c r="D19" s="37"/>
      <c r="E19" s="38">
        <v>211843.8</v>
      </c>
      <c r="F19" s="38">
        <v>245344.68</v>
      </c>
      <c r="G19" s="38">
        <v>226623.6</v>
      </c>
      <c r="H19" s="38">
        <v>236476.79999999999</v>
      </c>
      <c r="I19" s="24"/>
      <c r="J19" s="26">
        <v>230072.22</v>
      </c>
      <c r="K19" s="43">
        <v>134895</v>
      </c>
      <c r="L19" s="43">
        <v>175950</v>
      </c>
      <c r="M19" s="26"/>
    </row>
    <row r="20" spans="1:13" ht="10.199999999999999" customHeight="1" x14ac:dyDescent="0.25">
      <c r="A20" s="6">
        <v>15</v>
      </c>
      <c r="B20" s="2" t="s">
        <v>30</v>
      </c>
      <c r="C20" s="36"/>
      <c r="D20" s="37"/>
      <c r="E20" s="38">
        <v>504390</v>
      </c>
      <c r="F20" s="25">
        <v>584154</v>
      </c>
      <c r="G20" s="25">
        <v>539580</v>
      </c>
      <c r="H20" s="38">
        <v>563040</v>
      </c>
      <c r="I20" s="24"/>
      <c r="J20" s="26">
        <v>547791</v>
      </c>
      <c r="K20" s="41">
        <v>492660</v>
      </c>
      <c r="L20" s="41">
        <v>563040</v>
      </c>
      <c r="M20" s="42">
        <v>527850</v>
      </c>
    </row>
    <row r="21" spans="1:13" ht="10.199999999999999" customHeight="1" x14ac:dyDescent="0.25">
      <c r="A21" s="6">
        <v>16</v>
      </c>
      <c r="B21" s="2" t="s">
        <v>31</v>
      </c>
      <c r="C21" s="36"/>
      <c r="D21" s="37"/>
      <c r="E21" s="38">
        <v>410550</v>
      </c>
      <c r="F21" s="25">
        <v>510255</v>
      </c>
      <c r="G21" s="25">
        <v>480930</v>
      </c>
      <c r="H21" s="38">
        <v>492660</v>
      </c>
      <c r="I21" s="24"/>
      <c r="J21" s="26">
        <v>473598.75</v>
      </c>
      <c r="K21" s="41">
        <v>469200</v>
      </c>
      <c r="L21" s="41">
        <v>548377.5</v>
      </c>
      <c r="M21" s="42">
        <v>508788.75</v>
      </c>
    </row>
    <row r="22" spans="1:13" ht="10.199999999999999" customHeight="1" x14ac:dyDescent="0.25">
      <c r="A22" s="6">
        <v>17</v>
      </c>
      <c r="B22" s="2" t="s">
        <v>32</v>
      </c>
      <c r="C22" s="36"/>
      <c r="D22" s="37"/>
      <c r="E22" s="38">
        <v>516120</v>
      </c>
      <c r="F22" s="38">
        <v>592365</v>
      </c>
      <c r="G22" s="38">
        <v>563040</v>
      </c>
      <c r="H22" s="38"/>
      <c r="I22" s="24"/>
      <c r="J22" s="26">
        <v>557175</v>
      </c>
      <c r="K22" s="81">
        <v>491487</v>
      </c>
      <c r="L22" s="81">
        <v>498525</v>
      </c>
      <c r="M22" s="82">
        <v>495006</v>
      </c>
    </row>
    <row r="23" spans="1:13" ht="10.199999999999999" customHeight="1" x14ac:dyDescent="0.25">
      <c r="A23" s="6">
        <v>18</v>
      </c>
      <c r="B23" s="2" t="s">
        <v>33</v>
      </c>
      <c r="C23" s="36"/>
      <c r="D23" s="37"/>
      <c r="E23" s="38">
        <v>422280</v>
      </c>
      <c r="F23" s="38">
        <v>510255</v>
      </c>
      <c r="G23" s="38">
        <v>492660</v>
      </c>
      <c r="H23" s="38"/>
      <c r="I23" s="24"/>
      <c r="J23" s="26">
        <v>475065</v>
      </c>
      <c r="K23" s="46">
        <v>383571</v>
      </c>
      <c r="L23" s="46">
        <v>521398.5</v>
      </c>
      <c r="M23" s="26"/>
    </row>
    <row r="24" spans="1:13" ht="10.199999999999999" customHeight="1" x14ac:dyDescent="0.25">
      <c r="A24" s="6">
        <v>19</v>
      </c>
      <c r="B24" s="1" t="s">
        <v>34</v>
      </c>
      <c r="C24" s="47"/>
      <c r="D24" s="37"/>
      <c r="E24" s="38">
        <v>504390</v>
      </c>
      <c r="F24" s="25">
        <v>592365</v>
      </c>
      <c r="G24" s="25">
        <v>551310</v>
      </c>
      <c r="H24" s="38">
        <v>563040</v>
      </c>
      <c r="I24" s="24"/>
      <c r="J24" s="26">
        <v>552776.25</v>
      </c>
      <c r="K24" s="53">
        <v>416415</v>
      </c>
      <c r="L24" s="53">
        <v>419934</v>
      </c>
      <c r="M24" s="26"/>
    </row>
    <row r="25" spans="1:13" ht="10.199999999999999" customHeight="1" x14ac:dyDescent="0.25">
      <c r="A25" s="6">
        <v>20</v>
      </c>
      <c r="B25" s="2" t="s">
        <v>35</v>
      </c>
      <c r="C25" s="36"/>
      <c r="D25" s="37"/>
      <c r="E25" s="38">
        <v>609960</v>
      </c>
      <c r="F25" s="25">
        <v>645150</v>
      </c>
      <c r="G25" s="25">
        <v>633420</v>
      </c>
      <c r="H25" s="38">
        <v>668610</v>
      </c>
      <c r="I25" s="24"/>
      <c r="J25" s="26">
        <v>639285</v>
      </c>
      <c r="K25" s="81">
        <v>570078</v>
      </c>
      <c r="L25" s="81">
        <v>627555</v>
      </c>
      <c r="M25" s="82">
        <v>598816.5</v>
      </c>
    </row>
    <row r="26" spans="1:13" ht="10.8" customHeight="1" x14ac:dyDescent="0.25">
      <c r="A26" s="6">
        <v>21</v>
      </c>
      <c r="B26" s="2" t="s">
        <v>36</v>
      </c>
      <c r="C26" s="36"/>
      <c r="D26" s="37"/>
      <c r="E26" s="38">
        <v>609960</v>
      </c>
      <c r="F26" s="25">
        <v>656880</v>
      </c>
      <c r="G26" s="25">
        <v>668610</v>
      </c>
      <c r="H26" s="38"/>
      <c r="I26" s="24"/>
      <c r="J26" s="26">
        <v>645150</v>
      </c>
      <c r="K26" s="41">
        <v>621690</v>
      </c>
      <c r="L26" s="41">
        <v>778090</v>
      </c>
      <c r="M26" s="42">
        <v>699893.91</v>
      </c>
    </row>
    <row r="27" spans="1:13" ht="10.199999999999999" customHeight="1" x14ac:dyDescent="0.25">
      <c r="A27" s="6">
        <v>22</v>
      </c>
      <c r="B27" s="2" t="s">
        <v>37</v>
      </c>
      <c r="C27" s="36"/>
      <c r="D27" s="37"/>
      <c r="E27" s="38">
        <v>539580</v>
      </c>
      <c r="F27" s="25">
        <v>574770</v>
      </c>
      <c r="G27" s="25">
        <v>539580</v>
      </c>
      <c r="H27" s="38"/>
      <c r="I27" s="24"/>
      <c r="J27" s="26">
        <v>551310</v>
      </c>
      <c r="K27" s="41">
        <v>598230</v>
      </c>
      <c r="L27" s="41">
        <v>723741</v>
      </c>
      <c r="M27" s="42">
        <v>637525.5</v>
      </c>
    </row>
    <row r="28" spans="1:13" ht="10.199999999999999" customHeight="1" x14ac:dyDescent="0.25">
      <c r="A28" s="6">
        <v>23</v>
      </c>
      <c r="B28" s="2" t="s">
        <v>38</v>
      </c>
      <c r="C28" s="36"/>
      <c r="D28" s="37"/>
      <c r="E28" s="38">
        <v>2228700</v>
      </c>
      <c r="F28" s="25">
        <v>1665660</v>
      </c>
      <c r="G28" s="25">
        <v>2111400</v>
      </c>
      <c r="H28" s="38">
        <v>1994100</v>
      </c>
      <c r="I28" s="24"/>
      <c r="J28" s="26">
        <v>1999965</v>
      </c>
      <c r="K28" s="41">
        <v>2071518</v>
      </c>
      <c r="L28" s="41">
        <v>2410515</v>
      </c>
      <c r="M28" s="42">
        <v>2241016.5</v>
      </c>
    </row>
    <row r="29" spans="1:13" ht="10.199999999999999" customHeight="1" x14ac:dyDescent="0.25">
      <c r="A29" s="6">
        <v>24</v>
      </c>
      <c r="B29" s="2" t="s">
        <v>39</v>
      </c>
      <c r="C29" s="36"/>
      <c r="D29" s="37"/>
      <c r="E29" s="38">
        <v>2170050</v>
      </c>
      <c r="F29" s="25">
        <v>1665660</v>
      </c>
      <c r="G29" s="25">
        <v>2052750</v>
      </c>
      <c r="H29" s="38">
        <v>1935450</v>
      </c>
      <c r="I29" s="24"/>
      <c r="J29" s="26">
        <v>1955977.5</v>
      </c>
      <c r="K29" s="81">
        <v>1788825</v>
      </c>
      <c r="L29" s="81">
        <v>2212278</v>
      </c>
      <c r="M29" s="82">
        <v>2000551.5</v>
      </c>
    </row>
    <row r="30" spans="1:13" ht="10.199999999999999" customHeight="1" x14ac:dyDescent="0.25">
      <c r="A30" s="6">
        <v>25</v>
      </c>
      <c r="B30" s="2" t="s">
        <v>40</v>
      </c>
      <c r="C30" s="36"/>
      <c r="D30" s="37"/>
      <c r="E30" s="38">
        <v>2521950</v>
      </c>
      <c r="F30" s="25">
        <v>1935450</v>
      </c>
      <c r="G30" s="25">
        <v>2346000</v>
      </c>
      <c r="H30" s="38"/>
      <c r="I30" s="24"/>
      <c r="J30" s="26">
        <v>2267807.8199999998</v>
      </c>
      <c r="K30" s="83">
        <v>913767</v>
      </c>
      <c r="L30" s="41">
        <v>2869940</v>
      </c>
      <c r="M30" s="26">
        <v>2514130</v>
      </c>
    </row>
    <row r="31" spans="1:13" ht="10.199999999999999" customHeight="1" x14ac:dyDescent="0.25">
      <c r="A31" s="6">
        <v>26</v>
      </c>
      <c r="B31" s="2" t="s">
        <v>41</v>
      </c>
      <c r="C31" s="36"/>
      <c r="D31" s="37"/>
      <c r="E31" s="38">
        <v>1891462.5</v>
      </c>
      <c r="F31" s="38">
        <v>1451587.5</v>
      </c>
      <c r="G31" s="38">
        <v>1759500</v>
      </c>
      <c r="H31" s="38"/>
      <c r="I31" s="24"/>
      <c r="J31" s="26">
        <v>1700850</v>
      </c>
      <c r="K31" s="41">
        <v>1618740</v>
      </c>
      <c r="L31" s="41">
        <v>2152455</v>
      </c>
      <c r="M31" s="42">
        <v>1885597.5</v>
      </c>
    </row>
    <row r="32" spans="1:13" ht="10.199999999999999" customHeight="1" x14ac:dyDescent="0.25">
      <c r="A32" s="6">
        <v>27</v>
      </c>
      <c r="B32" s="2" t="s">
        <v>42</v>
      </c>
      <c r="C32" s="36"/>
      <c r="D32" s="37"/>
      <c r="E32" s="38">
        <v>445740</v>
      </c>
      <c r="F32" s="25">
        <v>351900</v>
      </c>
      <c r="G32" s="25">
        <v>375360</v>
      </c>
      <c r="H32" s="38"/>
      <c r="I32" s="24"/>
      <c r="J32" s="26">
        <v>391007.82</v>
      </c>
      <c r="K32" s="50">
        <v>297942</v>
      </c>
      <c r="L32" s="50">
        <v>916113</v>
      </c>
      <c r="M32" s="26"/>
    </row>
    <row r="33" spans="1:13" ht="10.199999999999999" customHeight="1" x14ac:dyDescent="0.25">
      <c r="A33" s="6">
        <v>28</v>
      </c>
      <c r="B33" s="2" t="s">
        <v>43</v>
      </c>
      <c r="C33" s="36"/>
      <c r="D33" s="37"/>
      <c r="E33" s="25">
        <v>334305</v>
      </c>
      <c r="F33" s="25">
        <v>263925</v>
      </c>
      <c r="G33" s="25">
        <v>281520</v>
      </c>
      <c r="H33" s="38"/>
      <c r="I33" s="24"/>
      <c r="J33" s="26">
        <v>293250</v>
      </c>
      <c r="K33" s="98">
        <v>263925</v>
      </c>
      <c r="L33" s="98">
        <v>272136</v>
      </c>
      <c r="M33" s="26"/>
    </row>
    <row r="34" spans="1:13" ht="10.199999999999999" customHeight="1" x14ac:dyDescent="0.25">
      <c r="A34" s="6">
        <v>29</v>
      </c>
      <c r="B34" s="2" t="s">
        <v>44</v>
      </c>
      <c r="C34" s="36"/>
      <c r="D34" s="37"/>
      <c r="E34" s="38">
        <v>83869.5</v>
      </c>
      <c r="F34" s="25">
        <v>72256.800000000003</v>
      </c>
      <c r="G34" s="25">
        <v>85394.4</v>
      </c>
      <c r="H34" s="38"/>
      <c r="I34" s="24"/>
      <c r="J34" s="26">
        <v>80514.720000000001</v>
      </c>
      <c r="K34" s="95">
        <v>79529.399999999994</v>
      </c>
      <c r="L34" s="95">
        <v>82696.5</v>
      </c>
      <c r="M34" s="99">
        <v>81112.95</v>
      </c>
    </row>
    <row r="35" spans="1:13" ht="10.199999999999999" customHeight="1" x14ac:dyDescent="0.25">
      <c r="A35" s="6">
        <v>30</v>
      </c>
      <c r="B35" s="2" t="s">
        <v>45</v>
      </c>
      <c r="C35" s="36"/>
      <c r="D35" s="37"/>
      <c r="E35" s="38">
        <v>187680</v>
      </c>
      <c r="F35" s="25">
        <v>152490</v>
      </c>
      <c r="G35" s="25"/>
      <c r="H35" s="38"/>
      <c r="I35" s="24"/>
      <c r="J35" s="26">
        <v>170085</v>
      </c>
      <c r="K35" s="24"/>
      <c r="L35" s="24"/>
      <c r="M35" s="26">
        <v>170085</v>
      </c>
    </row>
    <row r="36" spans="1:13" ht="10.199999999999999" customHeight="1" x14ac:dyDescent="0.25">
      <c r="A36" s="6">
        <v>31</v>
      </c>
      <c r="B36" s="2" t="s">
        <v>46</v>
      </c>
      <c r="C36" s="36"/>
      <c r="D36" s="37"/>
      <c r="E36" s="38">
        <v>328440</v>
      </c>
      <c r="F36" s="25"/>
      <c r="G36" s="25">
        <v>304980</v>
      </c>
      <c r="H36" s="38"/>
      <c r="I36" s="24"/>
      <c r="J36" s="26">
        <v>316710</v>
      </c>
      <c r="K36" s="85">
        <v>158355</v>
      </c>
      <c r="L36" s="37"/>
      <c r="M36" s="26">
        <v>316710</v>
      </c>
    </row>
    <row r="37" spans="1:13" ht="10.199999999999999" customHeight="1" x14ac:dyDescent="0.25">
      <c r="A37" s="6">
        <v>32</v>
      </c>
      <c r="B37" s="2" t="s">
        <v>47</v>
      </c>
      <c r="C37" s="36"/>
      <c r="D37" s="37"/>
      <c r="E37" s="38">
        <v>504390</v>
      </c>
      <c r="F37" s="25"/>
      <c r="G37" s="25">
        <v>516120</v>
      </c>
      <c r="H37" s="38"/>
      <c r="I37" s="24"/>
      <c r="J37" s="26">
        <v>510255</v>
      </c>
      <c r="K37" s="24"/>
      <c r="L37" s="24"/>
      <c r="M37" s="26">
        <v>510255</v>
      </c>
    </row>
    <row r="38" spans="1:13" ht="10.199999999999999" customHeight="1" x14ac:dyDescent="0.25">
      <c r="A38" s="6">
        <v>33</v>
      </c>
      <c r="B38" s="2" t="s">
        <v>48</v>
      </c>
      <c r="C38" s="36"/>
      <c r="D38" s="37"/>
      <c r="E38" s="38"/>
      <c r="F38" s="25"/>
      <c r="G38" s="25"/>
      <c r="H38" s="38"/>
      <c r="I38" s="24"/>
      <c r="J38" s="52">
        <v>46920</v>
      </c>
      <c r="K38" s="53">
        <v>46920</v>
      </c>
      <c r="L38" s="53">
        <v>48093</v>
      </c>
      <c r="M38" s="52">
        <v>46920</v>
      </c>
    </row>
    <row r="39" spans="1:13" ht="26.4" x14ac:dyDescent="0.25">
      <c r="A39" s="6">
        <v>34</v>
      </c>
      <c r="B39" s="2" t="s">
        <v>49</v>
      </c>
      <c r="C39" s="36"/>
      <c r="D39" s="37"/>
      <c r="E39" s="38">
        <v>66509.100000000006</v>
      </c>
      <c r="F39" s="38">
        <v>63576.6</v>
      </c>
      <c r="G39" s="38"/>
      <c r="H39" s="38"/>
      <c r="I39" s="24"/>
      <c r="J39" s="54">
        <v>65042.85</v>
      </c>
      <c r="K39" s="50">
        <v>72726</v>
      </c>
      <c r="L39" s="50">
        <v>73077.899999999994</v>
      </c>
      <c r="M39" s="54">
        <v>65042.85</v>
      </c>
    </row>
    <row r="40" spans="1:13" ht="20.399999999999999" customHeight="1" x14ac:dyDescent="0.25">
      <c r="A40" s="6"/>
      <c r="B40" s="2" t="s">
        <v>50</v>
      </c>
      <c r="C40" s="36"/>
      <c r="D40" s="37"/>
      <c r="E40" s="38"/>
      <c r="F40" s="38"/>
      <c r="G40" s="38"/>
      <c r="H40" s="38"/>
      <c r="I40" s="24"/>
      <c r="J40" s="26"/>
      <c r="K40" s="37"/>
      <c r="L40" s="41">
        <v>49500.6</v>
      </c>
      <c r="M40" s="41">
        <v>49500.6</v>
      </c>
    </row>
    <row r="41" spans="1:13" ht="30.6" customHeight="1" x14ac:dyDescent="0.25">
      <c r="A41" s="6">
        <v>35</v>
      </c>
      <c r="B41" s="2" t="s">
        <v>51</v>
      </c>
      <c r="C41" s="36"/>
      <c r="D41" s="37"/>
      <c r="E41" s="38">
        <v>78239.100000000006</v>
      </c>
      <c r="F41" s="38"/>
      <c r="G41" s="38"/>
      <c r="H41" s="38"/>
      <c r="I41" s="37"/>
      <c r="J41" s="54">
        <v>78239.100000000006</v>
      </c>
      <c r="K41" s="24"/>
      <c r="L41" s="24"/>
      <c r="M41" s="54">
        <v>78239.100000000006</v>
      </c>
    </row>
    <row r="42" spans="1:13" ht="30.6" customHeight="1" x14ac:dyDescent="0.25">
      <c r="A42" s="6">
        <v>36</v>
      </c>
      <c r="B42" s="2" t="s">
        <v>52</v>
      </c>
      <c r="C42" s="36"/>
      <c r="D42" s="37"/>
      <c r="E42" s="38">
        <v>64515</v>
      </c>
      <c r="F42" s="38">
        <v>53840.7</v>
      </c>
      <c r="G42" s="38"/>
      <c r="H42" s="38">
        <v>48914.1</v>
      </c>
      <c r="I42" s="37"/>
      <c r="J42" s="54">
        <v>55764.42</v>
      </c>
      <c r="K42" s="24"/>
      <c r="L42" s="24"/>
      <c r="M42" s="54">
        <v>59177.85</v>
      </c>
    </row>
    <row r="43" spans="1:13" ht="9.6" customHeight="1" x14ac:dyDescent="0.25">
      <c r="A43" s="6">
        <v>37</v>
      </c>
      <c r="B43" s="3" t="s">
        <v>53</v>
      </c>
      <c r="C43" s="29"/>
      <c r="D43" s="37"/>
      <c r="E43" s="38"/>
      <c r="F43" s="38">
        <v>46920</v>
      </c>
      <c r="G43" s="38"/>
      <c r="H43" s="38"/>
      <c r="I43" s="37"/>
      <c r="J43" s="37"/>
      <c r="K43" s="87">
        <v>100878</v>
      </c>
      <c r="L43" s="87">
        <v>117886.5</v>
      </c>
      <c r="M43" s="87">
        <v>109382.25</v>
      </c>
    </row>
    <row r="44" spans="1:13" ht="9.6" customHeight="1" x14ac:dyDescent="0.25">
      <c r="A44" s="6">
        <v>38</v>
      </c>
      <c r="B44" s="3" t="s">
        <v>54</v>
      </c>
      <c r="C44" s="29"/>
      <c r="D44" s="37"/>
      <c r="E44" s="38"/>
      <c r="F44" s="38">
        <v>46920</v>
      </c>
      <c r="G44" s="38"/>
      <c r="H44" s="38"/>
      <c r="I44" s="37"/>
      <c r="J44" s="37"/>
      <c r="K44" s="87">
        <v>70380</v>
      </c>
      <c r="L44" s="87">
        <v>70966.5</v>
      </c>
      <c r="M44" s="87">
        <v>70673.25</v>
      </c>
    </row>
    <row r="45" spans="1:13" ht="10.199999999999999" hidden="1" customHeight="1" x14ac:dyDescent="0.25">
      <c r="A45" s="6"/>
      <c r="B45" s="3" t="s">
        <v>55</v>
      </c>
      <c r="C45" s="29"/>
      <c r="D45" s="37"/>
      <c r="E45" s="38"/>
      <c r="F45" s="38"/>
      <c r="G45" s="38"/>
      <c r="H45" s="38"/>
      <c r="I45" s="56">
        <v>32844</v>
      </c>
      <c r="J45" s="37"/>
      <c r="K45" s="37"/>
      <c r="L45" s="37"/>
      <c r="M45" s="57" t="s">
        <v>100</v>
      </c>
    </row>
    <row r="46" spans="1:13" ht="10.199999999999999" hidden="1" customHeight="1" x14ac:dyDescent="0.25">
      <c r="A46" s="6"/>
      <c r="B46" s="3" t="s">
        <v>56</v>
      </c>
      <c r="C46" s="29"/>
      <c r="D46" s="37"/>
      <c r="E46" s="38"/>
      <c r="F46" s="38"/>
      <c r="G46" s="38"/>
      <c r="H46" s="38"/>
      <c r="I46" s="56">
        <v>11730</v>
      </c>
      <c r="J46" s="37"/>
      <c r="K46" s="37"/>
      <c r="L46" s="37"/>
      <c r="M46" s="57" t="s">
        <v>100</v>
      </c>
    </row>
    <row r="47" spans="1:13" ht="10.199999999999999" hidden="1" customHeight="1" x14ac:dyDescent="0.25">
      <c r="A47" s="6"/>
      <c r="B47" s="3" t="s">
        <v>57</v>
      </c>
      <c r="C47" s="29"/>
      <c r="D47" s="37"/>
      <c r="E47" s="38"/>
      <c r="F47" s="38"/>
      <c r="G47" s="38">
        <v>46920</v>
      </c>
      <c r="H47" s="38"/>
      <c r="I47" s="56">
        <v>23460</v>
      </c>
      <c r="J47" s="37"/>
      <c r="K47" s="37"/>
      <c r="L47" s="37"/>
      <c r="M47" s="57" t="s">
        <v>100</v>
      </c>
    </row>
    <row r="48" spans="1:13" ht="10.199999999999999" hidden="1" customHeight="1" x14ac:dyDescent="0.25">
      <c r="A48" s="6"/>
      <c r="B48" s="3" t="s">
        <v>58</v>
      </c>
      <c r="C48" s="29"/>
      <c r="D48" s="37"/>
      <c r="E48" s="38"/>
      <c r="F48" s="38"/>
      <c r="G48" s="38">
        <v>17595</v>
      </c>
      <c r="H48" s="38"/>
      <c r="I48" s="56">
        <v>11730</v>
      </c>
      <c r="J48" s="37"/>
      <c r="K48" s="37"/>
      <c r="L48" s="37"/>
      <c r="M48" s="57" t="s">
        <v>100</v>
      </c>
    </row>
    <row r="49" spans="1:18" ht="10.199999999999999" customHeight="1" x14ac:dyDescent="0.25">
      <c r="A49" s="6">
        <v>39</v>
      </c>
      <c r="B49" s="3" t="s">
        <v>59</v>
      </c>
      <c r="C49" s="29"/>
      <c r="D49" s="37"/>
      <c r="E49" s="38"/>
      <c r="F49" s="58">
        <v>23460</v>
      </c>
      <c r="G49" s="38"/>
      <c r="H49" s="58"/>
      <c r="I49" s="37"/>
      <c r="J49" s="37"/>
      <c r="K49" s="57">
        <v>35893.800000000003</v>
      </c>
      <c r="L49" s="57">
        <v>84221.4</v>
      </c>
      <c r="M49" s="57">
        <v>60057.599999999999</v>
      </c>
    </row>
    <row r="50" spans="1:18" ht="19.2" customHeight="1" x14ac:dyDescent="0.25">
      <c r="A50" s="6">
        <v>40</v>
      </c>
      <c r="B50" s="3" t="s">
        <v>60</v>
      </c>
      <c r="C50" s="29"/>
      <c r="D50" s="37"/>
      <c r="E50" s="38"/>
      <c r="F50" s="38"/>
      <c r="G50" s="38"/>
      <c r="H50" s="38"/>
      <c r="I50" s="56">
        <v>41055</v>
      </c>
      <c r="J50" s="26"/>
      <c r="K50" s="37"/>
      <c r="L50" s="37"/>
      <c r="M50" s="60">
        <v>41055</v>
      </c>
    </row>
    <row r="51" spans="1:18" ht="10.199999999999999" customHeight="1" x14ac:dyDescent="0.25">
      <c r="A51" s="6">
        <v>41</v>
      </c>
      <c r="B51" s="7" t="s">
        <v>61</v>
      </c>
      <c r="C51" s="38">
        <v>24398.400000000001</v>
      </c>
      <c r="D51" s="61"/>
      <c r="E51" s="62"/>
      <c r="F51" s="38"/>
      <c r="G51" s="62"/>
      <c r="H51" s="38"/>
      <c r="I51" s="61"/>
      <c r="J51" s="26"/>
      <c r="K51" s="61"/>
      <c r="L51" s="61"/>
      <c r="M51" s="26">
        <v>24398.400000000001</v>
      </c>
    </row>
    <row r="52" spans="1:18" ht="10.199999999999999" customHeight="1" x14ac:dyDescent="0.25">
      <c r="A52" s="6">
        <v>42</v>
      </c>
      <c r="B52" s="10" t="s">
        <v>62</v>
      </c>
      <c r="C52" s="38">
        <v>24398.400000000001</v>
      </c>
      <c r="D52" s="37"/>
      <c r="E52" s="38"/>
      <c r="F52" s="38"/>
      <c r="G52" s="38"/>
      <c r="H52" s="38"/>
      <c r="I52" s="37"/>
      <c r="J52" s="37"/>
      <c r="K52" s="87">
        <v>25806</v>
      </c>
      <c r="L52" s="87">
        <v>25923.3</v>
      </c>
      <c r="M52" s="87">
        <v>25864.65</v>
      </c>
    </row>
    <row r="53" spans="1:18" ht="10.199999999999999" customHeight="1" x14ac:dyDescent="0.25">
      <c r="A53" s="6">
        <v>43</v>
      </c>
      <c r="B53" s="10" t="s">
        <v>63</v>
      </c>
      <c r="C53" s="38">
        <v>24398.400000000001</v>
      </c>
      <c r="D53" s="37"/>
      <c r="E53" s="38"/>
      <c r="F53" s="38"/>
      <c r="G53" s="38"/>
      <c r="H53" s="38"/>
      <c r="I53" s="37"/>
      <c r="J53" s="37"/>
      <c r="K53" s="87">
        <v>43401</v>
      </c>
      <c r="L53" s="87">
        <v>55365.599999999999</v>
      </c>
      <c r="M53" s="87">
        <v>49383.3</v>
      </c>
    </row>
    <row r="54" spans="1:18" ht="10.199999999999999" customHeight="1" x14ac:dyDescent="0.25">
      <c r="A54" s="6">
        <v>44</v>
      </c>
      <c r="B54" s="10" t="s">
        <v>64</v>
      </c>
      <c r="C54" s="38"/>
      <c r="D54" s="37">
        <v>37536</v>
      </c>
      <c r="E54" s="38"/>
      <c r="F54" s="38"/>
      <c r="G54" s="38"/>
      <c r="H54" s="38"/>
      <c r="I54" s="37"/>
      <c r="J54" s="52">
        <v>37536</v>
      </c>
      <c r="K54" s="37"/>
      <c r="L54" s="37"/>
      <c r="M54" s="52">
        <v>37536</v>
      </c>
    </row>
    <row r="55" spans="1:18" ht="10.199999999999999" customHeight="1" x14ac:dyDescent="0.25">
      <c r="A55" s="6">
        <v>45</v>
      </c>
      <c r="B55" s="10" t="s">
        <v>65</v>
      </c>
      <c r="C55" s="38"/>
      <c r="D55" s="37"/>
      <c r="E55" s="38"/>
      <c r="F55" s="38"/>
      <c r="G55" s="38"/>
      <c r="H55" s="38"/>
      <c r="I55" s="37"/>
      <c r="J55" s="54"/>
      <c r="K55" s="37"/>
      <c r="L55" s="37"/>
      <c r="M55" s="54">
        <v>22950</v>
      </c>
    </row>
    <row r="56" spans="1:18" s="8" customFormat="1" ht="10.199999999999999" customHeight="1" x14ac:dyDescent="0.25">
      <c r="A56" s="6">
        <v>46</v>
      </c>
      <c r="B56" s="7" t="s">
        <v>66</v>
      </c>
      <c r="C56" s="38">
        <v>25806</v>
      </c>
      <c r="D56" s="37">
        <v>31671</v>
      </c>
      <c r="E56" s="38"/>
      <c r="F56" s="38"/>
      <c r="G56" s="38"/>
      <c r="H56" s="38"/>
      <c r="I56" s="37"/>
      <c r="J56" s="26">
        <v>28738.5</v>
      </c>
      <c r="K56" s="37"/>
      <c r="L56" s="37"/>
      <c r="M56" s="26">
        <v>28738.5</v>
      </c>
      <c r="N56" s="4"/>
      <c r="O56" s="4"/>
      <c r="P56" s="4"/>
      <c r="Q56" s="4"/>
      <c r="R56" s="4"/>
    </row>
    <row r="57" spans="1:18" s="8" customFormat="1" ht="10.199999999999999" customHeight="1" x14ac:dyDescent="0.25">
      <c r="A57" s="6">
        <v>47</v>
      </c>
      <c r="B57" s="7" t="s">
        <v>67</v>
      </c>
      <c r="C57" s="38"/>
      <c r="D57" s="37">
        <v>66861</v>
      </c>
      <c r="E57" s="38"/>
      <c r="F57" s="38"/>
      <c r="G57" s="38"/>
      <c r="H57" s="38"/>
      <c r="I57" s="37"/>
      <c r="J57" s="26">
        <v>66861</v>
      </c>
      <c r="K57" s="86">
        <v>52785</v>
      </c>
      <c r="L57" s="86">
        <v>53019.6</v>
      </c>
      <c r="M57" s="86">
        <v>53019.6</v>
      </c>
      <c r="N57" s="4"/>
      <c r="O57" s="4"/>
      <c r="P57" s="4"/>
      <c r="Q57" s="4"/>
      <c r="R57" s="4"/>
    </row>
    <row r="58" spans="1:18" ht="10.199999999999999" customHeight="1" x14ac:dyDescent="0.25">
      <c r="A58" s="6">
        <v>48</v>
      </c>
      <c r="B58" s="7" t="s">
        <v>68</v>
      </c>
      <c r="C58" s="38">
        <v>25219.5</v>
      </c>
      <c r="D58" s="61"/>
      <c r="E58" s="62"/>
      <c r="F58" s="38"/>
      <c r="G58" s="62"/>
      <c r="H58" s="38"/>
      <c r="I58" s="61"/>
      <c r="J58" s="26">
        <v>25219.5</v>
      </c>
      <c r="K58" s="61"/>
      <c r="L58" s="61"/>
      <c r="M58" s="26">
        <v>25219.5</v>
      </c>
    </row>
    <row r="59" spans="1:18" x14ac:dyDescent="0.25">
      <c r="A59" s="6">
        <v>49</v>
      </c>
      <c r="B59" s="7" t="s">
        <v>69</v>
      </c>
      <c r="C59" s="38"/>
      <c r="D59" s="61">
        <v>82110</v>
      </c>
      <c r="E59" s="62"/>
      <c r="F59" s="38"/>
      <c r="G59" s="62"/>
      <c r="H59" s="38"/>
      <c r="I59" s="61"/>
      <c r="J59" s="26">
        <v>82110</v>
      </c>
      <c r="K59" s="61"/>
      <c r="L59" s="61"/>
      <c r="M59" s="52">
        <v>82110</v>
      </c>
    </row>
    <row r="60" spans="1:18" ht="10.199999999999999" customHeight="1" x14ac:dyDescent="0.25">
      <c r="A60" s="6">
        <v>50</v>
      </c>
      <c r="B60" s="7" t="s">
        <v>70</v>
      </c>
      <c r="C60" s="38">
        <v>26040.6</v>
      </c>
      <c r="D60" s="61">
        <v>29676.9</v>
      </c>
      <c r="E60" s="62"/>
      <c r="F60" s="38"/>
      <c r="G60" s="62"/>
      <c r="H60" s="38"/>
      <c r="I60" s="61"/>
      <c r="J60" s="26">
        <v>27858.75</v>
      </c>
      <c r="K60" s="61"/>
      <c r="L60" s="61"/>
      <c r="M60" s="26">
        <v>27858.75</v>
      </c>
    </row>
    <row r="61" spans="1:18" s="4" customFormat="1" x14ac:dyDescent="0.25">
      <c r="A61" s="6">
        <v>51</v>
      </c>
      <c r="B61" s="7" t="s">
        <v>71</v>
      </c>
      <c r="C61" s="38"/>
      <c r="D61" s="61">
        <v>55717.5</v>
      </c>
      <c r="E61" s="62"/>
      <c r="F61" s="38"/>
      <c r="G61" s="62"/>
      <c r="H61" s="38"/>
      <c r="I61" s="61"/>
      <c r="J61" s="26">
        <v>55717.5</v>
      </c>
      <c r="K61" s="63">
        <v>26979</v>
      </c>
      <c r="L61" s="63">
        <v>44691.3</v>
      </c>
      <c r="M61" s="38">
        <v>55717.5</v>
      </c>
    </row>
    <row r="62" spans="1:18" s="4" customFormat="1" ht="10.199999999999999" customHeight="1" x14ac:dyDescent="0.25">
      <c r="A62" s="6">
        <v>52</v>
      </c>
      <c r="B62" s="7" t="s">
        <v>72</v>
      </c>
      <c r="C62" s="38"/>
      <c r="D62" s="61"/>
      <c r="E62" s="62">
        <v>76245</v>
      </c>
      <c r="F62" s="38">
        <v>85629</v>
      </c>
      <c r="G62" s="62">
        <v>87975</v>
      </c>
      <c r="H62" s="62">
        <v>90321</v>
      </c>
      <c r="I62" s="61"/>
      <c r="J62" s="26">
        <v>85042.5</v>
      </c>
      <c r="K62" s="64">
        <v>104103.75</v>
      </c>
      <c r="L62" s="64">
        <v>117300</v>
      </c>
      <c r="M62" s="26">
        <v>83283</v>
      </c>
    </row>
    <row r="63" spans="1:18" s="4" customFormat="1" ht="10.199999999999999" customHeight="1" x14ac:dyDescent="0.25">
      <c r="A63" s="6">
        <v>53</v>
      </c>
      <c r="B63" s="7" t="s">
        <v>73</v>
      </c>
      <c r="C63" s="38"/>
      <c r="D63" s="61"/>
      <c r="E63" s="62">
        <v>53371.5</v>
      </c>
      <c r="F63" s="62">
        <v>59940.3</v>
      </c>
      <c r="G63" s="62">
        <v>61582.5</v>
      </c>
      <c r="H63" s="62">
        <v>63224.7</v>
      </c>
      <c r="I63" s="61"/>
      <c r="J63" s="26">
        <v>59529.75</v>
      </c>
      <c r="K63" s="61"/>
      <c r="L63" s="61"/>
      <c r="M63" s="26">
        <v>58298.1</v>
      </c>
    </row>
    <row r="64" spans="1:18" s="4" customFormat="1" ht="13.2" customHeight="1" x14ac:dyDescent="0.25">
      <c r="A64" s="6">
        <v>54</v>
      </c>
      <c r="B64" s="7" t="s">
        <v>74</v>
      </c>
      <c r="C64" s="38"/>
      <c r="D64" s="65">
        <v>34017</v>
      </c>
      <c r="E64" s="62"/>
      <c r="F64" s="38"/>
      <c r="G64" s="62"/>
      <c r="H64" s="38"/>
      <c r="I64" s="61"/>
      <c r="J64" s="26">
        <v>34017</v>
      </c>
      <c r="K64" s="86">
        <v>37536</v>
      </c>
      <c r="L64" s="87">
        <v>38943.599999999999</v>
      </c>
      <c r="M64" s="80">
        <v>38943.599999999999</v>
      </c>
    </row>
    <row r="65" spans="1:13" s="4" customFormat="1" ht="10.199999999999999" customHeight="1" x14ac:dyDescent="0.25">
      <c r="A65" s="6">
        <v>55</v>
      </c>
      <c r="B65" s="7" t="s">
        <v>75</v>
      </c>
      <c r="C65" s="38"/>
      <c r="D65" s="66">
        <v>41055</v>
      </c>
      <c r="E65" s="62"/>
      <c r="F65" s="38"/>
      <c r="G65" s="62"/>
      <c r="H65" s="38"/>
      <c r="I65" s="61"/>
      <c r="J65" s="26">
        <v>41055</v>
      </c>
      <c r="K65" s="88">
        <v>41055</v>
      </c>
      <c r="L65" s="88">
        <v>41289.599999999999</v>
      </c>
      <c r="M65" s="89">
        <v>41055</v>
      </c>
    </row>
    <row r="66" spans="1:13" s="4" customFormat="1" ht="26.4" x14ac:dyDescent="0.25">
      <c r="A66" s="6">
        <v>56</v>
      </c>
      <c r="B66" s="7" t="s">
        <v>76</v>
      </c>
      <c r="C66" s="38"/>
      <c r="D66" s="61">
        <v>105570</v>
      </c>
      <c r="E66" s="62">
        <v>64515</v>
      </c>
      <c r="F66" s="62">
        <v>65101.5</v>
      </c>
      <c r="G66" s="38">
        <v>70380</v>
      </c>
      <c r="H66" s="38">
        <v>69793.5</v>
      </c>
      <c r="I66" s="61"/>
      <c r="J66" s="26">
        <v>67447.5</v>
      </c>
      <c r="K66" s="87">
        <v>105570</v>
      </c>
      <c r="L66" s="87">
        <v>106156.5</v>
      </c>
      <c r="M66" s="100">
        <v>106156.5</v>
      </c>
    </row>
    <row r="67" spans="1:13" s="4" customFormat="1" ht="10.199999999999999" customHeight="1" x14ac:dyDescent="0.25">
      <c r="A67" s="6">
        <v>57</v>
      </c>
      <c r="B67" s="7" t="s">
        <v>77</v>
      </c>
      <c r="C67" s="38"/>
      <c r="D67" s="61">
        <v>103224</v>
      </c>
      <c r="E67" s="62">
        <v>61934.400000000001</v>
      </c>
      <c r="F67" s="62">
        <v>62755.5</v>
      </c>
      <c r="G67" s="38">
        <v>68034</v>
      </c>
      <c r="H67" s="62">
        <v>67447.5</v>
      </c>
      <c r="I67" s="61"/>
      <c r="J67" s="26">
        <v>65042.85</v>
      </c>
      <c r="K67" s="101">
        <v>86802</v>
      </c>
      <c r="L67" s="101">
        <v>104983.5</v>
      </c>
      <c r="M67" s="100">
        <v>95892.75</v>
      </c>
    </row>
    <row r="68" spans="1:13" s="4" customFormat="1" ht="10.199999999999999" customHeight="1" x14ac:dyDescent="0.25">
      <c r="A68" s="6">
        <v>58</v>
      </c>
      <c r="B68" s="7" t="s">
        <v>78</v>
      </c>
      <c r="C68" s="38"/>
      <c r="D68" s="61">
        <v>73899</v>
      </c>
      <c r="E68" s="62">
        <v>33547.800000000003</v>
      </c>
      <c r="F68" s="62">
        <v>41055</v>
      </c>
      <c r="G68" s="62"/>
      <c r="H68" s="62">
        <v>41055</v>
      </c>
      <c r="I68" s="61"/>
      <c r="J68" s="26">
        <v>38556.51</v>
      </c>
      <c r="K68" s="61"/>
      <c r="L68" s="61"/>
      <c r="M68" s="26">
        <v>38556.51</v>
      </c>
    </row>
    <row r="69" spans="1:13" s="4" customFormat="1" ht="16.2" customHeight="1" x14ac:dyDescent="0.25">
      <c r="A69" s="6">
        <v>59</v>
      </c>
      <c r="B69" s="7" t="s">
        <v>79</v>
      </c>
      <c r="C69" s="38"/>
      <c r="D69" s="61"/>
      <c r="E69" s="62">
        <v>21114</v>
      </c>
      <c r="F69" s="38"/>
      <c r="G69" s="62"/>
      <c r="H69" s="38"/>
      <c r="I69" s="61"/>
      <c r="J69" s="26">
        <v>21114</v>
      </c>
      <c r="K69" s="71">
        <v>57477</v>
      </c>
      <c r="L69" s="71">
        <v>63576.6</v>
      </c>
      <c r="M69" s="72">
        <v>60526.8</v>
      </c>
    </row>
    <row r="70" spans="1:13" s="4" customFormat="1" ht="11.4" customHeight="1" x14ac:dyDescent="0.25">
      <c r="A70" s="6">
        <v>60</v>
      </c>
      <c r="B70" s="7" t="s">
        <v>80</v>
      </c>
      <c r="C70" s="38"/>
      <c r="D70" s="61"/>
      <c r="E70" s="62"/>
      <c r="F70" s="38"/>
      <c r="G70" s="62"/>
      <c r="H70" s="38"/>
      <c r="I70" s="61"/>
      <c r="J70" s="26"/>
      <c r="K70" s="61"/>
      <c r="L70" s="61"/>
      <c r="M70" s="52">
        <v>42368.76</v>
      </c>
    </row>
    <row r="71" spans="1:13" s="4" customFormat="1" ht="10.199999999999999" customHeight="1" x14ac:dyDescent="0.25">
      <c r="A71" s="6">
        <v>61</v>
      </c>
      <c r="B71" s="7" t="s">
        <v>81</v>
      </c>
      <c r="C71" s="38"/>
      <c r="D71" s="61">
        <v>161874</v>
      </c>
      <c r="E71" s="62">
        <v>84456</v>
      </c>
      <c r="F71" s="62">
        <v>152490</v>
      </c>
      <c r="G71" s="62"/>
      <c r="H71" s="62"/>
      <c r="I71" s="61"/>
      <c r="J71" s="26">
        <v>118473</v>
      </c>
      <c r="K71" s="71">
        <v>150144</v>
      </c>
      <c r="L71" s="71">
        <v>242811</v>
      </c>
      <c r="M71" s="72">
        <v>151715.82</v>
      </c>
    </row>
    <row r="72" spans="1:13" s="4" customFormat="1" ht="25.8" customHeight="1" x14ac:dyDescent="0.25">
      <c r="A72" s="6">
        <v>62</v>
      </c>
      <c r="B72" s="7" t="s">
        <v>82</v>
      </c>
      <c r="C72" s="38"/>
      <c r="D72" s="61"/>
      <c r="E72" s="62"/>
      <c r="F72" s="62"/>
      <c r="G72" s="62"/>
      <c r="H72" s="62"/>
      <c r="I72" s="61"/>
      <c r="J72" s="26"/>
      <c r="K72" s="61"/>
      <c r="L72" s="61"/>
      <c r="M72" s="52">
        <v>42228</v>
      </c>
    </row>
    <row r="73" spans="1:13" s="4" customFormat="1" ht="10.199999999999999" customHeight="1" x14ac:dyDescent="0.25">
      <c r="A73" s="6">
        <v>63</v>
      </c>
      <c r="B73" s="7" t="s">
        <v>83</v>
      </c>
      <c r="C73" s="38"/>
      <c r="D73" s="61"/>
      <c r="E73" s="62"/>
      <c r="F73" s="62"/>
      <c r="G73" s="62"/>
      <c r="H73" s="62"/>
      <c r="I73" s="61"/>
      <c r="J73" s="26"/>
      <c r="K73" s="61"/>
      <c r="L73" s="61"/>
      <c r="M73" s="52">
        <v>29559.599999999999</v>
      </c>
    </row>
    <row r="74" spans="1:13" s="4" customFormat="1" ht="10.199999999999999" customHeight="1" x14ac:dyDescent="0.25">
      <c r="A74" s="6">
        <v>64</v>
      </c>
      <c r="B74" s="7" t="s">
        <v>84</v>
      </c>
      <c r="C74" s="38"/>
      <c r="D74" s="61"/>
      <c r="E74" s="62">
        <v>187680</v>
      </c>
      <c r="F74" s="62">
        <v>152490</v>
      </c>
      <c r="G74" s="62">
        <v>175950</v>
      </c>
      <c r="H74" s="62"/>
      <c r="I74" s="61"/>
      <c r="J74" s="26">
        <v>172043.91</v>
      </c>
      <c r="K74" s="61"/>
      <c r="L74" s="61"/>
      <c r="M74" s="26">
        <v>172043.91</v>
      </c>
    </row>
    <row r="75" spans="1:13" s="4" customFormat="1" ht="10.199999999999999" customHeight="1" x14ac:dyDescent="0.25">
      <c r="A75" s="6">
        <v>65</v>
      </c>
      <c r="B75" s="7" t="s">
        <v>85</v>
      </c>
      <c r="C75" s="38"/>
      <c r="D75" s="61"/>
      <c r="E75" s="62">
        <v>131376</v>
      </c>
      <c r="F75" s="62">
        <v>106743</v>
      </c>
      <c r="G75" s="62">
        <v>123165</v>
      </c>
      <c r="H75" s="62"/>
      <c r="I75" s="61"/>
      <c r="J75" s="26">
        <v>120431.91</v>
      </c>
      <c r="K75" s="73">
        <v>109089</v>
      </c>
      <c r="L75" s="61"/>
      <c r="M75" s="26">
        <v>120431.91</v>
      </c>
    </row>
    <row r="76" spans="1:13" s="4" customFormat="1" ht="10.199999999999999" customHeight="1" x14ac:dyDescent="0.25">
      <c r="A76" s="6">
        <v>66</v>
      </c>
      <c r="B76" s="17" t="s">
        <v>86</v>
      </c>
      <c r="C76" s="38"/>
      <c r="D76" s="61">
        <v>40233.9</v>
      </c>
      <c r="E76" s="62"/>
      <c r="F76" s="62"/>
      <c r="G76" s="62"/>
      <c r="H76" s="62"/>
      <c r="I76" s="61"/>
      <c r="J76" s="26">
        <v>40233.9</v>
      </c>
      <c r="K76" s="61"/>
      <c r="L76" s="61"/>
      <c r="M76" s="26"/>
    </row>
    <row r="77" spans="1:13" s="4" customFormat="1" ht="10.199999999999999" customHeight="1" x14ac:dyDescent="0.25">
      <c r="A77" s="6">
        <v>67</v>
      </c>
      <c r="B77" s="7" t="s">
        <v>87</v>
      </c>
      <c r="C77" s="38">
        <v>42228</v>
      </c>
      <c r="D77" s="65"/>
      <c r="E77" s="62"/>
      <c r="F77" s="62"/>
      <c r="G77" s="62"/>
      <c r="H77" s="62"/>
      <c r="I77" s="61"/>
      <c r="J77" s="26">
        <v>42228</v>
      </c>
      <c r="K77" s="61"/>
      <c r="L77" s="61"/>
      <c r="M77" s="52">
        <v>42228</v>
      </c>
    </row>
    <row r="78" spans="1:13" s="4" customFormat="1" ht="12.6" customHeight="1" x14ac:dyDescent="0.25">
      <c r="A78" s="6">
        <v>68</v>
      </c>
      <c r="B78" s="7" t="s">
        <v>88</v>
      </c>
      <c r="C78" s="38"/>
      <c r="D78" s="61"/>
      <c r="E78" s="62">
        <v>84456</v>
      </c>
      <c r="F78" s="62">
        <v>105570</v>
      </c>
      <c r="G78" s="62"/>
      <c r="H78" s="62"/>
      <c r="I78" s="61"/>
      <c r="J78" s="26">
        <v>95013</v>
      </c>
      <c r="K78" s="61"/>
      <c r="L78" s="61"/>
      <c r="M78" s="74">
        <v>95013</v>
      </c>
    </row>
    <row r="79" spans="1:13" s="4" customFormat="1" ht="23.4" customHeight="1" x14ac:dyDescent="0.25">
      <c r="A79" s="6">
        <v>69</v>
      </c>
      <c r="B79" s="17" t="s">
        <v>89</v>
      </c>
      <c r="C79" s="38"/>
      <c r="D79" s="61"/>
      <c r="E79" s="62"/>
      <c r="F79" s="62"/>
      <c r="G79" s="62"/>
      <c r="H79" s="62"/>
      <c r="I79" s="61"/>
      <c r="J79" s="26"/>
      <c r="K79" s="75">
        <v>34603.5</v>
      </c>
      <c r="L79" s="75">
        <v>36644.519999999997</v>
      </c>
      <c r="M79" s="60">
        <v>34603.5</v>
      </c>
    </row>
    <row r="80" spans="1:13" s="4" customFormat="1" ht="23.4" customHeight="1" x14ac:dyDescent="0.25">
      <c r="A80" s="6">
        <v>70</v>
      </c>
      <c r="B80" s="17" t="s">
        <v>90</v>
      </c>
      <c r="C80" s="38"/>
      <c r="D80" s="61"/>
      <c r="E80" s="62"/>
      <c r="F80" s="62"/>
      <c r="G80" s="62"/>
      <c r="H80" s="62"/>
      <c r="I80" s="61"/>
      <c r="J80" s="26"/>
      <c r="K80" s="75"/>
      <c r="L80" s="87">
        <v>38720.730000000003</v>
      </c>
      <c r="M80" s="60">
        <v>46920</v>
      </c>
    </row>
    <row r="81" spans="1:13" s="4" customFormat="1" ht="15.9" customHeight="1" x14ac:dyDescent="0.25">
      <c r="A81" s="6">
        <v>71</v>
      </c>
      <c r="B81" s="7" t="s">
        <v>91</v>
      </c>
      <c r="C81" s="38">
        <v>24633</v>
      </c>
      <c r="D81" s="65"/>
      <c r="E81" s="62"/>
      <c r="F81" s="62"/>
      <c r="G81" s="62"/>
      <c r="H81" s="62"/>
      <c r="I81" s="61"/>
      <c r="J81" s="61"/>
      <c r="K81" s="94">
        <v>71553</v>
      </c>
      <c r="L81" s="87">
        <v>105570</v>
      </c>
      <c r="M81" s="94">
        <v>88561.5</v>
      </c>
    </row>
  </sheetData>
  <mergeCells count="12">
    <mergeCell ref="A1:A3"/>
    <mergeCell ref="B1:B3"/>
    <mergeCell ref="J1:J3"/>
    <mergeCell ref="M1:M3"/>
    <mergeCell ref="C2:C3"/>
    <mergeCell ref="D2:D3"/>
    <mergeCell ref="E2:E3"/>
    <mergeCell ref="F2:F3"/>
    <mergeCell ref="G2:G3"/>
    <mergeCell ref="H2:H3"/>
    <mergeCell ref="I2:I3"/>
    <mergeCell ref="K2:L2"/>
  </mergeCells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81"/>
  <sheetViews>
    <sheetView workbookViewId="0">
      <selection sqref="A1:A3"/>
    </sheetView>
  </sheetViews>
  <sheetFormatPr defaultRowHeight="13.2" x14ac:dyDescent="0.25"/>
  <cols>
    <col min="1" max="1" width="5.33203125" style="4" customWidth="1"/>
    <col min="2" max="2" width="65.44140625" style="4" customWidth="1"/>
    <col min="3" max="3" width="10.6640625" style="4" customWidth="1"/>
    <col min="4" max="4" width="15.33203125" style="4" customWidth="1"/>
    <col min="5" max="5" width="11.5546875" style="4" customWidth="1"/>
    <col min="6" max="6" width="10.109375" style="4" customWidth="1"/>
    <col min="7" max="8" width="10.5546875" style="4" customWidth="1"/>
    <col min="9" max="9" width="9.88671875" style="4" customWidth="1"/>
    <col min="10" max="10" width="19.88671875" style="4" customWidth="1"/>
    <col min="11" max="11" width="10.6640625" style="4" customWidth="1"/>
    <col min="12" max="12" width="12.5546875" style="4" customWidth="1"/>
    <col min="13" max="13" width="19.88671875" style="4" customWidth="1"/>
  </cols>
  <sheetData>
    <row r="1" spans="1:13" ht="10.199999999999999" customHeight="1" x14ac:dyDescent="0.25">
      <c r="A1" s="104" t="s">
        <v>0</v>
      </c>
      <c r="B1" s="109" t="s">
        <v>1</v>
      </c>
      <c r="C1" s="12"/>
      <c r="D1" s="13"/>
      <c r="E1" s="13"/>
      <c r="F1" s="11"/>
      <c r="G1" s="5"/>
      <c r="H1" s="5"/>
      <c r="I1" s="5"/>
      <c r="J1" s="112" t="s">
        <v>2</v>
      </c>
      <c r="K1" s="16"/>
      <c r="L1" s="5"/>
      <c r="M1" s="112" t="s">
        <v>3</v>
      </c>
    </row>
    <row r="2" spans="1:13" ht="22.2" customHeight="1" x14ac:dyDescent="0.25">
      <c r="A2" s="108"/>
      <c r="B2" s="110"/>
      <c r="C2" s="102" t="s">
        <v>4</v>
      </c>
      <c r="D2" s="104" t="s">
        <v>5</v>
      </c>
      <c r="E2" s="102" t="s">
        <v>6</v>
      </c>
      <c r="F2" s="102" t="s">
        <v>7</v>
      </c>
      <c r="G2" s="102" t="s">
        <v>8</v>
      </c>
      <c r="H2" s="102" t="s">
        <v>9</v>
      </c>
      <c r="I2" s="104" t="s">
        <v>10</v>
      </c>
      <c r="J2" s="113"/>
      <c r="K2" s="121" t="s">
        <v>97</v>
      </c>
      <c r="L2" s="122"/>
      <c r="M2" s="113"/>
    </row>
    <row r="3" spans="1:13" ht="34.799999999999997" customHeight="1" x14ac:dyDescent="0.25">
      <c r="A3" s="105"/>
      <c r="B3" s="111"/>
      <c r="C3" s="103"/>
      <c r="D3" s="105"/>
      <c r="E3" s="103"/>
      <c r="F3" s="103" t="s">
        <v>7</v>
      </c>
      <c r="G3" s="103"/>
      <c r="H3" s="103" t="s">
        <v>7</v>
      </c>
      <c r="I3" s="105"/>
      <c r="J3" s="114"/>
      <c r="K3" s="18" t="s">
        <v>98</v>
      </c>
      <c r="L3" s="18" t="s">
        <v>13</v>
      </c>
      <c r="M3" s="114"/>
    </row>
    <row r="4" spans="1:13" ht="10.199999999999999" customHeight="1" x14ac:dyDescent="0.25">
      <c r="A4" s="6">
        <v>1</v>
      </c>
      <c r="B4" s="9" t="s">
        <v>14</v>
      </c>
      <c r="C4" s="23"/>
      <c r="D4" s="24"/>
      <c r="E4" s="25">
        <v>832830</v>
      </c>
      <c r="F4" s="25">
        <v>903210</v>
      </c>
      <c r="G4" s="25">
        <v>903210</v>
      </c>
      <c r="H4" s="25">
        <v>926670</v>
      </c>
      <c r="I4" s="24"/>
      <c r="J4" s="26">
        <v>891480</v>
      </c>
      <c r="K4" s="41">
        <v>797640</v>
      </c>
      <c r="L4" s="41">
        <v>905556</v>
      </c>
      <c r="M4" s="42">
        <v>851598</v>
      </c>
    </row>
    <row r="5" spans="1:13" ht="10.199999999999999" customHeight="1" x14ac:dyDescent="0.25">
      <c r="A5" s="6">
        <v>2</v>
      </c>
      <c r="B5" s="9" t="s">
        <v>15</v>
      </c>
      <c r="C5" s="23"/>
      <c r="D5" s="24"/>
      <c r="E5" s="25">
        <v>821100</v>
      </c>
      <c r="F5" s="25">
        <v>903210</v>
      </c>
      <c r="G5" s="25">
        <v>891480</v>
      </c>
      <c r="H5" s="25">
        <v>914940</v>
      </c>
      <c r="I5" s="24"/>
      <c r="J5" s="26">
        <v>882682.5</v>
      </c>
      <c r="K5" s="24"/>
      <c r="L5" s="24"/>
      <c r="M5" s="26"/>
    </row>
    <row r="6" spans="1:13" ht="10.199999999999999" customHeight="1" x14ac:dyDescent="0.25">
      <c r="A6" s="6">
        <v>3</v>
      </c>
      <c r="B6" s="2" t="s">
        <v>16</v>
      </c>
      <c r="C6" s="29"/>
      <c r="D6" s="24"/>
      <c r="E6" s="25">
        <v>715530</v>
      </c>
      <c r="F6" s="25"/>
      <c r="G6" s="30">
        <v>738990</v>
      </c>
      <c r="H6" s="25"/>
      <c r="I6" s="24"/>
      <c r="J6" s="26">
        <v>727260</v>
      </c>
      <c r="K6" s="87">
        <v>715530</v>
      </c>
      <c r="L6" s="87">
        <v>921098.25</v>
      </c>
      <c r="M6" s="42">
        <v>818319.99</v>
      </c>
    </row>
    <row r="7" spans="1:13" ht="10.199999999999999" customHeight="1" x14ac:dyDescent="0.25">
      <c r="A7" s="6">
        <v>4</v>
      </c>
      <c r="B7" s="2" t="s">
        <v>17</v>
      </c>
      <c r="C7" s="29"/>
      <c r="D7" s="24"/>
      <c r="E7" s="25">
        <v>727260</v>
      </c>
      <c r="F7" s="25">
        <v>727260</v>
      </c>
      <c r="G7" s="25">
        <v>774180</v>
      </c>
      <c r="H7" s="32"/>
      <c r="I7" s="24"/>
      <c r="J7" s="26">
        <v>742907.82</v>
      </c>
      <c r="K7" s="41">
        <v>707319</v>
      </c>
      <c r="L7" s="41">
        <v>774180</v>
      </c>
      <c r="M7" s="42">
        <v>740749.5</v>
      </c>
    </row>
    <row r="8" spans="1:13" ht="10.199999999999999" customHeight="1" x14ac:dyDescent="0.25">
      <c r="A8" s="6"/>
      <c r="B8" s="2" t="s">
        <v>18</v>
      </c>
      <c r="C8" s="29"/>
      <c r="D8" s="24"/>
      <c r="E8" s="25">
        <v>582981</v>
      </c>
      <c r="F8" s="25">
        <v>632247</v>
      </c>
      <c r="G8" s="25">
        <v>632247</v>
      </c>
      <c r="H8" s="25">
        <v>648669</v>
      </c>
      <c r="I8" s="24"/>
      <c r="J8" s="26">
        <v>624036</v>
      </c>
      <c r="K8" s="24"/>
      <c r="L8" s="24"/>
      <c r="M8" s="42"/>
    </row>
    <row r="9" spans="1:13" ht="10.199999999999999" customHeight="1" x14ac:dyDescent="0.25">
      <c r="A9" s="6">
        <v>5</v>
      </c>
      <c r="B9" s="2" t="s">
        <v>19</v>
      </c>
      <c r="C9" s="29"/>
      <c r="D9" s="24"/>
      <c r="E9" s="25">
        <v>500049.9</v>
      </c>
      <c r="F9" s="25">
        <v>550054.89</v>
      </c>
      <c r="G9" s="25">
        <v>542911.31999999995</v>
      </c>
      <c r="H9" s="25">
        <v>557198.46</v>
      </c>
      <c r="I9" s="24"/>
      <c r="J9" s="26">
        <v>537562.43999999994</v>
      </c>
      <c r="K9" s="79">
        <v>480930</v>
      </c>
      <c r="L9" s="79">
        <v>507909</v>
      </c>
      <c r="M9" s="80">
        <v>494419.5</v>
      </c>
    </row>
    <row r="10" spans="1:13" ht="10.199999999999999" customHeight="1" x14ac:dyDescent="0.25">
      <c r="A10" s="6">
        <v>6</v>
      </c>
      <c r="B10" s="14" t="s">
        <v>20</v>
      </c>
      <c r="C10" s="29"/>
      <c r="D10" s="24"/>
      <c r="E10" s="30">
        <v>633420</v>
      </c>
      <c r="F10" s="25">
        <v>645150</v>
      </c>
      <c r="G10" s="25"/>
      <c r="H10" s="25"/>
      <c r="I10" s="24"/>
      <c r="J10" s="26">
        <v>639285</v>
      </c>
      <c r="K10" s="24"/>
      <c r="L10" s="24"/>
      <c r="M10" s="26"/>
    </row>
    <row r="11" spans="1:13" ht="10.199999999999999" customHeight="1" x14ac:dyDescent="0.25">
      <c r="A11" s="6">
        <v>7</v>
      </c>
      <c r="B11" s="2" t="s">
        <v>21</v>
      </c>
      <c r="C11" s="29"/>
      <c r="D11" s="24"/>
      <c r="E11" s="25">
        <v>412896</v>
      </c>
      <c r="F11" s="25">
        <v>461223.6</v>
      </c>
      <c r="G11" s="25">
        <v>444567</v>
      </c>
      <c r="H11" s="25">
        <v>469434.6</v>
      </c>
      <c r="I11" s="24"/>
      <c r="J11" s="26">
        <v>447030.3</v>
      </c>
      <c r="K11" s="41">
        <v>315537</v>
      </c>
      <c r="L11" s="41">
        <v>316710</v>
      </c>
      <c r="M11" s="26"/>
    </row>
    <row r="12" spans="1:13" ht="10.199999999999999" customHeight="1" x14ac:dyDescent="0.25">
      <c r="A12" s="6">
        <v>8</v>
      </c>
      <c r="B12" s="2" t="s">
        <v>22</v>
      </c>
      <c r="C12" s="29"/>
      <c r="D12" s="24"/>
      <c r="E12" s="25">
        <v>643977</v>
      </c>
      <c r="F12" s="25">
        <v>708374.7</v>
      </c>
      <c r="G12" s="25">
        <v>804971.25</v>
      </c>
      <c r="H12" s="25">
        <v>751306.5</v>
      </c>
      <c r="I12" s="24"/>
      <c r="J12" s="26">
        <v>727166.16</v>
      </c>
      <c r="K12" s="53">
        <v>900864</v>
      </c>
      <c r="L12" s="83">
        <v>719049</v>
      </c>
      <c r="M12" s="26"/>
    </row>
    <row r="13" spans="1:13" ht="10.199999999999999" customHeight="1" x14ac:dyDescent="0.25">
      <c r="A13" s="6">
        <v>9</v>
      </c>
      <c r="B13" s="2" t="s">
        <v>23</v>
      </c>
      <c r="C13" s="29"/>
      <c r="D13" s="24"/>
      <c r="E13" s="25">
        <v>392955</v>
      </c>
      <c r="F13" s="25">
        <v>518700.6</v>
      </c>
      <c r="G13" s="25">
        <v>589432.5</v>
      </c>
      <c r="H13" s="25">
        <v>392955</v>
      </c>
      <c r="I13" s="24"/>
      <c r="J13" s="26">
        <v>473516.64</v>
      </c>
      <c r="K13" s="53">
        <v>599403</v>
      </c>
      <c r="L13" s="97">
        <v>445740</v>
      </c>
      <c r="M13" s="26"/>
    </row>
    <row r="14" spans="1:13" ht="10.199999999999999" customHeight="1" x14ac:dyDescent="0.25">
      <c r="A14" s="6">
        <v>10</v>
      </c>
      <c r="B14" s="2" t="s">
        <v>24</v>
      </c>
      <c r="C14" s="29"/>
      <c r="D14" s="24"/>
      <c r="E14" s="25">
        <v>140760</v>
      </c>
      <c r="F14" s="25">
        <v>166566</v>
      </c>
      <c r="G14" s="25">
        <v>146625</v>
      </c>
      <c r="H14" s="25">
        <v>172431</v>
      </c>
      <c r="I14" s="24"/>
      <c r="J14" s="26">
        <v>156595.5</v>
      </c>
      <c r="K14" s="41">
        <v>134895</v>
      </c>
      <c r="L14" s="41">
        <v>143692.5</v>
      </c>
      <c r="M14" s="42">
        <v>139293.75</v>
      </c>
    </row>
    <row r="15" spans="1:13" ht="10.199999999999999" customHeight="1" x14ac:dyDescent="0.25">
      <c r="A15" s="6">
        <v>11</v>
      </c>
      <c r="B15" s="2" t="s">
        <v>25</v>
      </c>
      <c r="C15" s="36"/>
      <c r="D15" s="37"/>
      <c r="E15" s="38">
        <v>129030</v>
      </c>
      <c r="F15" s="25"/>
      <c r="G15" s="25">
        <v>152490</v>
      </c>
      <c r="H15" s="38"/>
      <c r="I15" s="24"/>
      <c r="J15" s="26">
        <v>140760</v>
      </c>
      <c r="K15" s="41">
        <v>140760</v>
      </c>
      <c r="L15" s="41">
        <v>225216</v>
      </c>
      <c r="M15" s="42">
        <v>182988</v>
      </c>
    </row>
    <row r="16" spans="1:13" s="15" customFormat="1" ht="10.199999999999999" customHeight="1" x14ac:dyDescent="0.25">
      <c r="A16" s="6">
        <v>12</v>
      </c>
      <c r="B16" s="2" t="s">
        <v>26</v>
      </c>
      <c r="C16" s="36"/>
      <c r="D16" s="37"/>
      <c r="E16" s="38">
        <v>93840</v>
      </c>
      <c r="F16" s="25">
        <v>104397</v>
      </c>
      <c r="G16" s="25">
        <v>82110</v>
      </c>
      <c r="H16" s="38">
        <v>87975</v>
      </c>
      <c r="I16" s="24"/>
      <c r="J16" s="26">
        <v>92080.5</v>
      </c>
      <c r="K16" s="81">
        <v>79764</v>
      </c>
      <c r="L16" s="81">
        <v>99705</v>
      </c>
      <c r="M16" s="82">
        <v>89734.5</v>
      </c>
    </row>
    <row r="17" spans="1:13" ht="10.199999999999999" customHeight="1" x14ac:dyDescent="0.25">
      <c r="A17" s="6">
        <v>13</v>
      </c>
      <c r="B17" s="2" t="s">
        <v>27</v>
      </c>
      <c r="C17" s="36"/>
      <c r="D17" s="37"/>
      <c r="E17" s="38"/>
      <c r="F17" s="25"/>
      <c r="G17" s="25"/>
      <c r="H17" s="38"/>
      <c r="I17" s="24"/>
      <c r="J17" s="26"/>
      <c r="K17" s="41">
        <v>51612</v>
      </c>
      <c r="L17" s="41">
        <v>51846.6</v>
      </c>
      <c r="M17" s="42">
        <v>51729.3</v>
      </c>
    </row>
    <row r="18" spans="1:13" ht="21.6" customHeight="1" x14ac:dyDescent="0.25">
      <c r="A18" s="6">
        <v>14</v>
      </c>
      <c r="B18" s="2" t="s">
        <v>28</v>
      </c>
      <c r="C18" s="36"/>
      <c r="D18" s="37"/>
      <c r="E18" s="38">
        <v>140760</v>
      </c>
      <c r="F18" s="38">
        <v>166566</v>
      </c>
      <c r="G18" s="38">
        <v>146625</v>
      </c>
      <c r="H18" s="38">
        <v>172431</v>
      </c>
      <c r="I18" s="24"/>
      <c r="J18" s="26">
        <v>156595.5</v>
      </c>
      <c r="K18" s="95">
        <v>164806.5</v>
      </c>
      <c r="L18" s="95">
        <v>253368</v>
      </c>
      <c r="M18" s="80">
        <v>209087.25</v>
      </c>
    </row>
    <row r="19" spans="1:13" ht="12" customHeight="1" x14ac:dyDescent="0.25">
      <c r="A19" s="6"/>
      <c r="B19" s="2" t="s">
        <v>29</v>
      </c>
      <c r="C19" s="36"/>
      <c r="D19" s="37"/>
      <c r="E19" s="38">
        <v>211843.8</v>
      </c>
      <c r="F19" s="38">
        <v>236476.79999999999</v>
      </c>
      <c r="G19" s="38">
        <v>226623.6</v>
      </c>
      <c r="H19" s="38">
        <v>231550.2</v>
      </c>
      <c r="I19" s="24"/>
      <c r="J19" s="26">
        <v>226623.6</v>
      </c>
      <c r="K19" s="43">
        <v>134895</v>
      </c>
      <c r="L19" s="43">
        <v>175950</v>
      </c>
      <c r="M19" s="26"/>
    </row>
    <row r="20" spans="1:13" ht="10.199999999999999" customHeight="1" x14ac:dyDescent="0.25">
      <c r="A20" s="6">
        <v>15</v>
      </c>
      <c r="B20" s="2" t="s">
        <v>30</v>
      </c>
      <c r="C20" s="36"/>
      <c r="D20" s="37"/>
      <c r="E20" s="38">
        <v>504390</v>
      </c>
      <c r="F20" s="25">
        <v>563040</v>
      </c>
      <c r="G20" s="25">
        <v>539580</v>
      </c>
      <c r="H20" s="38">
        <v>551310</v>
      </c>
      <c r="I20" s="24"/>
      <c r="J20" s="26">
        <v>539580</v>
      </c>
      <c r="K20" s="41">
        <v>492660</v>
      </c>
      <c r="L20" s="41">
        <v>563040</v>
      </c>
      <c r="M20" s="42">
        <v>527850</v>
      </c>
    </row>
    <row r="21" spans="1:13" ht="10.199999999999999" customHeight="1" x14ac:dyDescent="0.25">
      <c r="A21" s="6">
        <v>16</v>
      </c>
      <c r="B21" s="2" t="s">
        <v>31</v>
      </c>
      <c r="C21" s="36"/>
      <c r="D21" s="37"/>
      <c r="E21" s="38">
        <v>410550</v>
      </c>
      <c r="F21" s="25">
        <v>498525</v>
      </c>
      <c r="G21" s="25">
        <v>480930</v>
      </c>
      <c r="H21" s="38">
        <v>492660</v>
      </c>
      <c r="I21" s="24"/>
      <c r="J21" s="26">
        <v>470666.25</v>
      </c>
      <c r="K21" s="41">
        <v>469200</v>
      </c>
      <c r="L21" s="41">
        <v>548377.5</v>
      </c>
      <c r="M21" s="42">
        <v>508788.75</v>
      </c>
    </row>
    <row r="22" spans="1:13" ht="10.199999999999999" customHeight="1" x14ac:dyDescent="0.25">
      <c r="A22" s="6">
        <v>17</v>
      </c>
      <c r="B22" s="2" t="s">
        <v>32</v>
      </c>
      <c r="C22" s="36"/>
      <c r="D22" s="37"/>
      <c r="E22" s="38">
        <v>516120</v>
      </c>
      <c r="F22" s="38">
        <v>574770</v>
      </c>
      <c r="G22" s="38">
        <v>551310</v>
      </c>
      <c r="H22" s="38"/>
      <c r="I22" s="24"/>
      <c r="J22" s="26">
        <v>547403.91</v>
      </c>
      <c r="K22" s="81">
        <v>491487</v>
      </c>
      <c r="L22" s="81">
        <v>498525</v>
      </c>
      <c r="M22" s="82">
        <v>495006</v>
      </c>
    </row>
    <row r="23" spans="1:13" ht="10.199999999999999" customHeight="1" x14ac:dyDescent="0.25">
      <c r="A23" s="6">
        <v>18</v>
      </c>
      <c r="B23" s="2" t="s">
        <v>33</v>
      </c>
      <c r="C23" s="36"/>
      <c r="D23" s="37"/>
      <c r="E23" s="38">
        <v>422280</v>
      </c>
      <c r="F23" s="38">
        <v>498525</v>
      </c>
      <c r="G23" s="38">
        <v>492660</v>
      </c>
      <c r="H23" s="38"/>
      <c r="I23" s="24"/>
      <c r="J23" s="26">
        <v>471158.91</v>
      </c>
      <c r="K23" s="46">
        <v>383571</v>
      </c>
      <c r="L23" s="46">
        <v>521398.5</v>
      </c>
      <c r="M23" s="26"/>
    </row>
    <row r="24" spans="1:13" ht="10.199999999999999" customHeight="1" x14ac:dyDescent="0.25">
      <c r="A24" s="6">
        <v>19</v>
      </c>
      <c r="B24" s="1" t="s">
        <v>34</v>
      </c>
      <c r="C24" s="47"/>
      <c r="D24" s="37"/>
      <c r="E24" s="38">
        <v>504390</v>
      </c>
      <c r="F24" s="25">
        <v>563040</v>
      </c>
      <c r="G24" s="25">
        <v>539580</v>
      </c>
      <c r="H24" s="38">
        <v>551310</v>
      </c>
      <c r="I24" s="24"/>
      <c r="J24" s="26">
        <v>539580</v>
      </c>
      <c r="K24" s="53">
        <v>416415</v>
      </c>
      <c r="L24" s="53">
        <v>419934</v>
      </c>
      <c r="M24" s="26"/>
    </row>
    <row r="25" spans="1:13" ht="10.199999999999999" customHeight="1" x14ac:dyDescent="0.25">
      <c r="A25" s="6">
        <v>20</v>
      </c>
      <c r="B25" s="2" t="s">
        <v>35</v>
      </c>
      <c r="C25" s="36"/>
      <c r="D25" s="37"/>
      <c r="E25" s="38">
        <v>609960</v>
      </c>
      <c r="F25" s="25">
        <v>633420</v>
      </c>
      <c r="G25" s="25">
        <v>621690</v>
      </c>
      <c r="H25" s="38">
        <v>645150</v>
      </c>
      <c r="I25" s="24"/>
      <c r="J25" s="26">
        <v>627555</v>
      </c>
      <c r="K25" s="81">
        <v>570078</v>
      </c>
      <c r="L25" s="81">
        <v>627555</v>
      </c>
      <c r="M25" s="82">
        <v>598816.5</v>
      </c>
    </row>
    <row r="26" spans="1:13" ht="10.8" customHeight="1" x14ac:dyDescent="0.25">
      <c r="A26" s="6">
        <v>21</v>
      </c>
      <c r="B26" s="2" t="s">
        <v>36</v>
      </c>
      <c r="C26" s="36"/>
      <c r="D26" s="37"/>
      <c r="E26" s="38">
        <v>609960</v>
      </c>
      <c r="F26" s="25">
        <v>645150</v>
      </c>
      <c r="G26" s="25">
        <v>656880</v>
      </c>
      <c r="H26" s="38"/>
      <c r="I26" s="24"/>
      <c r="J26" s="26">
        <v>637337.81999999995</v>
      </c>
      <c r="K26" s="41">
        <v>621690</v>
      </c>
      <c r="L26" s="41">
        <v>778090</v>
      </c>
      <c r="M26" s="42">
        <v>699893.91</v>
      </c>
    </row>
    <row r="27" spans="1:13" ht="10.199999999999999" customHeight="1" x14ac:dyDescent="0.25">
      <c r="A27" s="6">
        <v>22</v>
      </c>
      <c r="B27" s="2" t="s">
        <v>37</v>
      </c>
      <c r="C27" s="36"/>
      <c r="D27" s="37"/>
      <c r="E27" s="38">
        <v>563040</v>
      </c>
      <c r="F27" s="25">
        <v>545445</v>
      </c>
      <c r="G27" s="25">
        <v>563040</v>
      </c>
      <c r="H27" s="38"/>
      <c r="I27" s="24"/>
      <c r="J27" s="26">
        <v>557175</v>
      </c>
      <c r="K27" s="41">
        <v>598230</v>
      </c>
      <c r="L27" s="41">
        <v>723741</v>
      </c>
      <c r="M27" s="42">
        <v>640458</v>
      </c>
    </row>
    <row r="28" spans="1:13" ht="10.199999999999999" customHeight="1" x14ac:dyDescent="0.25">
      <c r="A28" s="6">
        <v>23</v>
      </c>
      <c r="B28" s="2" t="s">
        <v>38</v>
      </c>
      <c r="C28" s="36"/>
      <c r="D28" s="37"/>
      <c r="E28" s="38">
        <v>2228700</v>
      </c>
      <c r="F28" s="25">
        <v>1958910</v>
      </c>
      <c r="G28" s="25">
        <v>2111400</v>
      </c>
      <c r="H28" s="38">
        <v>1994100</v>
      </c>
      <c r="I28" s="24"/>
      <c r="J28" s="26">
        <v>2073277.5</v>
      </c>
      <c r="K28" s="41">
        <v>2071518</v>
      </c>
      <c r="L28" s="41">
        <v>2410515</v>
      </c>
      <c r="M28" s="42">
        <v>2241016.5</v>
      </c>
    </row>
    <row r="29" spans="1:13" ht="10.199999999999999" customHeight="1" x14ac:dyDescent="0.25">
      <c r="A29" s="6">
        <v>24</v>
      </c>
      <c r="B29" s="2" t="s">
        <v>39</v>
      </c>
      <c r="C29" s="36"/>
      <c r="D29" s="37"/>
      <c r="E29" s="38">
        <v>2170050</v>
      </c>
      <c r="F29" s="25">
        <v>1900260</v>
      </c>
      <c r="G29" s="25">
        <v>2052750</v>
      </c>
      <c r="H29" s="38">
        <v>1935450</v>
      </c>
      <c r="I29" s="24"/>
      <c r="J29" s="26">
        <v>2014627.5</v>
      </c>
      <c r="K29" s="81">
        <v>1788825</v>
      </c>
      <c r="L29" s="81">
        <v>2212278</v>
      </c>
      <c r="M29" s="82">
        <v>2000551.5</v>
      </c>
    </row>
    <row r="30" spans="1:13" ht="10.199999999999999" customHeight="1" x14ac:dyDescent="0.25">
      <c r="A30" s="6">
        <v>25</v>
      </c>
      <c r="B30" s="2" t="s">
        <v>40</v>
      </c>
      <c r="C30" s="36"/>
      <c r="D30" s="37"/>
      <c r="E30" s="38">
        <v>2521950</v>
      </c>
      <c r="F30" s="25">
        <v>1935450</v>
      </c>
      <c r="G30" s="25">
        <v>2346000</v>
      </c>
      <c r="H30" s="38"/>
      <c r="I30" s="24"/>
      <c r="J30" s="26">
        <v>2267807.8199999998</v>
      </c>
      <c r="K30" s="83">
        <v>913767</v>
      </c>
      <c r="L30" s="41">
        <v>2869940</v>
      </c>
      <c r="M30" s="26">
        <v>2514130</v>
      </c>
    </row>
    <row r="31" spans="1:13" ht="10.199999999999999" customHeight="1" x14ac:dyDescent="0.25">
      <c r="A31" s="6">
        <v>26</v>
      </c>
      <c r="B31" s="2" t="s">
        <v>41</v>
      </c>
      <c r="C31" s="36"/>
      <c r="D31" s="37"/>
      <c r="E31" s="38">
        <v>1891462.5</v>
      </c>
      <c r="F31" s="38">
        <v>1451587.5</v>
      </c>
      <c r="G31" s="38">
        <v>1759500</v>
      </c>
      <c r="H31" s="38"/>
      <c r="I31" s="24"/>
      <c r="J31" s="26">
        <v>1700850</v>
      </c>
      <c r="K31" s="41">
        <v>1618740</v>
      </c>
      <c r="L31" s="41">
        <v>2152455</v>
      </c>
      <c r="M31" s="42">
        <v>1885597.5</v>
      </c>
    </row>
    <row r="32" spans="1:13" ht="10.199999999999999" customHeight="1" x14ac:dyDescent="0.25">
      <c r="A32" s="6">
        <v>27</v>
      </c>
      <c r="B32" s="2" t="s">
        <v>42</v>
      </c>
      <c r="C32" s="36"/>
      <c r="D32" s="37"/>
      <c r="E32" s="38">
        <v>445740</v>
      </c>
      <c r="F32" s="25">
        <v>351900</v>
      </c>
      <c r="G32" s="25">
        <v>375360</v>
      </c>
      <c r="H32" s="38"/>
      <c r="I32" s="24"/>
      <c r="J32" s="26">
        <v>391007.82</v>
      </c>
      <c r="K32" s="50">
        <v>297942</v>
      </c>
      <c r="L32" s="50">
        <v>916113</v>
      </c>
      <c r="M32" s="26"/>
    </row>
    <row r="33" spans="1:13" ht="10.199999999999999" customHeight="1" x14ac:dyDescent="0.25">
      <c r="A33" s="6">
        <v>28</v>
      </c>
      <c r="B33" s="2" t="s">
        <v>43</v>
      </c>
      <c r="C33" s="36"/>
      <c r="D33" s="37"/>
      <c r="E33" s="25">
        <v>334305</v>
      </c>
      <c r="F33" s="25">
        <v>263925</v>
      </c>
      <c r="G33" s="25">
        <v>281520</v>
      </c>
      <c r="H33" s="38"/>
      <c r="I33" s="24"/>
      <c r="J33" s="26">
        <v>293250</v>
      </c>
      <c r="K33" s="98">
        <v>263925</v>
      </c>
      <c r="L33" s="98">
        <v>272136</v>
      </c>
      <c r="M33" s="26"/>
    </row>
    <row r="34" spans="1:13" ht="10.199999999999999" customHeight="1" x14ac:dyDescent="0.25">
      <c r="A34" s="6">
        <v>29</v>
      </c>
      <c r="B34" s="2" t="s">
        <v>44</v>
      </c>
      <c r="C34" s="36"/>
      <c r="D34" s="37"/>
      <c r="E34" s="38">
        <v>83869.5</v>
      </c>
      <c r="F34" s="25">
        <v>72256.800000000003</v>
      </c>
      <c r="G34" s="25">
        <v>78825.600000000006</v>
      </c>
      <c r="H34" s="38"/>
      <c r="I34" s="24"/>
      <c r="J34" s="26">
        <v>78321.210000000006</v>
      </c>
      <c r="K34" s="95">
        <v>79529.399999999994</v>
      </c>
      <c r="L34" s="95">
        <v>82696.5</v>
      </c>
      <c r="M34" s="99">
        <v>81112.95</v>
      </c>
    </row>
    <row r="35" spans="1:13" ht="10.199999999999999" customHeight="1" x14ac:dyDescent="0.25">
      <c r="A35" s="6">
        <v>30</v>
      </c>
      <c r="B35" s="2" t="s">
        <v>45</v>
      </c>
      <c r="C35" s="36"/>
      <c r="D35" s="37"/>
      <c r="E35" s="38">
        <v>187680</v>
      </c>
      <c r="F35" s="25">
        <v>164220</v>
      </c>
      <c r="G35" s="25"/>
      <c r="H35" s="38"/>
      <c r="I35" s="24"/>
      <c r="J35" s="26">
        <v>175950</v>
      </c>
      <c r="K35" s="24"/>
      <c r="L35" s="24"/>
      <c r="M35" s="26">
        <v>175950</v>
      </c>
    </row>
    <row r="36" spans="1:13" ht="10.199999999999999" customHeight="1" x14ac:dyDescent="0.25">
      <c r="A36" s="6">
        <v>31</v>
      </c>
      <c r="B36" s="2" t="s">
        <v>46</v>
      </c>
      <c r="C36" s="36"/>
      <c r="D36" s="37"/>
      <c r="E36" s="38">
        <v>328440</v>
      </c>
      <c r="F36" s="25"/>
      <c r="G36" s="25">
        <v>316710</v>
      </c>
      <c r="H36" s="38"/>
      <c r="I36" s="24"/>
      <c r="J36" s="26">
        <v>322575</v>
      </c>
      <c r="K36" s="85">
        <v>158355</v>
      </c>
      <c r="L36" s="37"/>
      <c r="M36" s="26">
        <v>322575</v>
      </c>
    </row>
    <row r="37" spans="1:13" ht="10.199999999999999" customHeight="1" x14ac:dyDescent="0.25">
      <c r="A37" s="6">
        <v>32</v>
      </c>
      <c r="B37" s="2" t="s">
        <v>47</v>
      </c>
      <c r="C37" s="36"/>
      <c r="D37" s="37"/>
      <c r="E37" s="38">
        <v>504390</v>
      </c>
      <c r="F37" s="25"/>
      <c r="G37" s="25">
        <v>527850</v>
      </c>
      <c r="H37" s="38"/>
      <c r="I37" s="24"/>
      <c r="J37" s="26">
        <v>516120</v>
      </c>
      <c r="K37" s="24"/>
      <c r="L37" s="24"/>
      <c r="M37" s="26">
        <v>516120</v>
      </c>
    </row>
    <row r="38" spans="1:13" ht="10.199999999999999" customHeight="1" x14ac:dyDescent="0.25">
      <c r="A38" s="6">
        <v>33</v>
      </c>
      <c r="B38" s="2" t="s">
        <v>48</v>
      </c>
      <c r="C38" s="36"/>
      <c r="D38" s="37"/>
      <c r="E38" s="38"/>
      <c r="F38" s="25"/>
      <c r="G38" s="25"/>
      <c r="H38" s="38"/>
      <c r="I38" s="24"/>
      <c r="J38" s="52">
        <v>46920</v>
      </c>
      <c r="K38" s="53">
        <v>46920</v>
      </c>
      <c r="L38" s="53">
        <v>48093</v>
      </c>
      <c r="M38" s="52">
        <v>46920</v>
      </c>
    </row>
    <row r="39" spans="1:13" ht="26.4" x14ac:dyDescent="0.25">
      <c r="A39" s="6">
        <v>34</v>
      </c>
      <c r="B39" s="2" t="s">
        <v>49</v>
      </c>
      <c r="C39" s="36"/>
      <c r="D39" s="37"/>
      <c r="E39" s="38">
        <v>66509.100000000006</v>
      </c>
      <c r="F39" s="38">
        <v>69441.600000000006</v>
      </c>
      <c r="G39" s="38"/>
      <c r="H39" s="38"/>
      <c r="I39" s="24"/>
      <c r="J39" s="54">
        <v>67975.350000000006</v>
      </c>
      <c r="K39" s="50">
        <v>72726</v>
      </c>
      <c r="L39" s="50">
        <v>73077.899999999994</v>
      </c>
      <c r="M39" s="54">
        <v>67975.350000000006</v>
      </c>
    </row>
    <row r="40" spans="1:13" ht="20.399999999999999" customHeight="1" x14ac:dyDescent="0.25">
      <c r="A40" s="6"/>
      <c r="B40" s="2" t="s">
        <v>50</v>
      </c>
      <c r="C40" s="36"/>
      <c r="D40" s="37"/>
      <c r="E40" s="38"/>
      <c r="F40" s="38"/>
      <c r="G40" s="38"/>
      <c r="H40" s="38"/>
      <c r="I40" s="24"/>
      <c r="J40" s="26"/>
      <c r="K40" s="37"/>
      <c r="L40" s="41">
        <v>49500.6</v>
      </c>
      <c r="M40" s="41">
        <v>49500.6</v>
      </c>
    </row>
    <row r="41" spans="1:13" ht="30.6" customHeight="1" x14ac:dyDescent="0.25">
      <c r="A41" s="6">
        <v>35</v>
      </c>
      <c r="B41" s="2" t="s">
        <v>51</v>
      </c>
      <c r="C41" s="36"/>
      <c r="D41" s="37"/>
      <c r="E41" s="38">
        <v>78239.100000000006</v>
      </c>
      <c r="F41" s="38"/>
      <c r="G41" s="38"/>
      <c r="H41" s="38"/>
      <c r="I41" s="37"/>
      <c r="J41" s="54">
        <v>78239.100000000006</v>
      </c>
      <c r="K41" s="24"/>
      <c r="L41" s="24"/>
      <c r="M41" s="54">
        <v>78239.100000000006</v>
      </c>
    </row>
    <row r="42" spans="1:13" ht="30.6" customHeight="1" x14ac:dyDescent="0.25">
      <c r="A42" s="6">
        <v>36</v>
      </c>
      <c r="B42" s="2" t="s">
        <v>52</v>
      </c>
      <c r="C42" s="36"/>
      <c r="D42" s="37"/>
      <c r="E42" s="38">
        <v>64515</v>
      </c>
      <c r="F42" s="38">
        <v>50908.2</v>
      </c>
      <c r="G42" s="38"/>
      <c r="H42" s="38">
        <v>48914.1</v>
      </c>
      <c r="I42" s="37"/>
      <c r="J42" s="54">
        <v>54779.1</v>
      </c>
      <c r="K42" s="24"/>
      <c r="L42" s="24"/>
      <c r="M42" s="54">
        <v>57711.6</v>
      </c>
    </row>
    <row r="43" spans="1:13" ht="9.6" customHeight="1" x14ac:dyDescent="0.25">
      <c r="A43" s="6">
        <v>37</v>
      </c>
      <c r="B43" s="3" t="s">
        <v>53</v>
      </c>
      <c r="C43" s="29"/>
      <c r="D43" s="37"/>
      <c r="E43" s="38"/>
      <c r="F43" s="38">
        <v>46920</v>
      </c>
      <c r="G43" s="38"/>
      <c r="H43" s="38"/>
      <c r="I43" s="37"/>
      <c r="J43" s="37"/>
      <c r="K43" s="87">
        <v>100878</v>
      </c>
      <c r="L43" s="87">
        <v>117886.5</v>
      </c>
      <c r="M43" s="87">
        <v>109382.25</v>
      </c>
    </row>
    <row r="44" spans="1:13" ht="9.6" customHeight="1" x14ac:dyDescent="0.25">
      <c r="A44" s="6">
        <v>38</v>
      </c>
      <c r="B44" s="3" t="s">
        <v>54</v>
      </c>
      <c r="C44" s="29"/>
      <c r="D44" s="37"/>
      <c r="E44" s="38"/>
      <c r="F44" s="38">
        <v>46920</v>
      </c>
      <c r="G44" s="38"/>
      <c r="H44" s="38"/>
      <c r="I44" s="37"/>
      <c r="J44" s="37"/>
      <c r="K44" s="87">
        <v>70380</v>
      </c>
      <c r="L44" s="87">
        <v>70966.5</v>
      </c>
      <c r="M44" s="87">
        <v>70673.25</v>
      </c>
    </row>
    <row r="45" spans="1:13" ht="10.199999999999999" hidden="1" customHeight="1" x14ac:dyDescent="0.25">
      <c r="A45" s="6"/>
      <c r="B45" s="3" t="s">
        <v>55</v>
      </c>
      <c r="C45" s="29"/>
      <c r="D45" s="37"/>
      <c r="E45" s="38"/>
      <c r="F45" s="38"/>
      <c r="G45" s="38"/>
      <c r="H45" s="38"/>
      <c r="I45" s="56">
        <v>32844</v>
      </c>
      <c r="J45" s="37"/>
      <c r="K45" s="37"/>
      <c r="L45" s="37"/>
      <c r="M45" s="57" t="s">
        <v>100</v>
      </c>
    </row>
    <row r="46" spans="1:13" ht="10.199999999999999" hidden="1" customHeight="1" x14ac:dyDescent="0.25">
      <c r="A46" s="6"/>
      <c r="B46" s="3" t="s">
        <v>56</v>
      </c>
      <c r="C46" s="29"/>
      <c r="D46" s="37"/>
      <c r="E46" s="38"/>
      <c r="F46" s="38"/>
      <c r="G46" s="38"/>
      <c r="H46" s="38"/>
      <c r="I46" s="56">
        <v>11730</v>
      </c>
      <c r="J46" s="37"/>
      <c r="K46" s="37"/>
      <c r="L46" s="37"/>
      <c r="M46" s="57" t="s">
        <v>100</v>
      </c>
    </row>
    <row r="47" spans="1:13" ht="10.199999999999999" hidden="1" customHeight="1" x14ac:dyDescent="0.25">
      <c r="A47" s="6"/>
      <c r="B47" s="3" t="s">
        <v>57</v>
      </c>
      <c r="C47" s="29"/>
      <c r="D47" s="37"/>
      <c r="E47" s="38"/>
      <c r="F47" s="38"/>
      <c r="G47" s="38">
        <v>46920</v>
      </c>
      <c r="H47" s="38"/>
      <c r="I47" s="56">
        <v>23460</v>
      </c>
      <c r="J47" s="37"/>
      <c r="K47" s="37"/>
      <c r="L47" s="37"/>
      <c r="M47" s="57" t="s">
        <v>100</v>
      </c>
    </row>
    <row r="48" spans="1:13" ht="10.199999999999999" hidden="1" customHeight="1" x14ac:dyDescent="0.25">
      <c r="A48" s="6"/>
      <c r="B48" s="3" t="s">
        <v>58</v>
      </c>
      <c r="C48" s="29"/>
      <c r="D48" s="37"/>
      <c r="E48" s="38"/>
      <c r="F48" s="38"/>
      <c r="G48" s="38">
        <v>17595</v>
      </c>
      <c r="H48" s="38"/>
      <c r="I48" s="56">
        <v>11730</v>
      </c>
      <c r="J48" s="37"/>
      <c r="K48" s="37"/>
      <c r="L48" s="37"/>
      <c r="M48" s="57" t="s">
        <v>100</v>
      </c>
    </row>
    <row r="49" spans="1:18" ht="10.199999999999999" customHeight="1" x14ac:dyDescent="0.25">
      <c r="A49" s="6">
        <v>39</v>
      </c>
      <c r="B49" s="3" t="s">
        <v>59</v>
      </c>
      <c r="C49" s="29"/>
      <c r="D49" s="37"/>
      <c r="E49" s="38"/>
      <c r="F49" s="58">
        <v>23460</v>
      </c>
      <c r="G49" s="38"/>
      <c r="H49" s="58"/>
      <c r="I49" s="37"/>
      <c r="J49" s="37"/>
      <c r="K49" s="57">
        <v>35893.800000000003</v>
      </c>
      <c r="L49" s="57">
        <v>84221.4</v>
      </c>
      <c r="M49" s="57">
        <v>60057.599999999999</v>
      </c>
    </row>
    <row r="50" spans="1:18" ht="19.2" customHeight="1" x14ac:dyDescent="0.25">
      <c r="A50" s="6">
        <v>40</v>
      </c>
      <c r="B50" s="3" t="s">
        <v>60</v>
      </c>
      <c r="C50" s="29"/>
      <c r="D50" s="37"/>
      <c r="E50" s="38"/>
      <c r="F50" s="38"/>
      <c r="G50" s="38"/>
      <c r="H50" s="38"/>
      <c r="I50" s="56">
        <v>41055</v>
      </c>
      <c r="J50" s="26"/>
      <c r="K50" s="37"/>
      <c r="L50" s="37"/>
      <c r="M50" s="60">
        <v>41055</v>
      </c>
    </row>
    <row r="51" spans="1:18" ht="10.199999999999999" customHeight="1" x14ac:dyDescent="0.25">
      <c r="A51" s="6">
        <v>41</v>
      </c>
      <c r="B51" s="7" t="s">
        <v>61</v>
      </c>
      <c r="C51" s="38">
        <v>25219.5</v>
      </c>
      <c r="D51" s="61"/>
      <c r="E51" s="62"/>
      <c r="F51" s="38"/>
      <c r="G51" s="62"/>
      <c r="H51" s="38"/>
      <c r="I51" s="61"/>
      <c r="J51" s="26"/>
      <c r="K51" s="61"/>
      <c r="L51" s="61"/>
      <c r="M51" s="26">
        <v>25219.5</v>
      </c>
    </row>
    <row r="52" spans="1:18" ht="10.199999999999999" customHeight="1" x14ac:dyDescent="0.25">
      <c r="A52" s="6">
        <v>42</v>
      </c>
      <c r="B52" s="10" t="s">
        <v>62</v>
      </c>
      <c r="C52" s="38">
        <v>25219.5</v>
      </c>
      <c r="D52" s="37"/>
      <c r="E52" s="38"/>
      <c r="F52" s="38"/>
      <c r="G52" s="38"/>
      <c r="H52" s="38"/>
      <c r="I52" s="37"/>
      <c r="J52" s="37"/>
      <c r="K52" s="87">
        <v>25806</v>
      </c>
      <c r="L52" s="87">
        <v>25923.3</v>
      </c>
      <c r="M52" s="87">
        <v>25864.65</v>
      </c>
    </row>
    <row r="53" spans="1:18" ht="10.199999999999999" customHeight="1" x14ac:dyDescent="0.25">
      <c r="A53" s="6">
        <v>43</v>
      </c>
      <c r="B53" s="10" t="s">
        <v>63</v>
      </c>
      <c r="C53" s="38">
        <v>25219.5</v>
      </c>
      <c r="D53" s="37"/>
      <c r="E53" s="38"/>
      <c r="F53" s="38"/>
      <c r="G53" s="38"/>
      <c r="H53" s="38"/>
      <c r="I53" s="37"/>
      <c r="J53" s="37"/>
      <c r="K53" s="87">
        <v>43401</v>
      </c>
      <c r="L53" s="87">
        <v>55365.599999999999</v>
      </c>
      <c r="M53" s="87">
        <v>49383.3</v>
      </c>
    </row>
    <row r="54" spans="1:18" ht="10.199999999999999" customHeight="1" x14ac:dyDescent="0.25">
      <c r="A54" s="6">
        <v>44</v>
      </c>
      <c r="B54" s="10" t="s">
        <v>64</v>
      </c>
      <c r="C54" s="38"/>
      <c r="D54" s="37">
        <v>37536</v>
      </c>
      <c r="E54" s="38"/>
      <c r="F54" s="38"/>
      <c r="G54" s="38"/>
      <c r="H54" s="38"/>
      <c r="I54" s="37"/>
      <c r="J54" s="52">
        <v>37536</v>
      </c>
      <c r="K54" s="37"/>
      <c r="L54" s="37"/>
      <c r="M54" s="52">
        <v>37536</v>
      </c>
    </row>
    <row r="55" spans="1:18" ht="10.199999999999999" customHeight="1" x14ac:dyDescent="0.25">
      <c r="A55" s="6">
        <v>45</v>
      </c>
      <c r="B55" s="10" t="s">
        <v>65</v>
      </c>
      <c r="C55" s="38"/>
      <c r="D55" s="37"/>
      <c r="E55" s="38"/>
      <c r="F55" s="38"/>
      <c r="G55" s="38"/>
      <c r="H55" s="38"/>
      <c r="I55" s="37"/>
      <c r="J55" s="54"/>
      <c r="K55" s="37"/>
      <c r="L55" s="37"/>
      <c r="M55" s="54">
        <v>25641.67</v>
      </c>
    </row>
    <row r="56" spans="1:18" s="8" customFormat="1" ht="10.199999999999999" customHeight="1" x14ac:dyDescent="0.25">
      <c r="A56" s="6">
        <v>46</v>
      </c>
      <c r="B56" s="7" t="s">
        <v>66</v>
      </c>
      <c r="C56" s="38">
        <v>26744.400000000001</v>
      </c>
      <c r="D56" s="37">
        <v>31671</v>
      </c>
      <c r="E56" s="38"/>
      <c r="F56" s="38"/>
      <c r="G56" s="38"/>
      <c r="H56" s="38"/>
      <c r="I56" s="37"/>
      <c r="J56" s="26">
        <v>29207.7</v>
      </c>
      <c r="K56" s="37"/>
      <c r="L56" s="37"/>
      <c r="M56" s="26">
        <v>29207.7</v>
      </c>
      <c r="N56" s="4"/>
      <c r="O56" s="4"/>
      <c r="P56" s="4"/>
      <c r="Q56" s="4"/>
      <c r="R56" s="4"/>
    </row>
    <row r="57" spans="1:18" s="8" customFormat="1" ht="10.199999999999999" customHeight="1" x14ac:dyDescent="0.25">
      <c r="A57" s="6">
        <v>47</v>
      </c>
      <c r="B57" s="7" t="s">
        <v>67</v>
      </c>
      <c r="C57" s="38"/>
      <c r="D57" s="37">
        <v>66861</v>
      </c>
      <c r="E57" s="38"/>
      <c r="F57" s="38"/>
      <c r="G57" s="38"/>
      <c r="H57" s="38"/>
      <c r="I57" s="37"/>
      <c r="J57" s="26">
        <v>66861</v>
      </c>
      <c r="K57" s="86">
        <v>52785</v>
      </c>
      <c r="L57" s="86">
        <v>53019.6</v>
      </c>
      <c r="M57" s="86">
        <v>53019.6</v>
      </c>
      <c r="N57" s="4"/>
      <c r="O57" s="4"/>
      <c r="P57" s="4"/>
      <c r="Q57" s="4"/>
      <c r="R57" s="4"/>
    </row>
    <row r="58" spans="1:18" ht="10.199999999999999" customHeight="1" x14ac:dyDescent="0.25">
      <c r="A58" s="6">
        <v>48</v>
      </c>
      <c r="B58" s="7" t="s">
        <v>68</v>
      </c>
      <c r="C58" s="38">
        <v>26157.9</v>
      </c>
      <c r="D58" s="61"/>
      <c r="E58" s="62"/>
      <c r="F58" s="38"/>
      <c r="G58" s="62"/>
      <c r="H58" s="38"/>
      <c r="I58" s="61"/>
      <c r="J58" s="26">
        <v>26157.9</v>
      </c>
      <c r="K58" s="61"/>
      <c r="L58" s="61"/>
      <c r="M58" s="26">
        <v>26157.9</v>
      </c>
    </row>
    <row r="59" spans="1:18" x14ac:dyDescent="0.25">
      <c r="A59" s="6">
        <v>49</v>
      </c>
      <c r="B59" s="7" t="s">
        <v>69</v>
      </c>
      <c r="C59" s="38"/>
      <c r="D59" s="61">
        <v>82110</v>
      </c>
      <c r="E59" s="62"/>
      <c r="F59" s="38"/>
      <c r="G59" s="62"/>
      <c r="H59" s="38"/>
      <c r="I59" s="61"/>
      <c r="J59" s="26">
        <v>82110</v>
      </c>
      <c r="K59" s="61"/>
      <c r="L59" s="61"/>
      <c r="M59" s="52">
        <v>82110</v>
      </c>
    </row>
    <row r="60" spans="1:18" ht="10.199999999999999" customHeight="1" x14ac:dyDescent="0.25">
      <c r="A60" s="6">
        <v>50</v>
      </c>
      <c r="B60" s="7" t="s">
        <v>70</v>
      </c>
      <c r="C60" s="38">
        <v>26979</v>
      </c>
      <c r="D60" s="61">
        <v>29676.9</v>
      </c>
      <c r="E60" s="62"/>
      <c r="F60" s="38"/>
      <c r="G60" s="62"/>
      <c r="H60" s="38"/>
      <c r="I60" s="61"/>
      <c r="J60" s="26">
        <v>28327.95</v>
      </c>
      <c r="K60" s="61"/>
      <c r="L60" s="61"/>
      <c r="M60" s="26">
        <v>28327.95</v>
      </c>
    </row>
    <row r="61" spans="1:18" s="4" customFormat="1" x14ac:dyDescent="0.25">
      <c r="A61" s="6">
        <v>51</v>
      </c>
      <c r="B61" s="7" t="s">
        <v>71</v>
      </c>
      <c r="C61" s="38"/>
      <c r="D61" s="61">
        <v>55717.5</v>
      </c>
      <c r="E61" s="62"/>
      <c r="F61" s="38"/>
      <c r="G61" s="62"/>
      <c r="H61" s="38"/>
      <c r="I61" s="61"/>
      <c r="J61" s="26">
        <v>55717.5</v>
      </c>
      <c r="K61" s="63">
        <v>26979</v>
      </c>
      <c r="L61" s="63">
        <v>44691.3</v>
      </c>
      <c r="M61" s="38">
        <v>55717.5</v>
      </c>
    </row>
    <row r="62" spans="1:18" s="4" customFormat="1" ht="10.199999999999999" customHeight="1" x14ac:dyDescent="0.25">
      <c r="A62" s="6">
        <v>52</v>
      </c>
      <c r="B62" s="7" t="s">
        <v>72</v>
      </c>
      <c r="C62" s="38"/>
      <c r="D62" s="61"/>
      <c r="E62" s="62">
        <v>78591</v>
      </c>
      <c r="F62" s="38">
        <v>97359</v>
      </c>
      <c r="G62" s="62">
        <v>85629</v>
      </c>
      <c r="H62" s="62">
        <v>93840</v>
      </c>
      <c r="I62" s="61"/>
      <c r="J62" s="26">
        <v>88854.75</v>
      </c>
      <c r="K62" s="64">
        <v>104103.75</v>
      </c>
      <c r="L62" s="64">
        <v>117300</v>
      </c>
      <c r="M62" s="26">
        <v>87200.82</v>
      </c>
    </row>
    <row r="63" spans="1:18" s="4" customFormat="1" ht="10.199999999999999" customHeight="1" x14ac:dyDescent="0.25">
      <c r="A63" s="6">
        <v>53</v>
      </c>
      <c r="B63" s="7" t="s">
        <v>73</v>
      </c>
      <c r="C63" s="38"/>
      <c r="D63" s="61"/>
      <c r="E63" s="62">
        <v>55013.7</v>
      </c>
      <c r="F63" s="38"/>
      <c r="G63" s="62"/>
      <c r="H63" s="38"/>
      <c r="I63" s="61"/>
      <c r="J63" s="26">
        <v>55013.7</v>
      </c>
      <c r="K63" s="61"/>
      <c r="L63" s="61"/>
      <c r="M63" s="26">
        <v>61040.57</v>
      </c>
    </row>
    <row r="64" spans="1:18" s="4" customFormat="1" ht="13.2" customHeight="1" x14ac:dyDescent="0.25">
      <c r="A64" s="6">
        <v>54</v>
      </c>
      <c r="B64" s="7" t="s">
        <v>74</v>
      </c>
      <c r="C64" s="38"/>
      <c r="D64" s="65">
        <v>34017</v>
      </c>
      <c r="E64" s="62"/>
      <c r="F64" s="38"/>
      <c r="G64" s="62"/>
      <c r="H64" s="38"/>
      <c r="I64" s="61"/>
      <c r="J64" s="26">
        <v>34017</v>
      </c>
      <c r="K64" s="86">
        <v>37536</v>
      </c>
      <c r="L64" s="87">
        <v>38943.599999999999</v>
      </c>
      <c r="M64" s="80">
        <v>38943.599999999999</v>
      </c>
    </row>
    <row r="65" spans="1:13" s="4" customFormat="1" ht="10.199999999999999" customHeight="1" x14ac:dyDescent="0.25">
      <c r="A65" s="6">
        <v>55</v>
      </c>
      <c r="B65" s="7" t="s">
        <v>75</v>
      </c>
      <c r="C65" s="38"/>
      <c r="D65" s="66">
        <v>41055</v>
      </c>
      <c r="E65" s="62"/>
      <c r="F65" s="38"/>
      <c r="G65" s="62"/>
      <c r="H65" s="38"/>
      <c r="I65" s="61"/>
      <c r="J65" s="26">
        <v>41055</v>
      </c>
      <c r="K65" s="88">
        <v>41055</v>
      </c>
      <c r="L65" s="88">
        <v>41289.599999999999</v>
      </c>
      <c r="M65" s="89">
        <v>41055</v>
      </c>
    </row>
    <row r="66" spans="1:13" s="4" customFormat="1" x14ac:dyDescent="0.25">
      <c r="A66" s="6">
        <v>56</v>
      </c>
      <c r="B66" s="7" t="s">
        <v>76</v>
      </c>
      <c r="C66" s="38"/>
      <c r="D66" s="61">
        <v>105570</v>
      </c>
      <c r="E66" s="62">
        <v>64515</v>
      </c>
      <c r="F66" s="62">
        <v>77418</v>
      </c>
      <c r="G66" s="38">
        <v>68034</v>
      </c>
      <c r="H66" s="38">
        <v>73312.5</v>
      </c>
      <c r="I66" s="61"/>
      <c r="J66" s="26">
        <v>70825.740000000005</v>
      </c>
      <c r="K66" s="87">
        <v>105570</v>
      </c>
      <c r="L66" s="87">
        <v>106156.5</v>
      </c>
      <c r="M66" s="100">
        <v>106156.5</v>
      </c>
    </row>
    <row r="67" spans="1:13" s="4" customFormat="1" ht="10.199999999999999" customHeight="1" x14ac:dyDescent="0.25">
      <c r="A67" s="6">
        <v>57</v>
      </c>
      <c r="B67" s="7" t="s">
        <v>77</v>
      </c>
      <c r="C67" s="38"/>
      <c r="D67" s="61">
        <v>103224</v>
      </c>
      <c r="E67" s="62">
        <v>61934.400000000001</v>
      </c>
      <c r="F67" s="62">
        <v>75072</v>
      </c>
      <c r="G67" s="38">
        <v>65688</v>
      </c>
      <c r="H67" s="62">
        <v>70966.5</v>
      </c>
      <c r="I67" s="61"/>
      <c r="J67" s="26">
        <v>68421.09</v>
      </c>
      <c r="K67" s="101">
        <v>86802</v>
      </c>
      <c r="L67" s="101">
        <v>104983.5</v>
      </c>
      <c r="M67" s="100">
        <v>95892.75</v>
      </c>
    </row>
    <row r="68" spans="1:13" s="4" customFormat="1" ht="10.199999999999999" customHeight="1" x14ac:dyDescent="0.25">
      <c r="A68" s="6">
        <v>58</v>
      </c>
      <c r="B68" s="7" t="s">
        <v>78</v>
      </c>
      <c r="C68" s="38"/>
      <c r="D68" s="61">
        <v>73899</v>
      </c>
      <c r="E68" s="62">
        <v>33547.800000000003</v>
      </c>
      <c r="F68" s="62">
        <v>52785</v>
      </c>
      <c r="G68" s="62"/>
      <c r="H68" s="62"/>
      <c r="I68" s="61"/>
      <c r="J68" s="26">
        <v>43166.400000000001</v>
      </c>
      <c r="K68" s="61"/>
      <c r="L68" s="61"/>
      <c r="M68" s="26">
        <v>43166.400000000001</v>
      </c>
    </row>
    <row r="69" spans="1:13" s="4" customFormat="1" ht="16.2" customHeight="1" x14ac:dyDescent="0.25">
      <c r="A69" s="6">
        <v>59</v>
      </c>
      <c r="B69" s="7" t="s">
        <v>79</v>
      </c>
      <c r="C69" s="38"/>
      <c r="D69" s="61"/>
      <c r="E69" s="62">
        <v>18768</v>
      </c>
      <c r="F69" s="38"/>
      <c r="G69" s="62"/>
      <c r="H69" s="38"/>
      <c r="I69" s="61"/>
      <c r="J69" s="26">
        <v>18768</v>
      </c>
      <c r="K69" s="71">
        <v>57477</v>
      </c>
      <c r="L69" s="71">
        <v>63576.6</v>
      </c>
      <c r="M69" s="72">
        <v>60526.8</v>
      </c>
    </row>
    <row r="70" spans="1:13" s="4" customFormat="1" ht="11.4" customHeight="1" x14ac:dyDescent="0.25">
      <c r="A70" s="6">
        <v>60</v>
      </c>
      <c r="B70" s="7" t="s">
        <v>80</v>
      </c>
      <c r="C70" s="38"/>
      <c r="D70" s="61"/>
      <c r="E70" s="62"/>
      <c r="F70" s="38"/>
      <c r="G70" s="62"/>
      <c r="H70" s="38"/>
      <c r="I70" s="61"/>
      <c r="J70" s="26"/>
      <c r="K70" s="61"/>
      <c r="L70" s="61"/>
      <c r="M70" s="52">
        <v>42368.76</v>
      </c>
    </row>
    <row r="71" spans="1:13" s="4" customFormat="1" ht="10.199999999999999" customHeight="1" x14ac:dyDescent="0.25">
      <c r="A71" s="6">
        <v>61</v>
      </c>
      <c r="B71" s="7" t="s">
        <v>81</v>
      </c>
      <c r="C71" s="38"/>
      <c r="D71" s="61">
        <v>161874</v>
      </c>
      <c r="E71" s="62">
        <v>73899</v>
      </c>
      <c r="F71" s="62">
        <v>206448</v>
      </c>
      <c r="G71" s="62"/>
      <c r="H71" s="62"/>
      <c r="I71" s="61"/>
      <c r="J71" s="26">
        <v>140173.5</v>
      </c>
      <c r="K71" s="71">
        <v>150144</v>
      </c>
      <c r="L71" s="71">
        <v>242811</v>
      </c>
      <c r="M71" s="72">
        <v>162566.07</v>
      </c>
    </row>
    <row r="72" spans="1:13" s="4" customFormat="1" ht="25.8" customHeight="1" x14ac:dyDescent="0.25">
      <c r="A72" s="6">
        <v>62</v>
      </c>
      <c r="B72" s="7" t="s">
        <v>82</v>
      </c>
      <c r="C72" s="38"/>
      <c r="D72" s="61"/>
      <c r="E72" s="62"/>
      <c r="F72" s="62"/>
      <c r="G72" s="62"/>
      <c r="H72" s="62"/>
      <c r="I72" s="61"/>
      <c r="J72" s="26"/>
      <c r="K72" s="61"/>
      <c r="L72" s="61"/>
      <c r="M72" s="52">
        <v>43752.9</v>
      </c>
    </row>
    <row r="73" spans="1:13" s="4" customFormat="1" ht="10.199999999999999" customHeight="1" x14ac:dyDescent="0.25">
      <c r="A73" s="6">
        <v>63</v>
      </c>
      <c r="B73" s="7" t="s">
        <v>83</v>
      </c>
      <c r="C73" s="38"/>
      <c r="D73" s="61"/>
      <c r="E73" s="62"/>
      <c r="F73" s="62"/>
      <c r="G73" s="62"/>
      <c r="H73" s="62"/>
      <c r="I73" s="61"/>
      <c r="J73" s="26"/>
      <c r="K73" s="61"/>
      <c r="L73" s="61"/>
      <c r="M73" s="52">
        <v>30627.03</v>
      </c>
    </row>
    <row r="74" spans="1:13" s="4" customFormat="1" ht="10.199999999999999" customHeight="1" x14ac:dyDescent="0.25">
      <c r="A74" s="6">
        <v>64</v>
      </c>
      <c r="B74" s="7" t="s">
        <v>84</v>
      </c>
      <c r="C74" s="38"/>
      <c r="D74" s="61"/>
      <c r="E74" s="62">
        <v>187680</v>
      </c>
      <c r="F74" s="62">
        <v>199410</v>
      </c>
      <c r="G74" s="62">
        <v>187680</v>
      </c>
      <c r="H74" s="62"/>
      <c r="I74" s="61"/>
      <c r="J74" s="26">
        <v>191597.82</v>
      </c>
      <c r="K74" s="61"/>
      <c r="L74" s="61"/>
      <c r="M74" s="26">
        <v>191597.82</v>
      </c>
    </row>
    <row r="75" spans="1:13" s="4" customFormat="1" ht="10.199999999999999" customHeight="1" x14ac:dyDescent="0.25">
      <c r="A75" s="6">
        <v>65</v>
      </c>
      <c r="B75" s="7" t="s">
        <v>85</v>
      </c>
      <c r="C75" s="38"/>
      <c r="D75" s="61"/>
      <c r="E75" s="62">
        <v>131376</v>
      </c>
      <c r="F75" s="62">
        <v>139587</v>
      </c>
      <c r="G75" s="62">
        <v>131376</v>
      </c>
      <c r="H75" s="62"/>
      <c r="I75" s="61"/>
      <c r="J75" s="26">
        <v>134120.82</v>
      </c>
      <c r="K75" s="73">
        <v>109089</v>
      </c>
      <c r="L75" s="61"/>
      <c r="M75" s="26">
        <v>134120.82</v>
      </c>
    </row>
    <row r="76" spans="1:13" s="4" customFormat="1" ht="10.199999999999999" customHeight="1" x14ac:dyDescent="0.25">
      <c r="A76" s="6">
        <v>66</v>
      </c>
      <c r="B76" s="17" t="s">
        <v>86</v>
      </c>
      <c r="C76" s="38"/>
      <c r="D76" s="61">
        <v>40233.9</v>
      </c>
      <c r="E76" s="62"/>
      <c r="F76" s="62"/>
      <c r="G76" s="62"/>
      <c r="H76" s="62"/>
      <c r="I76" s="61"/>
      <c r="J76" s="26">
        <v>40233.9</v>
      </c>
      <c r="K76" s="61"/>
      <c r="L76" s="61"/>
      <c r="M76" s="26"/>
    </row>
    <row r="77" spans="1:13" s="4" customFormat="1" ht="10.199999999999999" customHeight="1" x14ac:dyDescent="0.25">
      <c r="A77" s="6">
        <v>67</v>
      </c>
      <c r="B77" s="7" t="s">
        <v>87</v>
      </c>
      <c r="C77" s="38">
        <v>43752.9</v>
      </c>
      <c r="D77" s="65"/>
      <c r="E77" s="62"/>
      <c r="F77" s="62"/>
      <c r="G77" s="62"/>
      <c r="H77" s="62"/>
      <c r="I77" s="61"/>
      <c r="J77" s="26">
        <v>43752.9</v>
      </c>
      <c r="K77" s="61"/>
      <c r="L77" s="61"/>
      <c r="M77" s="52">
        <v>43752.9</v>
      </c>
    </row>
    <row r="78" spans="1:13" s="4" customFormat="1" ht="12.6" customHeight="1" x14ac:dyDescent="0.25">
      <c r="A78" s="6">
        <v>68</v>
      </c>
      <c r="B78" s="7" t="s">
        <v>88</v>
      </c>
      <c r="C78" s="38"/>
      <c r="D78" s="61"/>
      <c r="E78" s="62">
        <v>73899</v>
      </c>
      <c r="F78" s="62">
        <v>138414</v>
      </c>
      <c r="G78" s="62"/>
      <c r="H78" s="62"/>
      <c r="I78" s="61"/>
      <c r="J78" s="26">
        <v>106156.5</v>
      </c>
      <c r="K78" s="61"/>
      <c r="L78" s="61"/>
      <c r="M78" s="74">
        <v>106156.5</v>
      </c>
    </row>
    <row r="79" spans="1:13" s="4" customFormat="1" ht="23.4" customHeight="1" x14ac:dyDescent="0.25">
      <c r="A79" s="6">
        <v>69</v>
      </c>
      <c r="B79" s="17" t="s">
        <v>89</v>
      </c>
      <c r="C79" s="38"/>
      <c r="D79" s="61"/>
      <c r="E79" s="62"/>
      <c r="F79" s="62"/>
      <c r="G79" s="62"/>
      <c r="H79" s="62"/>
      <c r="I79" s="61"/>
      <c r="J79" s="26"/>
      <c r="K79" s="75">
        <v>34603.5</v>
      </c>
      <c r="L79" s="75">
        <v>36644.519999999997</v>
      </c>
      <c r="M79" s="60">
        <v>34603.5</v>
      </c>
    </row>
    <row r="80" spans="1:13" s="4" customFormat="1" ht="23.4" customHeight="1" x14ac:dyDescent="0.25">
      <c r="A80" s="6">
        <v>70</v>
      </c>
      <c r="B80" s="17" t="s">
        <v>90</v>
      </c>
      <c r="C80" s="38"/>
      <c r="D80" s="61"/>
      <c r="E80" s="62"/>
      <c r="F80" s="62"/>
      <c r="G80" s="62"/>
      <c r="H80" s="62"/>
      <c r="I80" s="61"/>
      <c r="J80" s="26"/>
      <c r="K80" s="75"/>
      <c r="L80" s="87">
        <v>38720.730000000003</v>
      </c>
      <c r="M80" s="60">
        <v>46920</v>
      </c>
    </row>
    <row r="81" spans="1:13" s="4" customFormat="1" ht="15.9" customHeight="1" x14ac:dyDescent="0.25">
      <c r="A81" s="6">
        <v>71</v>
      </c>
      <c r="B81" s="7" t="s">
        <v>91</v>
      </c>
      <c r="C81" s="38">
        <v>25688.7</v>
      </c>
      <c r="D81" s="65"/>
      <c r="E81" s="62"/>
      <c r="F81" s="62"/>
      <c r="G81" s="62"/>
      <c r="H81" s="62"/>
      <c r="I81" s="61"/>
      <c r="J81" s="61"/>
      <c r="K81" s="94">
        <v>71553</v>
      </c>
      <c r="L81" s="87">
        <v>105570</v>
      </c>
      <c r="M81" s="94">
        <v>88561.5</v>
      </c>
    </row>
  </sheetData>
  <mergeCells count="12">
    <mergeCell ref="M1:M3"/>
    <mergeCell ref="C2:C3"/>
    <mergeCell ref="D2:D3"/>
    <mergeCell ref="E2:E3"/>
    <mergeCell ref="F2:F3"/>
    <mergeCell ref="G2:G3"/>
    <mergeCell ref="H2:H3"/>
    <mergeCell ref="I2:I3"/>
    <mergeCell ref="K2:L2"/>
    <mergeCell ref="A1:A3"/>
    <mergeCell ref="B1:B3"/>
    <mergeCell ref="J1:J3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цв.лом(на дек25)</vt:lpstr>
      <vt:lpstr>цв.лом(на нояб25)</vt:lpstr>
      <vt:lpstr>цв.лом(на окт25)</vt:lpstr>
      <vt:lpstr>цв.лом(на сент25)</vt:lpstr>
      <vt:lpstr>цв.лом(на авг25)</vt:lpstr>
      <vt:lpstr>цв.лом(на июль25)</vt:lpstr>
      <vt:lpstr>цв.лом(на июнь25)</vt:lpstr>
      <vt:lpstr>цв.лом(на май25)</vt:lpstr>
      <vt:lpstr>цв.лом(на апр25)</vt:lpstr>
      <vt:lpstr>цв.лом(на март25)</vt:lpstr>
      <vt:lpstr>цв.лом(на фев25)</vt:lpstr>
      <vt:lpstr>цв.лом(на янв25)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Костя Баландин</cp:lastModifiedBy>
  <dcterms:modified xsi:type="dcterms:W3CDTF">2026-08-13T19:43:27Z</dcterms:modified>
</cp:coreProperties>
</file>